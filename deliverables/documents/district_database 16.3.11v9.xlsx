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istrator\Documents\"/>
    </mc:Choice>
  </mc:AlternateContent>
  <bookViews>
    <workbookView xWindow="360" yWindow="20" windowWidth="20960" windowHeight="9720" activeTab="3"/>
  </bookViews>
  <sheets>
    <sheet name="Dashboard" sheetId="1" r:id="rId1"/>
    <sheet name="Distrik" sheetId="2" r:id="rId2"/>
    <sheet name="Seket" sheetId="3" r:id="rId3"/>
    <sheet name="Paris" sheetId="4" r:id="rId4"/>
    <sheet name="Kongrigesen" sheetId="5" r:id="rId5"/>
  </sheets>
  <definedNames>
    <definedName name="Bagiai">Dashboard!$J$53</definedName>
  </definedNames>
  <calcPr calcId="162913"/>
  <pivotCaches>
    <pivotCache cacheId="0" r:id="rId6"/>
    <pivotCache cacheId="1" r:id="rId7"/>
    <pivotCache cacheId="6" r:id="rId8"/>
  </pivotCaches>
</workbook>
</file>

<file path=xl/calcChain.xml><?xml version="1.0" encoding="utf-8"?>
<calcChain xmlns="http://schemas.openxmlformats.org/spreadsheetml/2006/main">
  <c r="H6" i="3" l="1"/>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9" i="5" l="1"/>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6" i="5"/>
  <c r="H7" i="5"/>
  <c r="H8"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6" i="5"/>
  <c r="K7" i="5"/>
  <c r="K8" i="5"/>
  <c r="K9" i="5"/>
  <c r="K10" i="5"/>
  <c r="K11" i="5"/>
  <c r="L1399" i="5"/>
  <c r="J1399" i="5"/>
  <c r="M1399" i="5" s="1"/>
  <c r="F1399" i="5" s="1"/>
  <c r="I1399" i="5"/>
  <c r="G1399" i="5"/>
  <c r="L1398" i="5"/>
  <c r="J1398" i="5"/>
  <c r="M1398" i="5" s="1"/>
  <c r="F1398" i="5" s="1"/>
  <c r="I1398" i="5"/>
  <c r="G1398" i="5"/>
  <c r="L1397" i="5"/>
  <c r="J1397" i="5"/>
  <c r="M1397" i="5" s="1"/>
  <c r="F1397" i="5" s="1"/>
  <c r="I1397" i="5"/>
  <c r="G1397" i="5"/>
  <c r="L1396" i="5"/>
  <c r="J1396" i="5"/>
  <c r="M1396" i="5" s="1"/>
  <c r="F1396" i="5" s="1"/>
  <c r="I1396" i="5"/>
  <c r="G1396" i="5"/>
  <c r="L1395" i="5"/>
  <c r="J1395" i="5"/>
  <c r="M1395" i="5" s="1"/>
  <c r="F1395" i="5" s="1"/>
  <c r="I1395" i="5"/>
  <c r="G1395" i="5"/>
  <c r="L1394" i="5"/>
  <c r="J1394" i="5"/>
  <c r="M1394" i="5" s="1"/>
  <c r="F1394" i="5" s="1"/>
  <c r="I1394" i="5"/>
  <c r="G1394" i="5"/>
  <c r="L1393" i="5"/>
  <c r="J1393" i="5"/>
  <c r="M1393" i="5" s="1"/>
  <c r="F1393" i="5" s="1"/>
  <c r="I1393" i="5"/>
  <c r="G1393" i="5"/>
  <c r="L1392" i="5"/>
  <c r="J1392" i="5"/>
  <c r="M1392" i="5" s="1"/>
  <c r="F1392" i="5" s="1"/>
  <c r="I1392" i="5"/>
  <c r="G1392" i="5"/>
  <c r="L1391" i="5"/>
  <c r="J1391" i="5"/>
  <c r="M1391" i="5" s="1"/>
  <c r="F1391" i="5" s="1"/>
  <c r="I1391" i="5"/>
  <c r="G1391" i="5"/>
  <c r="L1390" i="5"/>
  <c r="J1390" i="5"/>
  <c r="M1390" i="5" s="1"/>
  <c r="F1390" i="5" s="1"/>
  <c r="I1390" i="5"/>
  <c r="G1390" i="5"/>
  <c r="L1389" i="5"/>
  <c r="J1389" i="5"/>
  <c r="M1389" i="5" s="1"/>
  <c r="F1389" i="5" s="1"/>
  <c r="I1389" i="5"/>
  <c r="G1389" i="5"/>
  <c r="L1388" i="5"/>
  <c r="J1388" i="5"/>
  <c r="M1388" i="5" s="1"/>
  <c r="F1388" i="5" s="1"/>
  <c r="I1388" i="5"/>
  <c r="G1388" i="5"/>
  <c r="L1387" i="5"/>
  <c r="J1387" i="5"/>
  <c r="M1387" i="5" s="1"/>
  <c r="F1387" i="5" s="1"/>
  <c r="I1387" i="5"/>
  <c r="G1387" i="5"/>
  <c r="L1386" i="5"/>
  <c r="J1386" i="5"/>
  <c r="M1386" i="5" s="1"/>
  <c r="F1386" i="5" s="1"/>
  <c r="I1386" i="5"/>
  <c r="G1386" i="5"/>
  <c r="L1385" i="5"/>
  <c r="J1385" i="5"/>
  <c r="M1385" i="5" s="1"/>
  <c r="F1385" i="5" s="1"/>
  <c r="I1385" i="5"/>
  <c r="G1385" i="5"/>
  <c r="L1384" i="5"/>
  <c r="J1384" i="5"/>
  <c r="M1384" i="5" s="1"/>
  <c r="F1384" i="5" s="1"/>
  <c r="I1384" i="5"/>
  <c r="G1384" i="5"/>
  <c r="L1383" i="5"/>
  <c r="J1383" i="5"/>
  <c r="M1383" i="5" s="1"/>
  <c r="F1383" i="5" s="1"/>
  <c r="I1383" i="5"/>
  <c r="G1383" i="5"/>
  <c r="L1382" i="5"/>
  <c r="J1382" i="5"/>
  <c r="M1382" i="5" s="1"/>
  <c r="F1382" i="5" s="1"/>
  <c r="I1382" i="5"/>
  <c r="G1382" i="5"/>
  <c r="L1381" i="5"/>
  <c r="J1381" i="5"/>
  <c r="M1381" i="5" s="1"/>
  <c r="F1381" i="5" s="1"/>
  <c r="I1381" i="5"/>
  <c r="G1381" i="5"/>
  <c r="L1380" i="5"/>
  <c r="J1380" i="5"/>
  <c r="M1380" i="5" s="1"/>
  <c r="F1380" i="5" s="1"/>
  <c r="I1380" i="5"/>
  <c r="G1380" i="5"/>
  <c r="L1379" i="5"/>
  <c r="J1379" i="5"/>
  <c r="M1379" i="5" s="1"/>
  <c r="F1379" i="5" s="1"/>
  <c r="I1379" i="5"/>
  <c r="G1379" i="5"/>
  <c r="L1378" i="5"/>
  <c r="J1378" i="5"/>
  <c r="M1378" i="5" s="1"/>
  <c r="F1378" i="5" s="1"/>
  <c r="I1378" i="5"/>
  <c r="G1378" i="5"/>
  <c r="L1377" i="5"/>
  <c r="J1377" i="5"/>
  <c r="M1377" i="5" s="1"/>
  <c r="F1377" i="5" s="1"/>
  <c r="I1377" i="5"/>
  <c r="G1377" i="5"/>
  <c r="L1376" i="5"/>
  <c r="J1376" i="5"/>
  <c r="M1376" i="5" s="1"/>
  <c r="F1376" i="5" s="1"/>
  <c r="I1376" i="5"/>
  <c r="G1376" i="5"/>
  <c r="L1375" i="5"/>
  <c r="J1375" i="5"/>
  <c r="M1375" i="5" s="1"/>
  <c r="F1375" i="5" s="1"/>
  <c r="I1375" i="5"/>
  <c r="G1375" i="5"/>
  <c r="L1374" i="5"/>
  <c r="J1374" i="5"/>
  <c r="M1374" i="5" s="1"/>
  <c r="F1374" i="5" s="1"/>
  <c r="I1374" i="5"/>
  <c r="G1374" i="5"/>
  <c r="L1373" i="5"/>
  <c r="J1373" i="5"/>
  <c r="M1373" i="5" s="1"/>
  <c r="F1373" i="5" s="1"/>
  <c r="I1373" i="5"/>
  <c r="G1373" i="5"/>
  <c r="L1372" i="5"/>
  <c r="J1372" i="5"/>
  <c r="M1372" i="5" s="1"/>
  <c r="F1372" i="5" s="1"/>
  <c r="I1372" i="5"/>
  <c r="G1372" i="5"/>
  <c r="L1371" i="5"/>
  <c r="J1371" i="5"/>
  <c r="M1371" i="5" s="1"/>
  <c r="F1371" i="5" s="1"/>
  <c r="I1371" i="5"/>
  <c r="G1371" i="5"/>
  <c r="L1370" i="5"/>
  <c r="J1370" i="5"/>
  <c r="M1370" i="5" s="1"/>
  <c r="F1370" i="5" s="1"/>
  <c r="I1370" i="5"/>
  <c r="G1370" i="5"/>
  <c r="L1369" i="5"/>
  <c r="J1369" i="5"/>
  <c r="M1369" i="5" s="1"/>
  <c r="F1369" i="5" s="1"/>
  <c r="I1369" i="5"/>
  <c r="G1369" i="5"/>
  <c r="L1368" i="5"/>
  <c r="J1368" i="5"/>
  <c r="M1368" i="5" s="1"/>
  <c r="F1368" i="5" s="1"/>
  <c r="I1368" i="5"/>
  <c r="G1368" i="5"/>
  <c r="L1367" i="5"/>
  <c r="J1367" i="5"/>
  <c r="M1367" i="5" s="1"/>
  <c r="F1367" i="5" s="1"/>
  <c r="I1367" i="5"/>
  <c r="G1367" i="5"/>
  <c r="L1366" i="5"/>
  <c r="J1366" i="5"/>
  <c r="M1366" i="5" s="1"/>
  <c r="F1366" i="5" s="1"/>
  <c r="I1366" i="5"/>
  <c r="G1366" i="5"/>
  <c r="L1365" i="5"/>
  <c r="J1365" i="5"/>
  <c r="M1365" i="5" s="1"/>
  <c r="F1365" i="5" s="1"/>
  <c r="I1365" i="5"/>
  <c r="G1365" i="5"/>
  <c r="I1364" i="5"/>
  <c r="G1364" i="5"/>
  <c r="I1363" i="5"/>
  <c r="J1363" i="5" s="1"/>
  <c r="G1363" i="5"/>
  <c r="I1362" i="5"/>
  <c r="G1362" i="5"/>
  <c r="J1362" i="5" s="1"/>
  <c r="L1361" i="5"/>
  <c r="I1361" i="5"/>
  <c r="G1361" i="5"/>
  <c r="L1360" i="5"/>
  <c r="I1360" i="5"/>
  <c r="G1360" i="5"/>
  <c r="J1360" i="5" s="1"/>
  <c r="L1359" i="5"/>
  <c r="I1359" i="5"/>
  <c r="G1359" i="5"/>
  <c r="M1358" i="5"/>
  <c r="F1358" i="5" s="1"/>
  <c r="L1358" i="5"/>
  <c r="I1358" i="5"/>
  <c r="G1358" i="5"/>
  <c r="J1358" i="5" s="1"/>
  <c r="L1357" i="5"/>
  <c r="I1357" i="5"/>
  <c r="G1357" i="5"/>
  <c r="L1356" i="5"/>
  <c r="I1356" i="5"/>
  <c r="G1356" i="5"/>
  <c r="J1356" i="5" s="1"/>
  <c r="L1355" i="5"/>
  <c r="I1355" i="5"/>
  <c r="G1355" i="5"/>
  <c r="M1354" i="5"/>
  <c r="F1354" i="5" s="1"/>
  <c r="L1354" i="5"/>
  <c r="I1354" i="5"/>
  <c r="G1354" i="5"/>
  <c r="J1354" i="5" s="1"/>
  <c r="L1353" i="5"/>
  <c r="I1353" i="5"/>
  <c r="G1353" i="5"/>
  <c r="L1352" i="5"/>
  <c r="I1352" i="5"/>
  <c r="G1352" i="5"/>
  <c r="J1352" i="5" s="1"/>
  <c r="L1351" i="5"/>
  <c r="I1351" i="5"/>
  <c r="G1351" i="5"/>
  <c r="M1350" i="5"/>
  <c r="F1350" i="5" s="1"/>
  <c r="L1350" i="5"/>
  <c r="I1350" i="5"/>
  <c r="G1350" i="5"/>
  <c r="J1350" i="5" s="1"/>
  <c r="L1349" i="5"/>
  <c r="I1349" i="5"/>
  <c r="G1349" i="5"/>
  <c r="L1348" i="5"/>
  <c r="I1348" i="5"/>
  <c r="G1348" i="5"/>
  <c r="J1348" i="5" s="1"/>
  <c r="L1347" i="5"/>
  <c r="I1347" i="5"/>
  <c r="G1347" i="5"/>
  <c r="M1346" i="5"/>
  <c r="F1346" i="5" s="1"/>
  <c r="L1346" i="5"/>
  <c r="I1346" i="5"/>
  <c r="G1346" i="5"/>
  <c r="J1346" i="5" s="1"/>
  <c r="L1345" i="5"/>
  <c r="I1345" i="5"/>
  <c r="G1345" i="5"/>
  <c r="L1344" i="5"/>
  <c r="I1344" i="5"/>
  <c r="G1344" i="5"/>
  <c r="J1344" i="5" s="1"/>
  <c r="L1343" i="5"/>
  <c r="I1343" i="5"/>
  <c r="G1343" i="5"/>
  <c r="M1342" i="5"/>
  <c r="F1342" i="5" s="1"/>
  <c r="L1342" i="5"/>
  <c r="I1342" i="5"/>
  <c r="G1342" i="5"/>
  <c r="J1342" i="5" s="1"/>
  <c r="L1341" i="5"/>
  <c r="I1341" i="5"/>
  <c r="G1341" i="5"/>
  <c r="L1340" i="5"/>
  <c r="I1340" i="5"/>
  <c r="G1340" i="5"/>
  <c r="J1340" i="5" s="1"/>
  <c r="L1339" i="5"/>
  <c r="I1339" i="5"/>
  <c r="G1339" i="5"/>
  <c r="M1338" i="5"/>
  <c r="F1338" i="5" s="1"/>
  <c r="L1338" i="5"/>
  <c r="I1338" i="5"/>
  <c r="G1338" i="5"/>
  <c r="J1338" i="5" s="1"/>
  <c r="L1337" i="5"/>
  <c r="I1337" i="5"/>
  <c r="G1337" i="5"/>
  <c r="L1336" i="5"/>
  <c r="I1336" i="5"/>
  <c r="G1336" i="5"/>
  <c r="J1336" i="5" s="1"/>
  <c r="L1335" i="5"/>
  <c r="I1335" i="5"/>
  <c r="G1335" i="5"/>
  <c r="M1334" i="5"/>
  <c r="F1334" i="5" s="1"/>
  <c r="L1334" i="5"/>
  <c r="I1334" i="5"/>
  <c r="G1334" i="5"/>
  <c r="J1334" i="5" s="1"/>
  <c r="L1333" i="5"/>
  <c r="I1333" i="5"/>
  <c r="G1333" i="5"/>
  <c r="L1332" i="5"/>
  <c r="I1332" i="5"/>
  <c r="G1332" i="5"/>
  <c r="J1332" i="5" s="1"/>
  <c r="L1331" i="5"/>
  <c r="I1331" i="5"/>
  <c r="G1331" i="5"/>
  <c r="M1330" i="5"/>
  <c r="F1330" i="5" s="1"/>
  <c r="L1330" i="5"/>
  <c r="I1330" i="5"/>
  <c r="G1330" i="5"/>
  <c r="J1330" i="5" s="1"/>
  <c r="L1329" i="5"/>
  <c r="I1329" i="5"/>
  <c r="G1329" i="5"/>
  <c r="L1328" i="5"/>
  <c r="I1328" i="5"/>
  <c r="G1328" i="5"/>
  <c r="J1328" i="5" s="1"/>
  <c r="L1327" i="5"/>
  <c r="I1327" i="5"/>
  <c r="G1327" i="5"/>
  <c r="M1326" i="5"/>
  <c r="F1326" i="5" s="1"/>
  <c r="L1326" i="5"/>
  <c r="I1326" i="5"/>
  <c r="G1326" i="5"/>
  <c r="J1326" i="5" s="1"/>
  <c r="L1325" i="5"/>
  <c r="I1325" i="5"/>
  <c r="G1325" i="5"/>
  <c r="L1324" i="5"/>
  <c r="I1324" i="5"/>
  <c r="G1324" i="5"/>
  <c r="J1324" i="5" s="1"/>
  <c r="L1323" i="5"/>
  <c r="I1323" i="5"/>
  <c r="G1323" i="5"/>
  <c r="M1322" i="5"/>
  <c r="F1322" i="5" s="1"/>
  <c r="L1322" i="5"/>
  <c r="I1322" i="5"/>
  <c r="G1322" i="5"/>
  <c r="J1322" i="5" s="1"/>
  <c r="L1321" i="5"/>
  <c r="I1321" i="5"/>
  <c r="G1321" i="5"/>
  <c r="L1320" i="5"/>
  <c r="I1320" i="5"/>
  <c r="G1320" i="5"/>
  <c r="J1320" i="5" s="1"/>
  <c r="L1319" i="5"/>
  <c r="I1319" i="5"/>
  <c r="G1319" i="5"/>
  <c r="M1318" i="5"/>
  <c r="F1318" i="5" s="1"/>
  <c r="L1318" i="5"/>
  <c r="I1318" i="5"/>
  <c r="G1318" i="5"/>
  <c r="J1318" i="5" s="1"/>
  <c r="L1317" i="5"/>
  <c r="I1317" i="5"/>
  <c r="G1317" i="5"/>
  <c r="L1316" i="5"/>
  <c r="I1316" i="5"/>
  <c r="G1316" i="5"/>
  <c r="J1316" i="5" s="1"/>
  <c r="L1315" i="5"/>
  <c r="I1315" i="5"/>
  <c r="G1315" i="5"/>
  <c r="M1314" i="5"/>
  <c r="F1314" i="5" s="1"/>
  <c r="L1314" i="5"/>
  <c r="I1314" i="5"/>
  <c r="G1314" i="5"/>
  <c r="J1314" i="5" s="1"/>
  <c r="L1313" i="5"/>
  <c r="I1313" i="5"/>
  <c r="G1313" i="5"/>
  <c r="L1312" i="5"/>
  <c r="I1312" i="5"/>
  <c r="G1312" i="5"/>
  <c r="J1312" i="5" s="1"/>
  <c r="L1311" i="5"/>
  <c r="I1311" i="5"/>
  <c r="G1311" i="5"/>
  <c r="M1310" i="5"/>
  <c r="F1310" i="5" s="1"/>
  <c r="L1310" i="5"/>
  <c r="I1310" i="5"/>
  <c r="G1310" i="5"/>
  <c r="J1310" i="5" s="1"/>
  <c r="L1309" i="5"/>
  <c r="I1309" i="5"/>
  <c r="G1309" i="5"/>
  <c r="L1308" i="5"/>
  <c r="I1308" i="5"/>
  <c r="G1308" i="5"/>
  <c r="J1308" i="5" s="1"/>
  <c r="L1307" i="5"/>
  <c r="I1307" i="5"/>
  <c r="G1307" i="5"/>
  <c r="M1306" i="5"/>
  <c r="F1306" i="5" s="1"/>
  <c r="L1306" i="5"/>
  <c r="I1306" i="5"/>
  <c r="G1306" i="5"/>
  <c r="J1306" i="5" s="1"/>
  <c r="L1305" i="5"/>
  <c r="I1305" i="5"/>
  <c r="G1305" i="5"/>
  <c r="L1304" i="5"/>
  <c r="I1304" i="5"/>
  <c r="G1304" i="5"/>
  <c r="J1304" i="5" s="1"/>
  <c r="L1303" i="5"/>
  <c r="I1303" i="5"/>
  <c r="G1303" i="5"/>
  <c r="M1302" i="5"/>
  <c r="F1302" i="5" s="1"/>
  <c r="L1302" i="5"/>
  <c r="I1302" i="5"/>
  <c r="G1302" i="5"/>
  <c r="J1302" i="5" s="1"/>
  <c r="L1301" i="5"/>
  <c r="I1301" i="5"/>
  <c r="G1301" i="5"/>
  <c r="L1300" i="5"/>
  <c r="I1300" i="5"/>
  <c r="G1300" i="5"/>
  <c r="J1300" i="5" s="1"/>
  <c r="L1299" i="5"/>
  <c r="I1299" i="5"/>
  <c r="G1299" i="5"/>
  <c r="M1298" i="5"/>
  <c r="F1298" i="5" s="1"/>
  <c r="L1298" i="5"/>
  <c r="I1298" i="5"/>
  <c r="G1298" i="5"/>
  <c r="J1298" i="5" s="1"/>
  <c r="L1297" i="5"/>
  <c r="I1297" i="5"/>
  <c r="G1297" i="5"/>
  <c r="L1296" i="5"/>
  <c r="I1296" i="5"/>
  <c r="G1296" i="5"/>
  <c r="L1295" i="5"/>
  <c r="I1295" i="5"/>
  <c r="G1295" i="5"/>
  <c r="L1294" i="5"/>
  <c r="I1294" i="5"/>
  <c r="G1294" i="5"/>
  <c r="L1293" i="5"/>
  <c r="I1293" i="5"/>
  <c r="G1293" i="5"/>
  <c r="L1292" i="5"/>
  <c r="I1292" i="5"/>
  <c r="G1292" i="5"/>
  <c r="L1291" i="5"/>
  <c r="I1291" i="5"/>
  <c r="G1291" i="5"/>
  <c r="L1290" i="5"/>
  <c r="I1290" i="5"/>
  <c r="G1290" i="5"/>
  <c r="L1289" i="5"/>
  <c r="I1289" i="5"/>
  <c r="G1289" i="5"/>
  <c r="L1288" i="5"/>
  <c r="I1288" i="5"/>
  <c r="G1288" i="5"/>
  <c r="L1287" i="5"/>
  <c r="I1287" i="5"/>
  <c r="G1287" i="5"/>
  <c r="L1286" i="5"/>
  <c r="I1286" i="5"/>
  <c r="G1286" i="5"/>
  <c r="L1285" i="5"/>
  <c r="I1285" i="5"/>
  <c r="G1285" i="5"/>
  <c r="L1284" i="5"/>
  <c r="I1284" i="5"/>
  <c r="G1284" i="5"/>
  <c r="L1283" i="5"/>
  <c r="I1283" i="5"/>
  <c r="G1283" i="5"/>
  <c r="N1282" i="5"/>
  <c r="L1282" i="5"/>
  <c r="J1282" i="5"/>
  <c r="M1282" i="5" s="1"/>
  <c r="I1282" i="5"/>
  <c r="G1282" i="5"/>
  <c r="F1282" i="5"/>
  <c r="N1281" i="5"/>
  <c r="L1281" i="5"/>
  <c r="I1281" i="5"/>
  <c r="G1281" i="5"/>
  <c r="N1280" i="5"/>
  <c r="L1280" i="5"/>
  <c r="J1280" i="5"/>
  <c r="I1280" i="5"/>
  <c r="G1280" i="5"/>
  <c r="N1279" i="5"/>
  <c r="L1279" i="5"/>
  <c r="I1279" i="5"/>
  <c r="G1279" i="5"/>
  <c r="N1278" i="5"/>
  <c r="L1278" i="5"/>
  <c r="J1278" i="5"/>
  <c r="I1278" i="5"/>
  <c r="G1278" i="5"/>
  <c r="N1277" i="5"/>
  <c r="L1277" i="5"/>
  <c r="I1277" i="5"/>
  <c r="G1277" i="5"/>
  <c r="J1277" i="5" s="1"/>
  <c r="M1277" i="5" s="1"/>
  <c r="F1277" i="5" s="1"/>
  <c r="N1276" i="5"/>
  <c r="L1276" i="5"/>
  <c r="J1276" i="5"/>
  <c r="I1276" i="5"/>
  <c r="G1276" i="5"/>
  <c r="N1275" i="5"/>
  <c r="L1275" i="5"/>
  <c r="I1275" i="5"/>
  <c r="G1275" i="5"/>
  <c r="N1274" i="5"/>
  <c r="L1274" i="5"/>
  <c r="I1274" i="5"/>
  <c r="J1274" i="5" s="1"/>
  <c r="G1274" i="5"/>
  <c r="N1273" i="5"/>
  <c r="L1273" i="5"/>
  <c r="I1273" i="5"/>
  <c r="G1273" i="5"/>
  <c r="N1272" i="5"/>
  <c r="L1272" i="5"/>
  <c r="J1272" i="5"/>
  <c r="I1272" i="5"/>
  <c r="G1272" i="5"/>
  <c r="N1271" i="5"/>
  <c r="L1271" i="5"/>
  <c r="I1271" i="5"/>
  <c r="G1271" i="5"/>
  <c r="N1270" i="5"/>
  <c r="L1270" i="5"/>
  <c r="J1270" i="5"/>
  <c r="I1270" i="5"/>
  <c r="G1270" i="5"/>
  <c r="N1269" i="5"/>
  <c r="L1269" i="5"/>
  <c r="I1269" i="5"/>
  <c r="G1269" i="5"/>
  <c r="N1268" i="5"/>
  <c r="L1268" i="5"/>
  <c r="I1268" i="5"/>
  <c r="J1268" i="5" s="1"/>
  <c r="G1268" i="5"/>
  <c r="N1267" i="5"/>
  <c r="L1267" i="5"/>
  <c r="I1267" i="5"/>
  <c r="G1267" i="5"/>
  <c r="N1266" i="5"/>
  <c r="L1266" i="5"/>
  <c r="J1266" i="5"/>
  <c r="I1266" i="5"/>
  <c r="G1266" i="5"/>
  <c r="N1265" i="5"/>
  <c r="L1265" i="5"/>
  <c r="I1265" i="5"/>
  <c r="G1265" i="5"/>
  <c r="N1264" i="5"/>
  <c r="L1264" i="5"/>
  <c r="J1264" i="5"/>
  <c r="I1264" i="5"/>
  <c r="G1264" i="5"/>
  <c r="N1263" i="5"/>
  <c r="L1263" i="5"/>
  <c r="I1263" i="5"/>
  <c r="G1263" i="5"/>
  <c r="J1263" i="5" s="1"/>
  <c r="M1263" i="5" s="1"/>
  <c r="F1263" i="5" s="1"/>
  <c r="N1262" i="5"/>
  <c r="L1262" i="5"/>
  <c r="J1262" i="5"/>
  <c r="I1262" i="5"/>
  <c r="G1262" i="5"/>
  <c r="N1261" i="5"/>
  <c r="L1261" i="5"/>
  <c r="J1261" i="5"/>
  <c r="I1261" i="5"/>
  <c r="G1261" i="5"/>
  <c r="N1260" i="5"/>
  <c r="L1260" i="5"/>
  <c r="J1260" i="5"/>
  <c r="I1260" i="5"/>
  <c r="G1260" i="5"/>
  <c r="N1259" i="5"/>
  <c r="L1259" i="5"/>
  <c r="I1259" i="5"/>
  <c r="G1259" i="5"/>
  <c r="N1258" i="5"/>
  <c r="L1258" i="5"/>
  <c r="J1258" i="5"/>
  <c r="I1258" i="5"/>
  <c r="G1258" i="5"/>
  <c r="N1257" i="5"/>
  <c r="L1257" i="5"/>
  <c r="I1257" i="5"/>
  <c r="G1257" i="5"/>
  <c r="N1256" i="5"/>
  <c r="L1256" i="5"/>
  <c r="I1256" i="5"/>
  <c r="G1256" i="5"/>
  <c r="N1255" i="5"/>
  <c r="L1255" i="5"/>
  <c r="I1255" i="5"/>
  <c r="G1255" i="5"/>
  <c r="N1254" i="5"/>
  <c r="L1254" i="5"/>
  <c r="I1254" i="5"/>
  <c r="J1254" i="5" s="1"/>
  <c r="G1254" i="5"/>
  <c r="N1253" i="5"/>
  <c r="L1253" i="5"/>
  <c r="I1253" i="5"/>
  <c r="G1253" i="5"/>
  <c r="N1252" i="5"/>
  <c r="L1252" i="5"/>
  <c r="I1252" i="5"/>
  <c r="G1252" i="5"/>
  <c r="J1252" i="5" s="1"/>
  <c r="N1251" i="5"/>
  <c r="L1251" i="5"/>
  <c r="I1251" i="5"/>
  <c r="G1251" i="5"/>
  <c r="N1250" i="5"/>
  <c r="L1250" i="5"/>
  <c r="J1250" i="5"/>
  <c r="I1250" i="5"/>
  <c r="G1250" i="5"/>
  <c r="N1249" i="5"/>
  <c r="L1249" i="5"/>
  <c r="I1249" i="5"/>
  <c r="G1249" i="5"/>
  <c r="N1248" i="5"/>
  <c r="L1248" i="5"/>
  <c r="J1248" i="5"/>
  <c r="I1248" i="5"/>
  <c r="G1248" i="5"/>
  <c r="N1247" i="5"/>
  <c r="M1247" i="5"/>
  <c r="F1247" i="5" s="1"/>
  <c r="L1247" i="5"/>
  <c r="I1247" i="5"/>
  <c r="G1247" i="5"/>
  <c r="J1247" i="5" s="1"/>
  <c r="N1246" i="5"/>
  <c r="L1246" i="5"/>
  <c r="J1246" i="5"/>
  <c r="I1246" i="5"/>
  <c r="G1246" i="5"/>
  <c r="N1245" i="5"/>
  <c r="M1245" i="5"/>
  <c r="F1245" i="5" s="1"/>
  <c r="L1245" i="5"/>
  <c r="J1245" i="5"/>
  <c r="I1245" i="5"/>
  <c r="G1245" i="5"/>
  <c r="N1244" i="5"/>
  <c r="L1244" i="5"/>
  <c r="J1244" i="5"/>
  <c r="I1244" i="5"/>
  <c r="G1244" i="5"/>
  <c r="N1243" i="5"/>
  <c r="L1243" i="5"/>
  <c r="I1243" i="5"/>
  <c r="G1243" i="5"/>
  <c r="N1242" i="5"/>
  <c r="L1242" i="5"/>
  <c r="J1242" i="5"/>
  <c r="I1242" i="5"/>
  <c r="G1242" i="5"/>
  <c r="N1241" i="5"/>
  <c r="L1241" i="5"/>
  <c r="I1241" i="5"/>
  <c r="G1241" i="5"/>
  <c r="N1240" i="5"/>
  <c r="L1240" i="5"/>
  <c r="J1240" i="5"/>
  <c r="I1240" i="5"/>
  <c r="G1240" i="5"/>
  <c r="N1239" i="5"/>
  <c r="L1239" i="5"/>
  <c r="I1239" i="5"/>
  <c r="G1239" i="5"/>
  <c r="N1238" i="5"/>
  <c r="L1238" i="5"/>
  <c r="J1238" i="5"/>
  <c r="I1238" i="5"/>
  <c r="G1238" i="5"/>
  <c r="N1237" i="5"/>
  <c r="L1237" i="5"/>
  <c r="I1237" i="5"/>
  <c r="G1237" i="5"/>
  <c r="N1236" i="5"/>
  <c r="L1236" i="5"/>
  <c r="I1236" i="5"/>
  <c r="G1236" i="5"/>
  <c r="J1236" i="5" s="1"/>
  <c r="N1235" i="5"/>
  <c r="L1235" i="5"/>
  <c r="I1235" i="5"/>
  <c r="G1235" i="5"/>
  <c r="N1234" i="5"/>
  <c r="L1234" i="5"/>
  <c r="J1234" i="5"/>
  <c r="I1234" i="5"/>
  <c r="G1234" i="5"/>
  <c r="N1233" i="5"/>
  <c r="L1233" i="5"/>
  <c r="I1233" i="5"/>
  <c r="G1233" i="5"/>
  <c r="N1232" i="5"/>
  <c r="L1232" i="5"/>
  <c r="J1232" i="5"/>
  <c r="I1232" i="5"/>
  <c r="G1232" i="5"/>
  <c r="N1231" i="5"/>
  <c r="M1231" i="5"/>
  <c r="F1231" i="5" s="1"/>
  <c r="L1231" i="5"/>
  <c r="I1231" i="5"/>
  <c r="G1231" i="5"/>
  <c r="J1231" i="5" s="1"/>
  <c r="N1230" i="5"/>
  <c r="L1230" i="5"/>
  <c r="J1230" i="5"/>
  <c r="I1230" i="5"/>
  <c r="G1230" i="5"/>
  <c r="N1229" i="5"/>
  <c r="L1229" i="5"/>
  <c r="J1229" i="5"/>
  <c r="I1229" i="5"/>
  <c r="G1229" i="5"/>
  <c r="N1228" i="5"/>
  <c r="L1228" i="5"/>
  <c r="J1228" i="5"/>
  <c r="I1228" i="5"/>
  <c r="G1228" i="5"/>
  <c r="N1227" i="5"/>
  <c r="L1227" i="5"/>
  <c r="I1227" i="5"/>
  <c r="G1227" i="5"/>
  <c r="N1226" i="5"/>
  <c r="L1226" i="5"/>
  <c r="J1226" i="5"/>
  <c r="I1226" i="5"/>
  <c r="G1226" i="5"/>
  <c r="N1225" i="5"/>
  <c r="L1225" i="5"/>
  <c r="I1225" i="5"/>
  <c r="G1225" i="5"/>
  <c r="N1224" i="5"/>
  <c r="L1224" i="5"/>
  <c r="I1224" i="5"/>
  <c r="G1224" i="5"/>
  <c r="N1223" i="5"/>
  <c r="L1223" i="5"/>
  <c r="I1223" i="5"/>
  <c r="G1223" i="5"/>
  <c r="N1222" i="5"/>
  <c r="L1222" i="5"/>
  <c r="I1222" i="5"/>
  <c r="J1222" i="5" s="1"/>
  <c r="G1222" i="5"/>
  <c r="N1221" i="5"/>
  <c r="L1221" i="5"/>
  <c r="I1221" i="5"/>
  <c r="G1221" i="5"/>
  <c r="N1220" i="5"/>
  <c r="L1220" i="5"/>
  <c r="I1220" i="5"/>
  <c r="G1220" i="5"/>
  <c r="J1220" i="5" s="1"/>
  <c r="N1219" i="5"/>
  <c r="L1219" i="5"/>
  <c r="I1219" i="5"/>
  <c r="G1219" i="5"/>
  <c r="N1218" i="5"/>
  <c r="L1218" i="5"/>
  <c r="J1218" i="5"/>
  <c r="I1218" i="5"/>
  <c r="G1218" i="5"/>
  <c r="N1217" i="5"/>
  <c r="L1217" i="5"/>
  <c r="I1217" i="5"/>
  <c r="G1217" i="5"/>
  <c r="N1216" i="5"/>
  <c r="L1216" i="5"/>
  <c r="J1216" i="5"/>
  <c r="I1216" i="5"/>
  <c r="G1216" i="5"/>
  <c r="N1215" i="5"/>
  <c r="M1215" i="5"/>
  <c r="F1215" i="5" s="1"/>
  <c r="L1215" i="5"/>
  <c r="I1215" i="5"/>
  <c r="G1215" i="5"/>
  <c r="J1215" i="5" s="1"/>
  <c r="N1214" i="5"/>
  <c r="L1214" i="5"/>
  <c r="J1214" i="5"/>
  <c r="I1214" i="5"/>
  <c r="G1214" i="5"/>
  <c r="N1213" i="5"/>
  <c r="M1213" i="5"/>
  <c r="F1213" i="5" s="1"/>
  <c r="L1213" i="5"/>
  <c r="J1213" i="5"/>
  <c r="I1213" i="5"/>
  <c r="G1213" i="5"/>
  <c r="N1212" i="5"/>
  <c r="L1212" i="5"/>
  <c r="J1212" i="5"/>
  <c r="I1212" i="5"/>
  <c r="G1212" i="5"/>
  <c r="N1211" i="5"/>
  <c r="L1211" i="5"/>
  <c r="I1211" i="5"/>
  <c r="G1211" i="5"/>
  <c r="N1210" i="5"/>
  <c r="L1210" i="5"/>
  <c r="J1210" i="5"/>
  <c r="I1210" i="5"/>
  <c r="G1210" i="5"/>
  <c r="N1209" i="5"/>
  <c r="L1209" i="5"/>
  <c r="I1209" i="5"/>
  <c r="G1209" i="5"/>
  <c r="N1208" i="5"/>
  <c r="L1208" i="5"/>
  <c r="J1208" i="5"/>
  <c r="I1208" i="5"/>
  <c r="G1208" i="5"/>
  <c r="N1207" i="5"/>
  <c r="L1207" i="5"/>
  <c r="I1207" i="5"/>
  <c r="G1207" i="5"/>
  <c r="N1206" i="5"/>
  <c r="L1206" i="5"/>
  <c r="J1206" i="5"/>
  <c r="I1206" i="5"/>
  <c r="G1206" i="5"/>
  <c r="N1205" i="5"/>
  <c r="L1205" i="5"/>
  <c r="I1205" i="5"/>
  <c r="G1205" i="5"/>
  <c r="N1204" i="5"/>
  <c r="L1204" i="5"/>
  <c r="I1204" i="5"/>
  <c r="G1204" i="5"/>
  <c r="J1204" i="5" s="1"/>
  <c r="N1203" i="5"/>
  <c r="L1203" i="5"/>
  <c r="I1203" i="5"/>
  <c r="G1203" i="5"/>
  <c r="N1202" i="5"/>
  <c r="L1202" i="5"/>
  <c r="I1202" i="5"/>
  <c r="G1202" i="5"/>
  <c r="J1202" i="5" s="1"/>
  <c r="N1201" i="5"/>
  <c r="L1201" i="5"/>
  <c r="I1201" i="5"/>
  <c r="G1201" i="5"/>
  <c r="N1200" i="5"/>
  <c r="L1200" i="5"/>
  <c r="J1200" i="5"/>
  <c r="M1200" i="5" s="1"/>
  <c r="I1200" i="5"/>
  <c r="G1200" i="5"/>
  <c r="F1200" i="5"/>
  <c r="N1199" i="5"/>
  <c r="L1199" i="5"/>
  <c r="I1199" i="5"/>
  <c r="G1199" i="5"/>
  <c r="J1199" i="5" s="1"/>
  <c r="M1199" i="5" s="1"/>
  <c r="F1199" i="5" s="1"/>
  <c r="N1198" i="5"/>
  <c r="L1198" i="5"/>
  <c r="J1198" i="5"/>
  <c r="M1198" i="5" s="1"/>
  <c r="F1198" i="5" s="1"/>
  <c r="I1198" i="5"/>
  <c r="G1198" i="5"/>
  <c r="N1197" i="5"/>
  <c r="L1197" i="5"/>
  <c r="I1197" i="5"/>
  <c r="J1197" i="5" s="1"/>
  <c r="G1197" i="5"/>
  <c r="N1196" i="5"/>
  <c r="L1196" i="5"/>
  <c r="M1196" i="5" s="1"/>
  <c r="F1196" i="5" s="1"/>
  <c r="J1196" i="5"/>
  <c r="I1196" i="5"/>
  <c r="G1196" i="5"/>
  <c r="N1195" i="5"/>
  <c r="L1195" i="5"/>
  <c r="J1195" i="5"/>
  <c r="M1195" i="5" s="1"/>
  <c r="F1195" i="5" s="1"/>
  <c r="I1195" i="5"/>
  <c r="G1195" i="5"/>
  <c r="N1194" i="5"/>
  <c r="L1194" i="5"/>
  <c r="I1194" i="5"/>
  <c r="J1194" i="5" s="1"/>
  <c r="G1194" i="5"/>
  <c r="N1193" i="5"/>
  <c r="L1193" i="5"/>
  <c r="I1193" i="5"/>
  <c r="G1193" i="5"/>
  <c r="J1193" i="5" s="1"/>
  <c r="N1192" i="5"/>
  <c r="L1192" i="5"/>
  <c r="I1192" i="5"/>
  <c r="G1192" i="5"/>
  <c r="J1192" i="5" s="1"/>
  <c r="M1192" i="5" s="1"/>
  <c r="F1192" i="5" s="1"/>
  <c r="N1191" i="5"/>
  <c r="L1191" i="5"/>
  <c r="I1191" i="5"/>
  <c r="G1191" i="5"/>
  <c r="J1191" i="5" s="1"/>
  <c r="N1190" i="5"/>
  <c r="L1190" i="5"/>
  <c r="I1190" i="5"/>
  <c r="G1190" i="5"/>
  <c r="J1190" i="5" s="1"/>
  <c r="N1189" i="5"/>
  <c r="L1189" i="5"/>
  <c r="I1189" i="5"/>
  <c r="G1189" i="5"/>
  <c r="J1189" i="5" s="1"/>
  <c r="N1188" i="5"/>
  <c r="L1188" i="5"/>
  <c r="J1188" i="5"/>
  <c r="M1188" i="5" s="1"/>
  <c r="F1188" i="5" s="1"/>
  <c r="I1188" i="5"/>
  <c r="G1188" i="5"/>
  <c r="N1187" i="5"/>
  <c r="L1187" i="5"/>
  <c r="I1187" i="5"/>
  <c r="J1187" i="5" s="1"/>
  <c r="G1187" i="5"/>
  <c r="N1186" i="5"/>
  <c r="L1186" i="5"/>
  <c r="J1186" i="5"/>
  <c r="M1186" i="5" s="1"/>
  <c r="F1186" i="5" s="1"/>
  <c r="I1186" i="5"/>
  <c r="G1186" i="5"/>
  <c r="N1185" i="5"/>
  <c r="L1185" i="5"/>
  <c r="J1185" i="5"/>
  <c r="I1185" i="5"/>
  <c r="G1185" i="5"/>
  <c r="N1184" i="5"/>
  <c r="L1184" i="5"/>
  <c r="I1184" i="5"/>
  <c r="G1184" i="5"/>
  <c r="J1184" i="5" s="1"/>
  <c r="N1183" i="5"/>
  <c r="L1183" i="5"/>
  <c r="I1183" i="5"/>
  <c r="G1183" i="5"/>
  <c r="J1183" i="5" s="1"/>
  <c r="N1182" i="5"/>
  <c r="L1182" i="5"/>
  <c r="I1182" i="5"/>
  <c r="G1182" i="5"/>
  <c r="J1182" i="5" s="1"/>
  <c r="N1181" i="5"/>
  <c r="L1181" i="5"/>
  <c r="I1181" i="5"/>
  <c r="G1181" i="5"/>
  <c r="J1181" i="5" s="1"/>
  <c r="N1180" i="5"/>
  <c r="L1180" i="5"/>
  <c r="I1180" i="5"/>
  <c r="G1180" i="5"/>
  <c r="N1179" i="5"/>
  <c r="L1179" i="5"/>
  <c r="I1179" i="5"/>
  <c r="J1179" i="5" s="1"/>
  <c r="G1179" i="5"/>
  <c r="N1178" i="5"/>
  <c r="L1178" i="5"/>
  <c r="I1178" i="5"/>
  <c r="J1178" i="5" s="1"/>
  <c r="G1178" i="5"/>
  <c r="N1177" i="5"/>
  <c r="M1177" i="5"/>
  <c r="F1177" i="5" s="1"/>
  <c r="L1177" i="5"/>
  <c r="J1177" i="5"/>
  <c r="I1177" i="5"/>
  <c r="G1177" i="5"/>
  <c r="N1176" i="5"/>
  <c r="L1176" i="5"/>
  <c r="I1176" i="5"/>
  <c r="G1176" i="5"/>
  <c r="J1176" i="5" s="1"/>
  <c r="M1176" i="5" s="1"/>
  <c r="F1176" i="5" s="1"/>
  <c r="N1175" i="5"/>
  <c r="L1175" i="5"/>
  <c r="I1175" i="5"/>
  <c r="G1175" i="5"/>
  <c r="J1175" i="5" s="1"/>
  <c r="N1174" i="5"/>
  <c r="L1174" i="5"/>
  <c r="I1174" i="5"/>
  <c r="G1174" i="5"/>
  <c r="J1174" i="5" s="1"/>
  <c r="N1173" i="5"/>
  <c r="L1173" i="5"/>
  <c r="I1173" i="5"/>
  <c r="G1173" i="5"/>
  <c r="J1173" i="5" s="1"/>
  <c r="N1172" i="5"/>
  <c r="L1172" i="5"/>
  <c r="J1172" i="5"/>
  <c r="M1172" i="5" s="1"/>
  <c r="F1172" i="5" s="1"/>
  <c r="I1172" i="5"/>
  <c r="G1172" i="5"/>
  <c r="N1171" i="5"/>
  <c r="L1171" i="5"/>
  <c r="I1171" i="5"/>
  <c r="J1171" i="5" s="1"/>
  <c r="G1171" i="5"/>
  <c r="N1170" i="5"/>
  <c r="L1170" i="5"/>
  <c r="J1170" i="5"/>
  <c r="M1170" i="5" s="1"/>
  <c r="F1170" i="5" s="1"/>
  <c r="I1170" i="5"/>
  <c r="G1170" i="5"/>
  <c r="N1169" i="5"/>
  <c r="L1169" i="5"/>
  <c r="J1169" i="5"/>
  <c r="I1169" i="5"/>
  <c r="G1169" i="5"/>
  <c r="N1168" i="5"/>
  <c r="L1168" i="5"/>
  <c r="I1168" i="5"/>
  <c r="G1168" i="5"/>
  <c r="J1168" i="5" s="1"/>
  <c r="N1167" i="5"/>
  <c r="L1167" i="5"/>
  <c r="I1167" i="5"/>
  <c r="G1167" i="5"/>
  <c r="J1167" i="5" s="1"/>
  <c r="N1166" i="5"/>
  <c r="L1166" i="5"/>
  <c r="I1166" i="5"/>
  <c r="G1166" i="5"/>
  <c r="J1166" i="5" s="1"/>
  <c r="N1165" i="5"/>
  <c r="L1165" i="5"/>
  <c r="I1165" i="5"/>
  <c r="G1165" i="5"/>
  <c r="J1165" i="5" s="1"/>
  <c r="N1164" i="5"/>
  <c r="L1164" i="5"/>
  <c r="I1164" i="5"/>
  <c r="G1164" i="5"/>
  <c r="N1163" i="5"/>
  <c r="L1163" i="5"/>
  <c r="I1163" i="5"/>
  <c r="J1163" i="5" s="1"/>
  <c r="G1163" i="5"/>
  <c r="N1162" i="5"/>
  <c r="L1162" i="5"/>
  <c r="I1162" i="5"/>
  <c r="J1162" i="5" s="1"/>
  <c r="G1162" i="5"/>
  <c r="N1161" i="5"/>
  <c r="M1161" i="5"/>
  <c r="F1161" i="5" s="1"/>
  <c r="L1161" i="5"/>
  <c r="J1161" i="5"/>
  <c r="I1161" i="5"/>
  <c r="G1161" i="5"/>
  <c r="N1160" i="5"/>
  <c r="L1160" i="5"/>
  <c r="I1160" i="5"/>
  <c r="G1160" i="5"/>
  <c r="J1160" i="5" s="1"/>
  <c r="M1160" i="5" s="1"/>
  <c r="F1160" i="5" s="1"/>
  <c r="N1159" i="5"/>
  <c r="L1159" i="5"/>
  <c r="I1159" i="5"/>
  <c r="G1159" i="5"/>
  <c r="J1159" i="5" s="1"/>
  <c r="N1158" i="5"/>
  <c r="L1158" i="5"/>
  <c r="I1158" i="5"/>
  <c r="G1158" i="5"/>
  <c r="J1158" i="5" s="1"/>
  <c r="N1157" i="5"/>
  <c r="L1157" i="5"/>
  <c r="I1157" i="5"/>
  <c r="G1157" i="5"/>
  <c r="J1157" i="5" s="1"/>
  <c r="N1156" i="5"/>
  <c r="L1156" i="5"/>
  <c r="J1156" i="5"/>
  <c r="M1156" i="5" s="1"/>
  <c r="F1156" i="5" s="1"/>
  <c r="I1156" i="5"/>
  <c r="G1156" i="5"/>
  <c r="N1155" i="5"/>
  <c r="L1155" i="5"/>
  <c r="I1155" i="5"/>
  <c r="J1155" i="5" s="1"/>
  <c r="G1155" i="5"/>
  <c r="N1154" i="5"/>
  <c r="L1154" i="5"/>
  <c r="J1154" i="5"/>
  <c r="M1154" i="5" s="1"/>
  <c r="F1154" i="5" s="1"/>
  <c r="I1154" i="5"/>
  <c r="G1154" i="5"/>
  <c r="N1153" i="5"/>
  <c r="L1153" i="5"/>
  <c r="J1153" i="5"/>
  <c r="I1153" i="5"/>
  <c r="G1153" i="5"/>
  <c r="N1152" i="5"/>
  <c r="L1152" i="5"/>
  <c r="I1152" i="5"/>
  <c r="G1152" i="5"/>
  <c r="J1152" i="5" s="1"/>
  <c r="N1151" i="5"/>
  <c r="L1151" i="5"/>
  <c r="I1151" i="5"/>
  <c r="G1151" i="5"/>
  <c r="J1151" i="5" s="1"/>
  <c r="N1150" i="5"/>
  <c r="L1150" i="5"/>
  <c r="I1150" i="5"/>
  <c r="G1150" i="5"/>
  <c r="J1150" i="5" s="1"/>
  <c r="N1149" i="5"/>
  <c r="L1149" i="5"/>
  <c r="I1149" i="5"/>
  <c r="G1149" i="5"/>
  <c r="J1149" i="5" s="1"/>
  <c r="N1148" i="5"/>
  <c r="L1148" i="5"/>
  <c r="I1148" i="5"/>
  <c r="G1148" i="5"/>
  <c r="N1147" i="5"/>
  <c r="L1147" i="5"/>
  <c r="I1147" i="5"/>
  <c r="J1147" i="5" s="1"/>
  <c r="G1147" i="5"/>
  <c r="N1146" i="5"/>
  <c r="L1146" i="5"/>
  <c r="I1146" i="5"/>
  <c r="J1146" i="5" s="1"/>
  <c r="G1146" i="5"/>
  <c r="N1145" i="5"/>
  <c r="M1145" i="5"/>
  <c r="F1145" i="5" s="1"/>
  <c r="L1145" i="5"/>
  <c r="J1145" i="5"/>
  <c r="I1145" i="5"/>
  <c r="G1145" i="5"/>
  <c r="N1144" i="5"/>
  <c r="L1144" i="5"/>
  <c r="I1144" i="5"/>
  <c r="G1144" i="5"/>
  <c r="J1144" i="5" s="1"/>
  <c r="M1144" i="5" s="1"/>
  <c r="F1144" i="5" s="1"/>
  <c r="N1143" i="5"/>
  <c r="L1143" i="5"/>
  <c r="I1143" i="5"/>
  <c r="G1143" i="5"/>
  <c r="J1143" i="5" s="1"/>
  <c r="N1142" i="5"/>
  <c r="L1142" i="5"/>
  <c r="I1142" i="5"/>
  <c r="G1142" i="5"/>
  <c r="J1142" i="5" s="1"/>
  <c r="N1141" i="5"/>
  <c r="L1141" i="5"/>
  <c r="I1141" i="5"/>
  <c r="G1141" i="5"/>
  <c r="J1141" i="5" s="1"/>
  <c r="N1140" i="5"/>
  <c r="L1140" i="5"/>
  <c r="J1140" i="5"/>
  <c r="M1140" i="5" s="1"/>
  <c r="F1140" i="5" s="1"/>
  <c r="I1140" i="5"/>
  <c r="G1140" i="5"/>
  <c r="N1139" i="5"/>
  <c r="L1139" i="5"/>
  <c r="I1139" i="5"/>
  <c r="J1139" i="5" s="1"/>
  <c r="G1139" i="5"/>
  <c r="N1138" i="5"/>
  <c r="L1138" i="5"/>
  <c r="J1138" i="5"/>
  <c r="M1138" i="5" s="1"/>
  <c r="F1138" i="5" s="1"/>
  <c r="I1138" i="5"/>
  <c r="G1138" i="5"/>
  <c r="N1137" i="5"/>
  <c r="L1137" i="5"/>
  <c r="J1137" i="5"/>
  <c r="I1137" i="5"/>
  <c r="G1137" i="5"/>
  <c r="N1136" i="5"/>
  <c r="L1136" i="5"/>
  <c r="I1136" i="5"/>
  <c r="G1136" i="5"/>
  <c r="J1136" i="5" s="1"/>
  <c r="N1135" i="5"/>
  <c r="L1135" i="5"/>
  <c r="I1135" i="5"/>
  <c r="G1135" i="5"/>
  <c r="J1135" i="5" s="1"/>
  <c r="N1134" i="5"/>
  <c r="L1134" i="5"/>
  <c r="I1134" i="5"/>
  <c r="G1134" i="5"/>
  <c r="J1134" i="5" s="1"/>
  <c r="N1133" i="5"/>
  <c r="L1133" i="5"/>
  <c r="I1133" i="5"/>
  <c r="G1133" i="5"/>
  <c r="J1133" i="5" s="1"/>
  <c r="N1132" i="5"/>
  <c r="L1132" i="5"/>
  <c r="I1132" i="5"/>
  <c r="G1132" i="5"/>
  <c r="N1131" i="5"/>
  <c r="L1131" i="5"/>
  <c r="I1131" i="5"/>
  <c r="J1131" i="5" s="1"/>
  <c r="G1131" i="5"/>
  <c r="N1130" i="5"/>
  <c r="L1130" i="5"/>
  <c r="I1130" i="5"/>
  <c r="J1130" i="5" s="1"/>
  <c r="G1130" i="5"/>
  <c r="N1129" i="5"/>
  <c r="M1129" i="5"/>
  <c r="F1129" i="5" s="1"/>
  <c r="L1129" i="5"/>
  <c r="J1129" i="5"/>
  <c r="I1129" i="5"/>
  <c r="G1129" i="5"/>
  <c r="N1128" i="5"/>
  <c r="L1128" i="5"/>
  <c r="I1128" i="5"/>
  <c r="G1128" i="5"/>
  <c r="J1128" i="5" s="1"/>
  <c r="M1128" i="5" s="1"/>
  <c r="F1128" i="5" s="1"/>
  <c r="N1127" i="5"/>
  <c r="L1127" i="5"/>
  <c r="I1127" i="5"/>
  <c r="G1127" i="5"/>
  <c r="J1127" i="5" s="1"/>
  <c r="N1126" i="5"/>
  <c r="L1126" i="5"/>
  <c r="I1126" i="5"/>
  <c r="G1126" i="5"/>
  <c r="J1126" i="5" s="1"/>
  <c r="N1125" i="5"/>
  <c r="L1125" i="5"/>
  <c r="I1125" i="5"/>
  <c r="G1125" i="5"/>
  <c r="J1125" i="5" s="1"/>
  <c r="N1124" i="5"/>
  <c r="L1124" i="5"/>
  <c r="J1124" i="5"/>
  <c r="M1124" i="5" s="1"/>
  <c r="F1124" i="5" s="1"/>
  <c r="I1124" i="5"/>
  <c r="G1124" i="5"/>
  <c r="N1123" i="5"/>
  <c r="L1123" i="5"/>
  <c r="I1123" i="5"/>
  <c r="J1123" i="5" s="1"/>
  <c r="G1123" i="5"/>
  <c r="N1122" i="5"/>
  <c r="L1122" i="5"/>
  <c r="J1122" i="5"/>
  <c r="M1122" i="5" s="1"/>
  <c r="F1122" i="5" s="1"/>
  <c r="I1122" i="5"/>
  <c r="G1122" i="5"/>
  <c r="N1121" i="5"/>
  <c r="L1121" i="5"/>
  <c r="J1121" i="5"/>
  <c r="I1121" i="5"/>
  <c r="G1121" i="5"/>
  <c r="N1120" i="5"/>
  <c r="L1120" i="5"/>
  <c r="I1120" i="5"/>
  <c r="G1120" i="5"/>
  <c r="J1120" i="5" s="1"/>
  <c r="N1119" i="5"/>
  <c r="L1119" i="5"/>
  <c r="I1119" i="5"/>
  <c r="G1119" i="5"/>
  <c r="J1119" i="5" s="1"/>
  <c r="N1118" i="5"/>
  <c r="L1118" i="5"/>
  <c r="I1118" i="5"/>
  <c r="G1118" i="5"/>
  <c r="J1118" i="5" s="1"/>
  <c r="N1117" i="5"/>
  <c r="L1117" i="5"/>
  <c r="I1117" i="5"/>
  <c r="G1117" i="5"/>
  <c r="J1117" i="5" s="1"/>
  <c r="N1116" i="5"/>
  <c r="L1116" i="5"/>
  <c r="I1116" i="5"/>
  <c r="G1116" i="5"/>
  <c r="N1115" i="5"/>
  <c r="L1115" i="5"/>
  <c r="I1115" i="5"/>
  <c r="J1115" i="5" s="1"/>
  <c r="G1115" i="5"/>
  <c r="N1114" i="5"/>
  <c r="L1114" i="5"/>
  <c r="I1114" i="5"/>
  <c r="J1114" i="5" s="1"/>
  <c r="G1114" i="5"/>
  <c r="N1113" i="5"/>
  <c r="M1113" i="5"/>
  <c r="F1113" i="5" s="1"/>
  <c r="L1113" i="5"/>
  <c r="J1113" i="5"/>
  <c r="I1113" i="5"/>
  <c r="G1113" i="5"/>
  <c r="N1112" i="5"/>
  <c r="L1112" i="5"/>
  <c r="I1112" i="5"/>
  <c r="G1112" i="5"/>
  <c r="J1112" i="5" s="1"/>
  <c r="M1112" i="5" s="1"/>
  <c r="F1112" i="5" s="1"/>
  <c r="N1111" i="5"/>
  <c r="L1111" i="5"/>
  <c r="I1111" i="5"/>
  <c r="G1111" i="5"/>
  <c r="J1111" i="5" s="1"/>
  <c r="N1110" i="5"/>
  <c r="L1110" i="5"/>
  <c r="I1110" i="5"/>
  <c r="G1110" i="5"/>
  <c r="J1110" i="5" s="1"/>
  <c r="N1109" i="5"/>
  <c r="L1109" i="5"/>
  <c r="I1109" i="5"/>
  <c r="G1109" i="5"/>
  <c r="J1109" i="5" s="1"/>
  <c r="N1108" i="5"/>
  <c r="L1108" i="5"/>
  <c r="J1108" i="5"/>
  <c r="M1108" i="5" s="1"/>
  <c r="F1108" i="5" s="1"/>
  <c r="I1108" i="5"/>
  <c r="G1108" i="5"/>
  <c r="N1107" i="5"/>
  <c r="L1107" i="5"/>
  <c r="I1107" i="5"/>
  <c r="J1107" i="5" s="1"/>
  <c r="G1107" i="5"/>
  <c r="N1106" i="5"/>
  <c r="L1106" i="5"/>
  <c r="J1106" i="5"/>
  <c r="M1106" i="5" s="1"/>
  <c r="F1106" i="5" s="1"/>
  <c r="I1106" i="5"/>
  <c r="G1106" i="5"/>
  <c r="N1105" i="5"/>
  <c r="L1105" i="5"/>
  <c r="J1105" i="5"/>
  <c r="I1105" i="5"/>
  <c r="G1105" i="5"/>
  <c r="N1104" i="5"/>
  <c r="L1104" i="5"/>
  <c r="I1104" i="5"/>
  <c r="G1104" i="5"/>
  <c r="J1104" i="5" s="1"/>
  <c r="N1103" i="5"/>
  <c r="L1103" i="5"/>
  <c r="I1103" i="5"/>
  <c r="G1103" i="5"/>
  <c r="N1102" i="5"/>
  <c r="L1102" i="5"/>
  <c r="I1102" i="5"/>
  <c r="G1102" i="5"/>
  <c r="J1102" i="5" s="1"/>
  <c r="N1101" i="5"/>
  <c r="L1101" i="5"/>
  <c r="I1101" i="5"/>
  <c r="G1101" i="5"/>
  <c r="J1101" i="5" s="1"/>
  <c r="N1100" i="5"/>
  <c r="L1100" i="5"/>
  <c r="I1100" i="5"/>
  <c r="G1100" i="5"/>
  <c r="N1099" i="5"/>
  <c r="L1099" i="5"/>
  <c r="I1099" i="5"/>
  <c r="J1099" i="5" s="1"/>
  <c r="G1099" i="5"/>
  <c r="N1098" i="5"/>
  <c r="L1098" i="5"/>
  <c r="I1098" i="5"/>
  <c r="J1098" i="5" s="1"/>
  <c r="G1098" i="5"/>
  <c r="N1097" i="5"/>
  <c r="M1097" i="5"/>
  <c r="F1097" i="5" s="1"/>
  <c r="L1097" i="5"/>
  <c r="J1097" i="5"/>
  <c r="I1097" i="5"/>
  <c r="G1097" i="5"/>
  <c r="N1096" i="5"/>
  <c r="L1096" i="5"/>
  <c r="I1096" i="5"/>
  <c r="G1096" i="5"/>
  <c r="J1096" i="5" s="1"/>
  <c r="M1096" i="5" s="1"/>
  <c r="F1096" i="5"/>
  <c r="N1095" i="5"/>
  <c r="L1095" i="5"/>
  <c r="I1095" i="5"/>
  <c r="G1095" i="5"/>
  <c r="N1094" i="5"/>
  <c r="L1094" i="5"/>
  <c r="I1094" i="5"/>
  <c r="G1094" i="5"/>
  <c r="J1094" i="5" s="1"/>
  <c r="N1093" i="5"/>
  <c r="L1093" i="5"/>
  <c r="I1093" i="5"/>
  <c r="G1093" i="5"/>
  <c r="N1092" i="5"/>
  <c r="L1092" i="5"/>
  <c r="J1092" i="5"/>
  <c r="I1092" i="5"/>
  <c r="G1092" i="5"/>
  <c r="N1091" i="5"/>
  <c r="L1091" i="5"/>
  <c r="I1091" i="5"/>
  <c r="J1091" i="5" s="1"/>
  <c r="M1091" i="5" s="1"/>
  <c r="F1091" i="5" s="1"/>
  <c r="G1091" i="5"/>
  <c r="N1090" i="5"/>
  <c r="L1090" i="5"/>
  <c r="J1090" i="5"/>
  <c r="I1090" i="5"/>
  <c r="G1090" i="5"/>
  <c r="N1089" i="5"/>
  <c r="L1089" i="5"/>
  <c r="J1089" i="5"/>
  <c r="M1089" i="5" s="1"/>
  <c r="F1089" i="5" s="1"/>
  <c r="I1089" i="5"/>
  <c r="G1089" i="5"/>
  <c r="N1088" i="5"/>
  <c r="L1088" i="5"/>
  <c r="I1088" i="5"/>
  <c r="G1088" i="5"/>
  <c r="J1088" i="5" s="1"/>
  <c r="N1087" i="5"/>
  <c r="L1087" i="5"/>
  <c r="I1087" i="5"/>
  <c r="G1087" i="5"/>
  <c r="N1086" i="5"/>
  <c r="L1086" i="5"/>
  <c r="I1086" i="5"/>
  <c r="G1086" i="5"/>
  <c r="J1086" i="5" s="1"/>
  <c r="N1085" i="5"/>
  <c r="L1085" i="5"/>
  <c r="I1085" i="5"/>
  <c r="G1085" i="5"/>
  <c r="N1084" i="5"/>
  <c r="L1084" i="5"/>
  <c r="I1084" i="5"/>
  <c r="G1084" i="5"/>
  <c r="J1084" i="5" s="1"/>
  <c r="N1083" i="5"/>
  <c r="L1083" i="5"/>
  <c r="I1083" i="5"/>
  <c r="J1083" i="5" s="1"/>
  <c r="M1083" i="5" s="1"/>
  <c r="F1083" i="5" s="1"/>
  <c r="G1083" i="5"/>
  <c r="N1082" i="5"/>
  <c r="L1082" i="5"/>
  <c r="J1082" i="5"/>
  <c r="I1082" i="5"/>
  <c r="G1082" i="5"/>
  <c r="N1081" i="5"/>
  <c r="M1081" i="5"/>
  <c r="F1081" i="5" s="1"/>
  <c r="L1081" i="5"/>
  <c r="J1081" i="5"/>
  <c r="I1081" i="5"/>
  <c r="G1081" i="5"/>
  <c r="N1080" i="5"/>
  <c r="L1080" i="5"/>
  <c r="I1080" i="5"/>
  <c r="G1080" i="5"/>
  <c r="J1080" i="5" s="1"/>
  <c r="N1079" i="5"/>
  <c r="L1079" i="5"/>
  <c r="I1079" i="5"/>
  <c r="G1079" i="5"/>
  <c r="N1078" i="5"/>
  <c r="L1078" i="5"/>
  <c r="I1078" i="5"/>
  <c r="G1078" i="5"/>
  <c r="J1078" i="5" s="1"/>
  <c r="N1077" i="5"/>
  <c r="L1077" i="5"/>
  <c r="I1077" i="5"/>
  <c r="G1077" i="5"/>
  <c r="N1076" i="5"/>
  <c r="L1076" i="5"/>
  <c r="J1076" i="5"/>
  <c r="I1076" i="5"/>
  <c r="G1076" i="5"/>
  <c r="N1075" i="5"/>
  <c r="L1075" i="5"/>
  <c r="I1075" i="5"/>
  <c r="J1075" i="5" s="1"/>
  <c r="M1075" i="5" s="1"/>
  <c r="F1075" i="5" s="1"/>
  <c r="G1075" i="5"/>
  <c r="N1074" i="5"/>
  <c r="L1074" i="5"/>
  <c r="J1074" i="5"/>
  <c r="I1074" i="5"/>
  <c r="G1074" i="5"/>
  <c r="N1073" i="5"/>
  <c r="L1073" i="5"/>
  <c r="J1073" i="5"/>
  <c r="M1073" i="5" s="1"/>
  <c r="F1073" i="5" s="1"/>
  <c r="I1073" i="5"/>
  <c r="G1073" i="5"/>
  <c r="N1072" i="5"/>
  <c r="L1072" i="5"/>
  <c r="I1072" i="5"/>
  <c r="G1072" i="5"/>
  <c r="J1072" i="5" s="1"/>
  <c r="N1071" i="5"/>
  <c r="L1071" i="5"/>
  <c r="I1071" i="5"/>
  <c r="G1071" i="5"/>
  <c r="N1070" i="5"/>
  <c r="L1070" i="5"/>
  <c r="I1070" i="5"/>
  <c r="G1070" i="5"/>
  <c r="J1070" i="5" s="1"/>
  <c r="N1069" i="5"/>
  <c r="L1069" i="5"/>
  <c r="I1069" i="5"/>
  <c r="G1069" i="5"/>
  <c r="N1068" i="5"/>
  <c r="L1068" i="5"/>
  <c r="J1068" i="5"/>
  <c r="I1068" i="5"/>
  <c r="G1068" i="5"/>
  <c r="N1067" i="5"/>
  <c r="L1067" i="5"/>
  <c r="I1067" i="5"/>
  <c r="J1067" i="5" s="1"/>
  <c r="M1067" i="5" s="1"/>
  <c r="F1067" i="5" s="1"/>
  <c r="G1067" i="5"/>
  <c r="N1066" i="5"/>
  <c r="L1066" i="5"/>
  <c r="I1066" i="5"/>
  <c r="J1066" i="5" s="1"/>
  <c r="G1066" i="5"/>
  <c r="N1065" i="5"/>
  <c r="M1065" i="5"/>
  <c r="F1065" i="5" s="1"/>
  <c r="L1065" i="5"/>
  <c r="J1065" i="5"/>
  <c r="I1065" i="5"/>
  <c r="G1065" i="5"/>
  <c r="N1064" i="5"/>
  <c r="L1064" i="5"/>
  <c r="I1064" i="5"/>
  <c r="G1064" i="5"/>
  <c r="N1063" i="5"/>
  <c r="L1063" i="5"/>
  <c r="I1063" i="5"/>
  <c r="G1063" i="5"/>
  <c r="N1062" i="5"/>
  <c r="L1062" i="5"/>
  <c r="I1062" i="5"/>
  <c r="G1062" i="5"/>
  <c r="J1062" i="5" s="1"/>
  <c r="N1061" i="5"/>
  <c r="L1061" i="5"/>
  <c r="I1061" i="5"/>
  <c r="G1061" i="5"/>
  <c r="N1060" i="5"/>
  <c r="L1060" i="5"/>
  <c r="J1060" i="5"/>
  <c r="M1060" i="5" s="1"/>
  <c r="F1060" i="5" s="1"/>
  <c r="I1060" i="5"/>
  <c r="G1060" i="5"/>
  <c r="N1059" i="5"/>
  <c r="L1059" i="5"/>
  <c r="I1059" i="5"/>
  <c r="J1059" i="5" s="1"/>
  <c r="M1059" i="5" s="1"/>
  <c r="F1059" i="5" s="1"/>
  <c r="G1059" i="5"/>
  <c r="N1058" i="5"/>
  <c r="L1058" i="5"/>
  <c r="J1058" i="5"/>
  <c r="I1058" i="5"/>
  <c r="G1058" i="5"/>
  <c r="N1057" i="5"/>
  <c r="L1057" i="5"/>
  <c r="J1057" i="5"/>
  <c r="M1057" i="5" s="1"/>
  <c r="F1057" i="5" s="1"/>
  <c r="I1057" i="5"/>
  <c r="G1057" i="5"/>
  <c r="N1056" i="5"/>
  <c r="L1056" i="5"/>
  <c r="I1056" i="5"/>
  <c r="G1056" i="5"/>
  <c r="J1056" i="5" s="1"/>
  <c r="N1055" i="5"/>
  <c r="M1055" i="5"/>
  <c r="F1055" i="5" s="1"/>
  <c r="L1055" i="5"/>
  <c r="I1055" i="5"/>
  <c r="G1055" i="5"/>
  <c r="J1055" i="5" s="1"/>
  <c r="N1054" i="5"/>
  <c r="L1054" i="5"/>
  <c r="I1054" i="5"/>
  <c r="G1054" i="5"/>
  <c r="J1054" i="5" s="1"/>
  <c r="N1053" i="5"/>
  <c r="L1053" i="5"/>
  <c r="I1053" i="5"/>
  <c r="G1053" i="5"/>
  <c r="N1052" i="5"/>
  <c r="L1052" i="5"/>
  <c r="I1052" i="5"/>
  <c r="G1052" i="5"/>
  <c r="J1052" i="5" s="1"/>
  <c r="N1051" i="5"/>
  <c r="L1051" i="5"/>
  <c r="I1051" i="5"/>
  <c r="J1051" i="5" s="1"/>
  <c r="G1051" i="5"/>
  <c r="I1050" i="5"/>
  <c r="J1050" i="5" s="1"/>
  <c r="G1050" i="5"/>
  <c r="N1049" i="5"/>
  <c r="L1049" i="5"/>
  <c r="I1049" i="5"/>
  <c r="J1049" i="5" s="1"/>
  <c r="M1049" i="5" s="1"/>
  <c r="F1049" i="5" s="1"/>
  <c r="G1049" i="5"/>
  <c r="N1048" i="5"/>
  <c r="L1048" i="5"/>
  <c r="I1048" i="5"/>
  <c r="J1048" i="5" s="1"/>
  <c r="G1048" i="5"/>
  <c r="N1047" i="5"/>
  <c r="L1047" i="5"/>
  <c r="J1047" i="5"/>
  <c r="M1047" i="5" s="1"/>
  <c r="F1047" i="5" s="1"/>
  <c r="I1047" i="5"/>
  <c r="G1047" i="5"/>
  <c r="N1046" i="5"/>
  <c r="L1046" i="5"/>
  <c r="I1046" i="5"/>
  <c r="G1046" i="5"/>
  <c r="N1045" i="5"/>
  <c r="M1045" i="5"/>
  <c r="F1045" i="5" s="1"/>
  <c r="L1045" i="5"/>
  <c r="I1045" i="5"/>
  <c r="G1045" i="5"/>
  <c r="J1045" i="5" s="1"/>
  <c r="N1044" i="5"/>
  <c r="L1044" i="5"/>
  <c r="I1044" i="5"/>
  <c r="G1044" i="5"/>
  <c r="J1044" i="5" s="1"/>
  <c r="N1043" i="5"/>
  <c r="L1043" i="5"/>
  <c r="J1043" i="5"/>
  <c r="I1043" i="5"/>
  <c r="G1043" i="5"/>
  <c r="N1042" i="5"/>
  <c r="L1042" i="5"/>
  <c r="J1042" i="5"/>
  <c r="M1042" i="5" s="1"/>
  <c r="F1042" i="5" s="1"/>
  <c r="I1042" i="5"/>
  <c r="G1042" i="5"/>
  <c r="N1041" i="5"/>
  <c r="L1041" i="5"/>
  <c r="I1041" i="5"/>
  <c r="J1041" i="5" s="1"/>
  <c r="G1041" i="5"/>
  <c r="N1040" i="5"/>
  <c r="L1040" i="5"/>
  <c r="I1040" i="5"/>
  <c r="J1040" i="5" s="1"/>
  <c r="G1040" i="5"/>
  <c r="N1039" i="5"/>
  <c r="L1039" i="5"/>
  <c r="J1039" i="5"/>
  <c r="M1039" i="5" s="1"/>
  <c r="F1039" i="5" s="1"/>
  <c r="I1039" i="5"/>
  <c r="G1039" i="5"/>
  <c r="N1038" i="5"/>
  <c r="L1038" i="5"/>
  <c r="I1038" i="5"/>
  <c r="G1038" i="5"/>
  <c r="N1037" i="5"/>
  <c r="L1037" i="5"/>
  <c r="I1037" i="5"/>
  <c r="G1037" i="5"/>
  <c r="J1037" i="5" s="1"/>
  <c r="N1036" i="5"/>
  <c r="L1036" i="5"/>
  <c r="I1036" i="5"/>
  <c r="G1036" i="5"/>
  <c r="N1035" i="5"/>
  <c r="L1035" i="5"/>
  <c r="I1035" i="5"/>
  <c r="J1035" i="5" s="1"/>
  <c r="G1035" i="5"/>
  <c r="N1034" i="5"/>
  <c r="L1034" i="5"/>
  <c r="I1034" i="5"/>
  <c r="G1034" i="5"/>
  <c r="J1034" i="5" s="1"/>
  <c r="N1033" i="5"/>
  <c r="L1033" i="5"/>
  <c r="I1033" i="5"/>
  <c r="J1033" i="5" s="1"/>
  <c r="M1033" i="5" s="1"/>
  <c r="F1033" i="5" s="1"/>
  <c r="G1033" i="5"/>
  <c r="N1032" i="5"/>
  <c r="L1032" i="5"/>
  <c r="J1032" i="5"/>
  <c r="M1032" i="5" s="1"/>
  <c r="F1032" i="5" s="1"/>
  <c r="I1032" i="5"/>
  <c r="G1032" i="5"/>
  <c r="N1031" i="5"/>
  <c r="M1031" i="5"/>
  <c r="F1031" i="5" s="1"/>
  <c r="L1031" i="5"/>
  <c r="J1031" i="5"/>
  <c r="I1031" i="5"/>
  <c r="G1031" i="5"/>
  <c r="N1030" i="5"/>
  <c r="L1030" i="5"/>
  <c r="I1030" i="5"/>
  <c r="G1030" i="5"/>
  <c r="N1029" i="5"/>
  <c r="M1029" i="5"/>
  <c r="F1029" i="5" s="1"/>
  <c r="L1029" i="5"/>
  <c r="I1029" i="5"/>
  <c r="G1029" i="5"/>
  <c r="J1029" i="5" s="1"/>
  <c r="N1028" i="5"/>
  <c r="L1028" i="5"/>
  <c r="I1028" i="5"/>
  <c r="G1028" i="5"/>
  <c r="N1027" i="5"/>
  <c r="L1027" i="5"/>
  <c r="I1027" i="5"/>
  <c r="J1027" i="5" s="1"/>
  <c r="G1027" i="5"/>
  <c r="N1026" i="5"/>
  <c r="L1026" i="5"/>
  <c r="J1026" i="5"/>
  <c r="M1026" i="5" s="1"/>
  <c r="F1026" i="5" s="1"/>
  <c r="I1026" i="5"/>
  <c r="G1026" i="5"/>
  <c r="N1025" i="5"/>
  <c r="L1025" i="5"/>
  <c r="J1025" i="5"/>
  <c r="M1025" i="5" s="1"/>
  <c r="F1025" i="5" s="1"/>
  <c r="I1025" i="5"/>
  <c r="G1025" i="5"/>
  <c r="N1024" i="5"/>
  <c r="L1024" i="5"/>
  <c r="J1024" i="5"/>
  <c r="I1024" i="5"/>
  <c r="G1024" i="5"/>
  <c r="N1023" i="5"/>
  <c r="L1023" i="5"/>
  <c r="J1023" i="5"/>
  <c r="M1023" i="5" s="1"/>
  <c r="I1023" i="5"/>
  <c r="G1023" i="5"/>
  <c r="F1023" i="5"/>
  <c r="N1022" i="5"/>
  <c r="L1022" i="5"/>
  <c r="I1022" i="5"/>
  <c r="G1022" i="5"/>
  <c r="N1021" i="5"/>
  <c r="L1021" i="5"/>
  <c r="I1021" i="5"/>
  <c r="G1021" i="5"/>
  <c r="J1021" i="5" s="1"/>
  <c r="N1020" i="5"/>
  <c r="L1020" i="5"/>
  <c r="I1020" i="5"/>
  <c r="G1020" i="5"/>
  <c r="N1019" i="5"/>
  <c r="L1019" i="5"/>
  <c r="I1019" i="5"/>
  <c r="G1019" i="5"/>
  <c r="N1018" i="5"/>
  <c r="L1018" i="5"/>
  <c r="I1018" i="5"/>
  <c r="G1018" i="5"/>
  <c r="N1017" i="5"/>
  <c r="L1017" i="5"/>
  <c r="I1017" i="5"/>
  <c r="J1017" i="5" s="1"/>
  <c r="M1017" i="5" s="1"/>
  <c r="F1017" i="5" s="1"/>
  <c r="G1017" i="5"/>
  <c r="N1016" i="5"/>
  <c r="L1016" i="5"/>
  <c r="I1016" i="5"/>
  <c r="J1016" i="5" s="1"/>
  <c r="G1016" i="5"/>
  <c r="N1015" i="5"/>
  <c r="L1015" i="5"/>
  <c r="I1015" i="5"/>
  <c r="G1015" i="5"/>
  <c r="N1014" i="5"/>
  <c r="L1014" i="5"/>
  <c r="I1014" i="5"/>
  <c r="G1014" i="5"/>
  <c r="N1013" i="5"/>
  <c r="L1013" i="5"/>
  <c r="I1013" i="5"/>
  <c r="G1013" i="5"/>
  <c r="N1012" i="5"/>
  <c r="L1012" i="5"/>
  <c r="I1012" i="5"/>
  <c r="G1012" i="5"/>
  <c r="N1011" i="5"/>
  <c r="L1011" i="5"/>
  <c r="I1011" i="5"/>
  <c r="J1011" i="5" s="1"/>
  <c r="G1011" i="5"/>
  <c r="N1010" i="5"/>
  <c r="L1010" i="5"/>
  <c r="I1010" i="5"/>
  <c r="J1010" i="5" s="1"/>
  <c r="G1010" i="5"/>
  <c r="N1009" i="5"/>
  <c r="L1009" i="5"/>
  <c r="I1009" i="5"/>
  <c r="J1009" i="5" s="1"/>
  <c r="G1009" i="5"/>
  <c r="N1008" i="5"/>
  <c r="L1008" i="5"/>
  <c r="I1008" i="5"/>
  <c r="J1008" i="5" s="1"/>
  <c r="G1008" i="5"/>
  <c r="N1007" i="5"/>
  <c r="L1007" i="5"/>
  <c r="J1007" i="5"/>
  <c r="I1007" i="5"/>
  <c r="G1007" i="5"/>
  <c r="N1006" i="5"/>
  <c r="M1006" i="5"/>
  <c r="F1006" i="5" s="1"/>
  <c r="L1006" i="5"/>
  <c r="I1006" i="5"/>
  <c r="G1006" i="5"/>
  <c r="J1006" i="5" s="1"/>
  <c r="N1005" i="5"/>
  <c r="L1005" i="5"/>
  <c r="I1005" i="5"/>
  <c r="G1005" i="5"/>
  <c r="J1005" i="5" s="1"/>
  <c r="N1004" i="5"/>
  <c r="L1004" i="5"/>
  <c r="I1004" i="5"/>
  <c r="G1004" i="5"/>
  <c r="J1004" i="5" s="1"/>
  <c r="N1003" i="5"/>
  <c r="L1003" i="5"/>
  <c r="I1003" i="5"/>
  <c r="G1003" i="5"/>
  <c r="N1002" i="5"/>
  <c r="L1002" i="5"/>
  <c r="I1002" i="5"/>
  <c r="G1002" i="5"/>
  <c r="J1002" i="5" s="1"/>
  <c r="N1001" i="5"/>
  <c r="L1001" i="5"/>
  <c r="J1001" i="5"/>
  <c r="M1001" i="5" s="1"/>
  <c r="F1001" i="5" s="1"/>
  <c r="I1001" i="5"/>
  <c r="G1001" i="5"/>
  <c r="N1000" i="5"/>
  <c r="L1000" i="5"/>
  <c r="I1000" i="5"/>
  <c r="J1000" i="5" s="1"/>
  <c r="G1000" i="5"/>
  <c r="N999" i="5"/>
  <c r="L999" i="5"/>
  <c r="I999" i="5"/>
  <c r="G999" i="5"/>
  <c r="N998" i="5"/>
  <c r="L998" i="5"/>
  <c r="I998" i="5"/>
  <c r="G998" i="5"/>
  <c r="N997" i="5"/>
  <c r="L997" i="5"/>
  <c r="I997" i="5"/>
  <c r="G997" i="5"/>
  <c r="J997" i="5" s="1"/>
  <c r="N996" i="5"/>
  <c r="L996" i="5"/>
  <c r="I996" i="5"/>
  <c r="G996" i="5"/>
  <c r="N995" i="5"/>
  <c r="L995" i="5"/>
  <c r="J995" i="5"/>
  <c r="M995" i="5" s="1"/>
  <c r="I995" i="5"/>
  <c r="G995" i="5"/>
  <c r="F995" i="5"/>
  <c r="N994" i="5"/>
  <c r="L994" i="5"/>
  <c r="J994" i="5"/>
  <c r="I994" i="5"/>
  <c r="G994" i="5"/>
  <c r="N993" i="5"/>
  <c r="L993" i="5"/>
  <c r="J993" i="5"/>
  <c r="M993" i="5" s="1"/>
  <c r="F993" i="5" s="1"/>
  <c r="I993" i="5"/>
  <c r="G993" i="5"/>
  <c r="N992" i="5"/>
  <c r="L992" i="5"/>
  <c r="J992" i="5"/>
  <c r="I992" i="5"/>
  <c r="G992" i="5"/>
  <c r="N991" i="5"/>
  <c r="L991" i="5"/>
  <c r="J991" i="5"/>
  <c r="M991" i="5" s="1"/>
  <c r="F991" i="5" s="1"/>
  <c r="I991" i="5"/>
  <c r="G991" i="5"/>
  <c r="N990" i="5"/>
  <c r="L990" i="5"/>
  <c r="J990" i="5"/>
  <c r="M990" i="5" s="1"/>
  <c r="F990" i="5" s="1"/>
  <c r="I990" i="5"/>
  <c r="G990" i="5"/>
  <c r="N989" i="5"/>
  <c r="L989" i="5"/>
  <c r="I989" i="5"/>
  <c r="G989" i="5"/>
  <c r="N988" i="5"/>
  <c r="L988" i="5"/>
  <c r="J988" i="5"/>
  <c r="I988" i="5"/>
  <c r="G988" i="5"/>
  <c r="N987" i="5"/>
  <c r="L987" i="5"/>
  <c r="J987" i="5"/>
  <c r="M987" i="5" s="1"/>
  <c r="F987" i="5" s="1"/>
  <c r="I987" i="5"/>
  <c r="G987" i="5"/>
  <c r="N986" i="5"/>
  <c r="L986" i="5"/>
  <c r="J986" i="5"/>
  <c r="I986" i="5"/>
  <c r="G986" i="5"/>
  <c r="N985" i="5"/>
  <c r="L985" i="5"/>
  <c r="J985" i="5"/>
  <c r="M985" i="5" s="1"/>
  <c r="F985" i="5" s="1"/>
  <c r="I985" i="5"/>
  <c r="G985" i="5"/>
  <c r="N984" i="5"/>
  <c r="L984" i="5"/>
  <c r="J984" i="5"/>
  <c r="I984" i="5"/>
  <c r="G984" i="5"/>
  <c r="N983" i="5"/>
  <c r="L983" i="5"/>
  <c r="J983" i="5"/>
  <c r="M983" i="5" s="1"/>
  <c r="F983" i="5" s="1"/>
  <c r="I983" i="5"/>
  <c r="G983" i="5"/>
  <c r="N982" i="5"/>
  <c r="M982" i="5"/>
  <c r="F982" i="5" s="1"/>
  <c r="L982" i="5"/>
  <c r="I982" i="5"/>
  <c r="G982" i="5"/>
  <c r="J982" i="5" s="1"/>
  <c r="N981" i="5"/>
  <c r="L981" i="5"/>
  <c r="I981" i="5"/>
  <c r="G981" i="5"/>
  <c r="N980" i="5"/>
  <c r="L980" i="5"/>
  <c r="J980" i="5"/>
  <c r="I980" i="5"/>
  <c r="G980" i="5"/>
  <c r="N979" i="5"/>
  <c r="L979" i="5"/>
  <c r="I979" i="5"/>
  <c r="G979" i="5"/>
  <c r="J979" i="5" s="1"/>
  <c r="N978" i="5"/>
  <c r="L978" i="5"/>
  <c r="J978" i="5"/>
  <c r="M978" i="5" s="1"/>
  <c r="F978" i="5" s="1"/>
  <c r="I978" i="5"/>
  <c r="G978" i="5"/>
  <c r="N977" i="5"/>
  <c r="L977" i="5"/>
  <c r="I977" i="5"/>
  <c r="G977" i="5"/>
  <c r="J977" i="5" s="1"/>
  <c r="N976" i="5"/>
  <c r="L976" i="5"/>
  <c r="I976" i="5"/>
  <c r="G976" i="5"/>
  <c r="J976" i="5" s="1"/>
  <c r="N975" i="5"/>
  <c r="L975" i="5"/>
  <c r="I975" i="5"/>
  <c r="G975" i="5"/>
  <c r="N974" i="5"/>
  <c r="L974" i="5"/>
  <c r="I974" i="5"/>
  <c r="G974" i="5"/>
  <c r="J974" i="5" s="1"/>
  <c r="N973" i="5"/>
  <c r="L973" i="5"/>
  <c r="I973" i="5"/>
  <c r="G973" i="5"/>
  <c r="J973" i="5" s="1"/>
  <c r="M973" i="5" s="1"/>
  <c r="F973" i="5" s="1"/>
  <c r="N972" i="5"/>
  <c r="L972" i="5"/>
  <c r="I972" i="5"/>
  <c r="G972" i="5"/>
  <c r="J972" i="5" s="1"/>
  <c r="N971" i="5"/>
  <c r="L971" i="5"/>
  <c r="I971" i="5"/>
  <c r="G971" i="5"/>
  <c r="N970" i="5"/>
  <c r="L970" i="5"/>
  <c r="I970" i="5"/>
  <c r="G970" i="5"/>
  <c r="J970" i="5" s="1"/>
  <c r="N969" i="5"/>
  <c r="L969" i="5"/>
  <c r="I969" i="5"/>
  <c r="J969" i="5" s="1"/>
  <c r="G969" i="5"/>
  <c r="N968" i="5"/>
  <c r="L968" i="5"/>
  <c r="J968" i="5"/>
  <c r="M968" i="5" s="1"/>
  <c r="F968" i="5" s="1"/>
  <c r="I968" i="5"/>
  <c r="G968" i="5"/>
  <c r="N967" i="5"/>
  <c r="L967" i="5"/>
  <c r="J967" i="5"/>
  <c r="M967" i="5" s="1"/>
  <c r="F967" i="5" s="1"/>
  <c r="I967" i="5"/>
  <c r="G967" i="5"/>
  <c r="N966" i="5"/>
  <c r="L966" i="5"/>
  <c r="I966" i="5"/>
  <c r="G966" i="5"/>
  <c r="J966" i="5" s="1"/>
  <c r="N965" i="5"/>
  <c r="L965" i="5"/>
  <c r="I965" i="5"/>
  <c r="G965" i="5"/>
  <c r="J965" i="5" s="1"/>
  <c r="N964" i="5"/>
  <c r="L964" i="5"/>
  <c r="I964" i="5"/>
  <c r="G964" i="5"/>
  <c r="J964" i="5" s="1"/>
  <c r="N963" i="5"/>
  <c r="L963" i="5"/>
  <c r="I963" i="5"/>
  <c r="G963" i="5"/>
  <c r="J963" i="5" s="1"/>
  <c r="N962" i="5"/>
  <c r="L962" i="5"/>
  <c r="J962" i="5"/>
  <c r="M962" i="5" s="1"/>
  <c r="I962" i="5"/>
  <c r="G962" i="5"/>
  <c r="F962" i="5"/>
  <c r="N961" i="5"/>
  <c r="L961" i="5"/>
  <c r="I961" i="5"/>
  <c r="G961" i="5"/>
  <c r="J961" i="5" s="1"/>
  <c r="N960" i="5"/>
  <c r="L960" i="5"/>
  <c r="I960" i="5"/>
  <c r="G960" i="5"/>
  <c r="N959" i="5"/>
  <c r="L959" i="5"/>
  <c r="I959" i="5"/>
  <c r="G959" i="5"/>
  <c r="N958" i="5"/>
  <c r="L958" i="5"/>
  <c r="I958" i="5"/>
  <c r="G958" i="5"/>
  <c r="J958" i="5" s="1"/>
  <c r="L957" i="5"/>
  <c r="I957" i="5"/>
  <c r="G957" i="5"/>
  <c r="J957" i="5" s="1"/>
  <c r="L956" i="5"/>
  <c r="I956" i="5"/>
  <c r="G956" i="5"/>
  <c r="J956" i="5" s="1"/>
  <c r="L955" i="5"/>
  <c r="I955" i="5"/>
  <c r="G955" i="5"/>
  <c r="J955" i="5" s="1"/>
  <c r="N954" i="5"/>
  <c r="L954" i="5"/>
  <c r="I954" i="5"/>
  <c r="J954" i="5" s="1"/>
  <c r="G954" i="5"/>
  <c r="N953" i="5"/>
  <c r="L953" i="5"/>
  <c r="I953" i="5"/>
  <c r="J953" i="5" s="1"/>
  <c r="G953" i="5"/>
  <c r="N952" i="5"/>
  <c r="L952" i="5"/>
  <c r="J952" i="5"/>
  <c r="I952" i="5"/>
  <c r="G952" i="5"/>
  <c r="N951" i="5"/>
  <c r="L951" i="5"/>
  <c r="J951" i="5"/>
  <c r="M951" i="5" s="1"/>
  <c r="F951" i="5" s="1"/>
  <c r="I951" i="5"/>
  <c r="G951" i="5"/>
  <c r="N950" i="5"/>
  <c r="L950" i="5"/>
  <c r="J950" i="5"/>
  <c r="M950" i="5" s="1"/>
  <c r="F950" i="5" s="1"/>
  <c r="I950" i="5"/>
  <c r="G950" i="5"/>
  <c r="N949" i="5"/>
  <c r="L949" i="5"/>
  <c r="I949" i="5"/>
  <c r="G949" i="5"/>
  <c r="J949" i="5" s="1"/>
  <c r="N948" i="5"/>
  <c r="L948" i="5"/>
  <c r="I948" i="5"/>
  <c r="G948" i="5"/>
  <c r="J948" i="5" s="1"/>
  <c r="N947" i="5"/>
  <c r="L947" i="5"/>
  <c r="I947" i="5"/>
  <c r="G947" i="5"/>
  <c r="J947" i="5" s="1"/>
  <c r="N946" i="5"/>
  <c r="L946" i="5"/>
  <c r="I946" i="5"/>
  <c r="G946" i="5"/>
  <c r="J946" i="5" s="1"/>
  <c r="N945" i="5"/>
  <c r="L945" i="5"/>
  <c r="I945" i="5"/>
  <c r="G945" i="5"/>
  <c r="N944" i="5"/>
  <c r="L944" i="5"/>
  <c r="I944" i="5"/>
  <c r="G944" i="5"/>
  <c r="J944" i="5" s="1"/>
  <c r="N943" i="5"/>
  <c r="L943" i="5"/>
  <c r="I943" i="5"/>
  <c r="J943" i="5" s="1"/>
  <c r="G943" i="5"/>
  <c r="N942" i="5"/>
  <c r="L942" i="5"/>
  <c r="J942" i="5"/>
  <c r="M942" i="5" s="1"/>
  <c r="F942" i="5" s="1"/>
  <c r="I942" i="5"/>
  <c r="G942" i="5"/>
  <c r="N941" i="5"/>
  <c r="L941" i="5"/>
  <c r="J941" i="5"/>
  <c r="M941" i="5" s="1"/>
  <c r="F941" i="5" s="1"/>
  <c r="I941" i="5"/>
  <c r="G941" i="5"/>
  <c r="N940" i="5"/>
  <c r="L940" i="5"/>
  <c r="I940" i="5"/>
  <c r="G940" i="5"/>
  <c r="J940" i="5" s="1"/>
  <c r="N939" i="5"/>
  <c r="M939" i="5"/>
  <c r="F939" i="5" s="1"/>
  <c r="L939" i="5"/>
  <c r="I939" i="5"/>
  <c r="G939" i="5"/>
  <c r="J939" i="5" s="1"/>
  <c r="N938" i="5"/>
  <c r="L938" i="5"/>
  <c r="J938" i="5"/>
  <c r="M938" i="5" s="1"/>
  <c r="I938" i="5"/>
  <c r="G938" i="5"/>
  <c r="F938" i="5"/>
  <c r="N937" i="5"/>
  <c r="L937" i="5"/>
  <c r="I937" i="5"/>
  <c r="G937" i="5"/>
  <c r="J937" i="5" s="1"/>
  <c r="N936" i="5"/>
  <c r="L936" i="5"/>
  <c r="I936" i="5"/>
  <c r="G936" i="5"/>
  <c r="J936" i="5" s="1"/>
  <c r="N935" i="5"/>
  <c r="L935" i="5"/>
  <c r="I935" i="5"/>
  <c r="J935" i="5" s="1"/>
  <c r="G935" i="5"/>
  <c r="N934" i="5"/>
  <c r="L934" i="5"/>
  <c r="I934" i="5"/>
  <c r="J934" i="5" s="1"/>
  <c r="G934" i="5"/>
  <c r="N933" i="5"/>
  <c r="L933" i="5"/>
  <c r="I933" i="5"/>
  <c r="G933" i="5"/>
  <c r="J933" i="5" s="1"/>
  <c r="N932" i="5"/>
  <c r="L932" i="5"/>
  <c r="I932" i="5"/>
  <c r="G932" i="5"/>
  <c r="J932" i="5" s="1"/>
  <c r="M932" i="5" s="1"/>
  <c r="F932" i="5" s="1"/>
  <c r="I931" i="5"/>
  <c r="G931" i="5"/>
  <c r="J931" i="5" s="1"/>
  <c r="N930" i="5"/>
  <c r="L930" i="5"/>
  <c r="I930" i="5"/>
  <c r="G930" i="5"/>
  <c r="J930" i="5" s="1"/>
  <c r="N929" i="5"/>
  <c r="L929" i="5"/>
  <c r="I929" i="5"/>
  <c r="G929" i="5"/>
  <c r="J929" i="5" s="1"/>
  <c r="N928" i="5"/>
  <c r="L928" i="5"/>
  <c r="I928" i="5"/>
  <c r="G928" i="5"/>
  <c r="J928" i="5" s="1"/>
  <c r="N927" i="5"/>
  <c r="L927" i="5"/>
  <c r="I927" i="5"/>
  <c r="G927" i="5"/>
  <c r="N926" i="5"/>
  <c r="L926" i="5"/>
  <c r="I926" i="5"/>
  <c r="G926" i="5"/>
  <c r="J926" i="5" s="1"/>
  <c r="N925" i="5"/>
  <c r="L925" i="5"/>
  <c r="I925" i="5"/>
  <c r="J925" i="5" s="1"/>
  <c r="G925" i="5"/>
  <c r="N924" i="5"/>
  <c r="L924" i="5"/>
  <c r="J924" i="5"/>
  <c r="M924" i="5" s="1"/>
  <c r="F924" i="5" s="1"/>
  <c r="I924" i="5"/>
  <c r="G924" i="5"/>
  <c r="N923" i="5"/>
  <c r="L923" i="5"/>
  <c r="J923" i="5"/>
  <c r="M923" i="5" s="1"/>
  <c r="F923" i="5" s="1"/>
  <c r="I923" i="5"/>
  <c r="G923" i="5"/>
  <c r="N922" i="5"/>
  <c r="L922" i="5"/>
  <c r="I922" i="5"/>
  <c r="G922" i="5"/>
  <c r="J922" i="5" s="1"/>
  <c r="N921" i="5"/>
  <c r="L921" i="5"/>
  <c r="I921" i="5"/>
  <c r="G921" i="5"/>
  <c r="J921" i="5" s="1"/>
  <c r="N920" i="5"/>
  <c r="L920" i="5"/>
  <c r="J920" i="5"/>
  <c r="M920" i="5" s="1"/>
  <c r="F920" i="5" s="1"/>
  <c r="I920" i="5"/>
  <c r="G920" i="5"/>
  <c r="N919" i="5"/>
  <c r="L919" i="5"/>
  <c r="I919" i="5"/>
  <c r="G919" i="5"/>
  <c r="J919" i="5" s="1"/>
  <c r="N918" i="5"/>
  <c r="L918" i="5"/>
  <c r="I918" i="5"/>
  <c r="G918" i="5"/>
  <c r="J918" i="5" s="1"/>
  <c r="N917" i="5"/>
  <c r="L917" i="5"/>
  <c r="I917" i="5"/>
  <c r="J917" i="5" s="1"/>
  <c r="G917" i="5"/>
  <c r="N916" i="5"/>
  <c r="L916" i="5"/>
  <c r="I916" i="5"/>
  <c r="J916" i="5" s="1"/>
  <c r="G916" i="5"/>
  <c r="N915" i="5"/>
  <c r="L915" i="5"/>
  <c r="I915" i="5"/>
  <c r="G915" i="5"/>
  <c r="J915" i="5" s="1"/>
  <c r="N914" i="5"/>
  <c r="L914" i="5"/>
  <c r="I914" i="5"/>
  <c r="G914" i="5"/>
  <c r="J914" i="5" s="1"/>
  <c r="N913" i="5"/>
  <c r="L913" i="5"/>
  <c r="I913" i="5"/>
  <c r="G913" i="5"/>
  <c r="J913" i="5" s="1"/>
  <c r="N912" i="5"/>
  <c r="M912" i="5"/>
  <c r="F912" i="5" s="1"/>
  <c r="L912" i="5"/>
  <c r="I912" i="5"/>
  <c r="G912" i="5"/>
  <c r="J912" i="5" s="1"/>
  <c r="N911" i="5"/>
  <c r="L911" i="5"/>
  <c r="I911" i="5"/>
  <c r="G911" i="5"/>
  <c r="N910" i="5"/>
  <c r="L910" i="5"/>
  <c r="I910" i="5"/>
  <c r="G910" i="5"/>
  <c r="J910" i="5" s="1"/>
  <c r="N909" i="5"/>
  <c r="L909" i="5"/>
  <c r="I909" i="5"/>
  <c r="J909" i="5" s="1"/>
  <c r="M909" i="5" s="1"/>
  <c r="F909" i="5" s="1"/>
  <c r="G909" i="5"/>
  <c r="N908" i="5"/>
  <c r="L908" i="5"/>
  <c r="J908" i="5"/>
  <c r="M908" i="5" s="1"/>
  <c r="F908" i="5" s="1"/>
  <c r="I908" i="5"/>
  <c r="G908" i="5"/>
  <c r="N907" i="5"/>
  <c r="M907" i="5"/>
  <c r="F907" i="5" s="1"/>
  <c r="L907" i="5"/>
  <c r="J907" i="5"/>
  <c r="I907" i="5"/>
  <c r="G907" i="5"/>
  <c r="N906" i="5"/>
  <c r="L906" i="5"/>
  <c r="I906" i="5"/>
  <c r="G906" i="5"/>
  <c r="J906" i="5" s="1"/>
  <c r="N905" i="5"/>
  <c r="L905" i="5"/>
  <c r="M905" i="5" s="1"/>
  <c r="F905" i="5" s="1"/>
  <c r="I905" i="5"/>
  <c r="G905" i="5"/>
  <c r="J905" i="5" s="1"/>
  <c r="L904" i="5"/>
  <c r="I904" i="5"/>
  <c r="G904" i="5"/>
  <c r="M903" i="5"/>
  <c r="F903" i="5" s="1"/>
  <c r="L903" i="5"/>
  <c r="I903" i="5"/>
  <c r="G903" i="5"/>
  <c r="J903" i="5" s="1"/>
  <c r="L902" i="5"/>
  <c r="I902" i="5"/>
  <c r="G902" i="5"/>
  <c r="L901" i="5"/>
  <c r="M901" i="5" s="1"/>
  <c r="F901" i="5" s="1"/>
  <c r="I901" i="5"/>
  <c r="G901" i="5"/>
  <c r="J901" i="5" s="1"/>
  <c r="L900" i="5"/>
  <c r="I900" i="5"/>
  <c r="G900" i="5"/>
  <c r="M899" i="5"/>
  <c r="F899" i="5" s="1"/>
  <c r="L899" i="5"/>
  <c r="I899" i="5"/>
  <c r="G899" i="5"/>
  <c r="J899" i="5" s="1"/>
  <c r="N898" i="5"/>
  <c r="L898" i="5"/>
  <c r="J898" i="5"/>
  <c r="M898" i="5" s="1"/>
  <c r="F898" i="5" s="1"/>
  <c r="I898" i="5"/>
  <c r="G898" i="5"/>
  <c r="N897" i="5"/>
  <c r="L897" i="5"/>
  <c r="I897" i="5"/>
  <c r="G897" i="5"/>
  <c r="J897" i="5" s="1"/>
  <c r="N896" i="5"/>
  <c r="L896" i="5"/>
  <c r="I896" i="5"/>
  <c r="G896" i="5"/>
  <c r="J896" i="5" s="1"/>
  <c r="I895" i="5"/>
  <c r="G895" i="5"/>
  <c r="J895" i="5" s="1"/>
  <c r="J894" i="5"/>
  <c r="M894" i="5" s="1"/>
  <c r="F894" i="5" s="1"/>
  <c r="I894" i="5"/>
  <c r="G894" i="5"/>
  <c r="I893" i="5"/>
  <c r="G893" i="5"/>
  <c r="J893" i="5" s="1"/>
  <c r="I892" i="5"/>
  <c r="G892" i="5"/>
  <c r="J892" i="5" s="1"/>
  <c r="J891" i="5"/>
  <c r="M891" i="5" s="1"/>
  <c r="F891" i="5" s="1"/>
  <c r="I891" i="5"/>
  <c r="G891" i="5"/>
  <c r="J890" i="5"/>
  <c r="M890" i="5" s="1"/>
  <c r="F890" i="5" s="1"/>
  <c r="I890" i="5"/>
  <c r="G890" i="5"/>
  <c r="I889" i="5"/>
  <c r="J889" i="5" s="1"/>
  <c r="M889" i="5" s="1"/>
  <c r="F889" i="5" s="1"/>
  <c r="G889" i="5"/>
  <c r="I888" i="5"/>
  <c r="J888" i="5" s="1"/>
  <c r="G888" i="5"/>
  <c r="N887" i="5"/>
  <c r="L887" i="5"/>
  <c r="I887" i="5"/>
  <c r="J887" i="5" s="1"/>
  <c r="M887" i="5" s="1"/>
  <c r="F887" i="5" s="1"/>
  <c r="G887" i="5"/>
  <c r="N886" i="5"/>
  <c r="L886" i="5"/>
  <c r="J886" i="5"/>
  <c r="M886" i="5" s="1"/>
  <c r="F886" i="5" s="1"/>
  <c r="I886" i="5"/>
  <c r="G886" i="5"/>
  <c r="N885" i="5"/>
  <c r="L885" i="5"/>
  <c r="J885" i="5"/>
  <c r="M885" i="5" s="1"/>
  <c r="F885" i="5" s="1"/>
  <c r="I885" i="5"/>
  <c r="G885" i="5"/>
  <c r="N884" i="5"/>
  <c r="L884" i="5"/>
  <c r="I884" i="5"/>
  <c r="G884" i="5"/>
  <c r="J884" i="5" s="1"/>
  <c r="N883" i="5"/>
  <c r="M883" i="5"/>
  <c r="F883" i="5" s="1"/>
  <c r="L883" i="5"/>
  <c r="I883" i="5"/>
  <c r="G883" i="5"/>
  <c r="J883" i="5" s="1"/>
  <c r="N882" i="5"/>
  <c r="L882" i="5"/>
  <c r="J882" i="5"/>
  <c r="M882" i="5" s="1"/>
  <c r="I882" i="5"/>
  <c r="G882" i="5"/>
  <c r="F882" i="5"/>
  <c r="N881" i="5"/>
  <c r="L881" i="5"/>
  <c r="I881" i="5"/>
  <c r="G881" i="5"/>
  <c r="J881" i="5" s="1"/>
  <c r="N880" i="5"/>
  <c r="L880" i="5"/>
  <c r="J880" i="5"/>
  <c r="I880" i="5"/>
  <c r="G880" i="5"/>
  <c r="N879" i="5"/>
  <c r="L879" i="5"/>
  <c r="I879" i="5"/>
  <c r="J879" i="5" s="1"/>
  <c r="G879" i="5"/>
  <c r="N878" i="5"/>
  <c r="L878" i="5"/>
  <c r="J878" i="5"/>
  <c r="I878" i="5"/>
  <c r="G878" i="5"/>
  <c r="N877" i="5"/>
  <c r="L877" i="5"/>
  <c r="I877" i="5"/>
  <c r="G877" i="5"/>
  <c r="J877" i="5" s="1"/>
  <c r="N876" i="5"/>
  <c r="L876" i="5"/>
  <c r="I876" i="5"/>
  <c r="G876" i="5"/>
  <c r="J876" i="5" s="1"/>
  <c r="M876" i="5" s="1"/>
  <c r="F876" i="5" s="1"/>
  <c r="N875" i="5"/>
  <c r="L875" i="5"/>
  <c r="I875" i="5"/>
  <c r="G875" i="5"/>
  <c r="N874" i="5"/>
  <c r="L874" i="5"/>
  <c r="I874" i="5"/>
  <c r="G874" i="5"/>
  <c r="J874" i="5" s="1"/>
  <c r="N873" i="5"/>
  <c r="L873" i="5"/>
  <c r="I873" i="5"/>
  <c r="G873" i="5"/>
  <c r="N872" i="5"/>
  <c r="L872" i="5"/>
  <c r="I872" i="5"/>
  <c r="J872" i="5" s="1"/>
  <c r="G872" i="5"/>
  <c r="N871" i="5"/>
  <c r="L871" i="5"/>
  <c r="I871" i="5"/>
  <c r="J871" i="5" s="1"/>
  <c r="M871" i="5" s="1"/>
  <c r="F871" i="5" s="1"/>
  <c r="G871" i="5"/>
  <c r="N870" i="5"/>
  <c r="L870" i="5"/>
  <c r="J870" i="5"/>
  <c r="I870" i="5"/>
  <c r="G870" i="5"/>
  <c r="N869" i="5"/>
  <c r="M869" i="5"/>
  <c r="F869" i="5" s="1"/>
  <c r="L869" i="5"/>
  <c r="J869" i="5"/>
  <c r="I869" i="5"/>
  <c r="G869" i="5"/>
  <c r="N868" i="5"/>
  <c r="L868" i="5"/>
  <c r="I868" i="5"/>
  <c r="G868" i="5"/>
  <c r="J868" i="5" s="1"/>
  <c r="N867" i="5"/>
  <c r="M867" i="5"/>
  <c r="F867" i="5" s="1"/>
  <c r="L867" i="5"/>
  <c r="I867" i="5"/>
  <c r="G867" i="5"/>
  <c r="J867" i="5" s="1"/>
  <c r="N866" i="5"/>
  <c r="L866" i="5"/>
  <c r="J866" i="5"/>
  <c r="I866" i="5"/>
  <c r="G866" i="5"/>
  <c r="N865" i="5"/>
  <c r="L865" i="5"/>
  <c r="I865" i="5"/>
  <c r="G865" i="5"/>
  <c r="N864" i="5"/>
  <c r="L864" i="5"/>
  <c r="J864" i="5"/>
  <c r="I864" i="5"/>
  <c r="G864" i="5"/>
  <c r="N863" i="5"/>
  <c r="L863" i="5"/>
  <c r="I863" i="5"/>
  <c r="J863" i="5" s="1"/>
  <c r="G863" i="5"/>
  <c r="N862" i="5"/>
  <c r="L862" i="5"/>
  <c r="I862" i="5"/>
  <c r="J862" i="5" s="1"/>
  <c r="G862" i="5"/>
  <c r="N861" i="5"/>
  <c r="L861" i="5"/>
  <c r="I861" i="5"/>
  <c r="G861" i="5"/>
  <c r="N860" i="5"/>
  <c r="L860" i="5"/>
  <c r="I860" i="5"/>
  <c r="G860" i="5"/>
  <c r="J860" i="5" s="1"/>
  <c r="M860" i="5" s="1"/>
  <c r="F860" i="5" s="1"/>
  <c r="N859" i="5"/>
  <c r="L859" i="5"/>
  <c r="I859" i="5"/>
  <c r="G859" i="5"/>
  <c r="N858" i="5"/>
  <c r="L858" i="5"/>
  <c r="I858" i="5"/>
  <c r="G858" i="5"/>
  <c r="J858" i="5" s="1"/>
  <c r="N857" i="5"/>
  <c r="L857" i="5"/>
  <c r="I857" i="5"/>
  <c r="G857" i="5"/>
  <c r="N856" i="5"/>
  <c r="L856" i="5"/>
  <c r="I856" i="5"/>
  <c r="J856" i="5" s="1"/>
  <c r="G856" i="5"/>
  <c r="N855" i="5"/>
  <c r="L855" i="5"/>
  <c r="I855" i="5"/>
  <c r="J855" i="5" s="1"/>
  <c r="M855" i="5" s="1"/>
  <c r="F855" i="5" s="1"/>
  <c r="G855" i="5"/>
  <c r="N854" i="5"/>
  <c r="L854" i="5"/>
  <c r="J854" i="5"/>
  <c r="I854" i="5"/>
  <c r="G854" i="5"/>
  <c r="N853" i="5"/>
  <c r="L853" i="5"/>
  <c r="J853" i="5"/>
  <c r="I853" i="5"/>
  <c r="G853" i="5"/>
  <c r="N852" i="5"/>
  <c r="L852" i="5"/>
  <c r="I852" i="5"/>
  <c r="G852" i="5"/>
  <c r="J852" i="5" s="1"/>
  <c r="N851" i="5"/>
  <c r="L851" i="5"/>
  <c r="I851" i="5"/>
  <c r="G851" i="5"/>
  <c r="J851" i="5" s="1"/>
  <c r="N850" i="5"/>
  <c r="L850" i="5"/>
  <c r="J850" i="5"/>
  <c r="I850" i="5"/>
  <c r="G850" i="5"/>
  <c r="N849" i="5"/>
  <c r="L849" i="5"/>
  <c r="I849" i="5"/>
  <c r="G849" i="5"/>
  <c r="N848" i="5"/>
  <c r="L848" i="5"/>
  <c r="I848" i="5"/>
  <c r="G848" i="5"/>
  <c r="J848" i="5" s="1"/>
  <c r="N847" i="5"/>
  <c r="L847" i="5"/>
  <c r="I847" i="5"/>
  <c r="J847" i="5" s="1"/>
  <c r="G847" i="5"/>
  <c r="N846" i="5"/>
  <c r="L846" i="5"/>
  <c r="I846" i="5"/>
  <c r="J846" i="5" s="1"/>
  <c r="G846" i="5"/>
  <c r="N845" i="5"/>
  <c r="L845" i="5"/>
  <c r="I845" i="5"/>
  <c r="G845" i="5"/>
  <c r="N844" i="5"/>
  <c r="L844" i="5"/>
  <c r="I844" i="5"/>
  <c r="G844" i="5"/>
  <c r="N843" i="5"/>
  <c r="L843" i="5"/>
  <c r="I843" i="5"/>
  <c r="G843" i="5"/>
  <c r="J843" i="5" s="1"/>
  <c r="N842" i="5"/>
  <c r="L842" i="5"/>
  <c r="I842" i="5"/>
  <c r="G842" i="5"/>
  <c r="N841" i="5"/>
  <c r="L841" i="5"/>
  <c r="I841" i="5"/>
  <c r="G841" i="5"/>
  <c r="J841" i="5" s="1"/>
  <c r="N840" i="5"/>
  <c r="L840" i="5"/>
  <c r="I840" i="5"/>
  <c r="J840" i="5" s="1"/>
  <c r="M840" i="5" s="1"/>
  <c r="F840" i="5" s="1"/>
  <c r="G840" i="5"/>
  <c r="N839" i="5"/>
  <c r="M839" i="5"/>
  <c r="F839" i="5" s="1"/>
  <c r="L839" i="5"/>
  <c r="J839" i="5"/>
  <c r="I839" i="5"/>
  <c r="G839" i="5"/>
  <c r="N838" i="5"/>
  <c r="M838" i="5"/>
  <c r="F838" i="5" s="1"/>
  <c r="L838" i="5"/>
  <c r="J838" i="5"/>
  <c r="I838" i="5"/>
  <c r="G838" i="5"/>
  <c r="N837" i="5"/>
  <c r="M837" i="5"/>
  <c r="L837" i="5"/>
  <c r="J837" i="5"/>
  <c r="I837" i="5"/>
  <c r="G837" i="5"/>
  <c r="F837" i="5"/>
  <c r="N836" i="5"/>
  <c r="L836" i="5"/>
  <c r="I836" i="5"/>
  <c r="G836" i="5"/>
  <c r="J836" i="5" s="1"/>
  <c r="N835" i="5"/>
  <c r="L835" i="5"/>
  <c r="I835" i="5"/>
  <c r="G835" i="5"/>
  <c r="J835" i="5" s="1"/>
  <c r="N834" i="5"/>
  <c r="L834" i="5"/>
  <c r="I834" i="5"/>
  <c r="J834" i="5" s="1"/>
  <c r="G834" i="5"/>
  <c r="N833" i="5"/>
  <c r="L833" i="5"/>
  <c r="I833" i="5"/>
  <c r="G833" i="5"/>
  <c r="J833" i="5" s="1"/>
  <c r="N832" i="5"/>
  <c r="L832" i="5"/>
  <c r="I832" i="5"/>
  <c r="G832" i="5"/>
  <c r="J832" i="5" s="1"/>
  <c r="N831" i="5"/>
  <c r="L831" i="5"/>
  <c r="J831" i="5"/>
  <c r="M831" i="5" s="1"/>
  <c r="F831" i="5" s="1"/>
  <c r="I831" i="5"/>
  <c r="G831" i="5"/>
  <c r="N830" i="5"/>
  <c r="L830" i="5"/>
  <c r="I830" i="5"/>
  <c r="J830" i="5" s="1"/>
  <c r="G830" i="5"/>
  <c r="M829" i="5"/>
  <c r="F829" i="5" s="1"/>
  <c r="I828" i="5"/>
  <c r="G828" i="5"/>
  <c r="J827" i="5"/>
  <c r="M827" i="5" s="1"/>
  <c r="F827" i="5" s="1"/>
  <c r="I827" i="5"/>
  <c r="G827" i="5"/>
  <c r="I826" i="5"/>
  <c r="J826" i="5" s="1"/>
  <c r="G826" i="5"/>
  <c r="N825" i="5"/>
  <c r="L825" i="5"/>
  <c r="J825" i="5"/>
  <c r="M825" i="5" s="1"/>
  <c r="F825" i="5" s="1"/>
  <c r="I825" i="5"/>
  <c r="G825" i="5"/>
  <c r="N824" i="5"/>
  <c r="L824" i="5"/>
  <c r="I824" i="5"/>
  <c r="G824" i="5"/>
  <c r="N823" i="5"/>
  <c r="L823" i="5"/>
  <c r="I823" i="5"/>
  <c r="G823" i="5"/>
  <c r="N822" i="5"/>
  <c r="L822" i="5"/>
  <c r="I822" i="5"/>
  <c r="G822" i="5"/>
  <c r="J822" i="5" s="1"/>
  <c r="N821" i="5"/>
  <c r="L821" i="5"/>
  <c r="I821" i="5"/>
  <c r="G821" i="5"/>
  <c r="N820" i="5"/>
  <c r="L820" i="5"/>
  <c r="I820" i="5"/>
  <c r="G820" i="5"/>
  <c r="J820" i="5" s="1"/>
  <c r="N819" i="5"/>
  <c r="L819" i="5"/>
  <c r="I819" i="5"/>
  <c r="G819" i="5"/>
  <c r="J819" i="5" s="1"/>
  <c r="N818" i="5"/>
  <c r="M818" i="5"/>
  <c r="F818" i="5" s="1"/>
  <c r="L818" i="5"/>
  <c r="I818" i="5"/>
  <c r="J818" i="5" s="1"/>
  <c r="G818" i="5"/>
  <c r="N817" i="5"/>
  <c r="L817" i="5"/>
  <c r="I817" i="5"/>
  <c r="J817" i="5" s="1"/>
  <c r="G817" i="5"/>
  <c r="N816" i="5"/>
  <c r="M816" i="5"/>
  <c r="F816" i="5" s="1"/>
  <c r="L816" i="5"/>
  <c r="J816" i="5"/>
  <c r="I816" i="5"/>
  <c r="G816" i="5"/>
  <c r="N815" i="5"/>
  <c r="L815" i="5"/>
  <c r="I815" i="5"/>
  <c r="G815" i="5"/>
  <c r="J815" i="5" s="1"/>
  <c r="M815" i="5" s="1"/>
  <c r="F815" i="5"/>
  <c r="N814" i="5"/>
  <c r="M814" i="5"/>
  <c r="L814" i="5"/>
  <c r="I814" i="5"/>
  <c r="G814" i="5"/>
  <c r="J814" i="5" s="1"/>
  <c r="F814" i="5"/>
  <c r="N813" i="5"/>
  <c r="L813" i="5"/>
  <c r="I813" i="5"/>
  <c r="G813" i="5"/>
  <c r="J813" i="5" s="1"/>
  <c r="N812" i="5"/>
  <c r="L812" i="5"/>
  <c r="I812" i="5"/>
  <c r="G812" i="5"/>
  <c r="J812" i="5" s="1"/>
  <c r="N811" i="5"/>
  <c r="L811" i="5"/>
  <c r="I811" i="5"/>
  <c r="G811" i="5"/>
  <c r="J811" i="5" s="1"/>
  <c r="N810" i="5"/>
  <c r="L810" i="5"/>
  <c r="I810" i="5"/>
  <c r="G810" i="5"/>
  <c r="J810" i="5" s="1"/>
  <c r="N809" i="5"/>
  <c r="L809" i="5"/>
  <c r="I809" i="5"/>
  <c r="J809" i="5" s="1"/>
  <c r="G809" i="5"/>
  <c r="N808" i="5"/>
  <c r="L808" i="5"/>
  <c r="I808" i="5"/>
  <c r="G808" i="5"/>
  <c r="N807" i="5"/>
  <c r="L807" i="5"/>
  <c r="I807" i="5"/>
  <c r="G807" i="5"/>
  <c r="J807" i="5" s="1"/>
  <c r="M807" i="5" s="1"/>
  <c r="F807" i="5" s="1"/>
  <c r="N806" i="5"/>
  <c r="M806" i="5"/>
  <c r="F806" i="5" s="1"/>
  <c r="L806" i="5"/>
  <c r="I806" i="5"/>
  <c r="G806" i="5"/>
  <c r="J806" i="5" s="1"/>
  <c r="N805" i="5"/>
  <c r="L805" i="5"/>
  <c r="I805" i="5"/>
  <c r="G805" i="5"/>
  <c r="J805" i="5" s="1"/>
  <c r="N804" i="5"/>
  <c r="L804" i="5"/>
  <c r="I804" i="5"/>
  <c r="G804" i="5"/>
  <c r="J804" i="5" s="1"/>
  <c r="N803" i="5"/>
  <c r="L803" i="5"/>
  <c r="I803" i="5"/>
  <c r="G803" i="5"/>
  <c r="J803" i="5" s="1"/>
  <c r="N802" i="5"/>
  <c r="M802" i="5"/>
  <c r="F802" i="5" s="1"/>
  <c r="L802" i="5"/>
  <c r="J802" i="5"/>
  <c r="I802" i="5"/>
  <c r="G802" i="5"/>
  <c r="N801" i="5"/>
  <c r="L801" i="5"/>
  <c r="I801" i="5"/>
  <c r="J801" i="5" s="1"/>
  <c r="G801" i="5"/>
  <c r="N800" i="5"/>
  <c r="L800" i="5"/>
  <c r="I800" i="5"/>
  <c r="G800" i="5"/>
  <c r="N799" i="5"/>
  <c r="L799" i="5"/>
  <c r="I799" i="5"/>
  <c r="G799" i="5"/>
  <c r="J799" i="5" s="1"/>
  <c r="N798" i="5"/>
  <c r="L798" i="5"/>
  <c r="I798" i="5"/>
  <c r="G798" i="5"/>
  <c r="J798" i="5" s="1"/>
  <c r="N797" i="5"/>
  <c r="L797" i="5"/>
  <c r="I797" i="5"/>
  <c r="G797" i="5"/>
  <c r="N796" i="5"/>
  <c r="L796" i="5"/>
  <c r="J796" i="5"/>
  <c r="M796" i="5" s="1"/>
  <c r="F796" i="5" s="1"/>
  <c r="I796" i="5"/>
  <c r="G796" i="5"/>
  <c r="N795" i="5"/>
  <c r="L795" i="5"/>
  <c r="I795" i="5"/>
  <c r="G795" i="5"/>
  <c r="N794" i="5"/>
  <c r="M794" i="5"/>
  <c r="F794" i="5" s="1"/>
  <c r="L794" i="5"/>
  <c r="J794" i="5"/>
  <c r="I794" i="5"/>
  <c r="G794" i="5"/>
  <c r="N793" i="5"/>
  <c r="L793" i="5"/>
  <c r="I793" i="5"/>
  <c r="J793" i="5" s="1"/>
  <c r="G793" i="5"/>
  <c r="N792" i="5"/>
  <c r="L792" i="5"/>
  <c r="I792" i="5"/>
  <c r="G792" i="5"/>
  <c r="N791" i="5"/>
  <c r="L791" i="5"/>
  <c r="I791" i="5"/>
  <c r="G791" i="5"/>
  <c r="N790" i="5"/>
  <c r="L790" i="5"/>
  <c r="I790" i="5"/>
  <c r="G790" i="5"/>
  <c r="J790" i="5" s="1"/>
  <c r="M790" i="5" s="1"/>
  <c r="F790" i="5" s="1"/>
  <c r="N789" i="5"/>
  <c r="L789" i="5"/>
  <c r="I789" i="5"/>
  <c r="G789" i="5"/>
  <c r="N788" i="5"/>
  <c r="L788" i="5"/>
  <c r="I788" i="5"/>
  <c r="J788" i="5" s="1"/>
  <c r="G788" i="5"/>
  <c r="N787" i="5"/>
  <c r="L787" i="5"/>
  <c r="I787" i="5"/>
  <c r="G787" i="5"/>
  <c r="J787" i="5" s="1"/>
  <c r="N786" i="5"/>
  <c r="L786" i="5"/>
  <c r="J786" i="5"/>
  <c r="M786" i="5" s="1"/>
  <c r="F786" i="5" s="1"/>
  <c r="I786" i="5"/>
  <c r="G786" i="5"/>
  <c r="N785" i="5"/>
  <c r="L785" i="5"/>
  <c r="I785" i="5"/>
  <c r="J785" i="5" s="1"/>
  <c r="G785" i="5"/>
  <c r="N784" i="5"/>
  <c r="L784" i="5"/>
  <c r="J784" i="5"/>
  <c r="M784" i="5" s="1"/>
  <c r="F784" i="5" s="1"/>
  <c r="I784" i="5"/>
  <c r="G784" i="5"/>
  <c r="N783" i="5"/>
  <c r="L783" i="5"/>
  <c r="J783" i="5"/>
  <c r="I783" i="5"/>
  <c r="G783" i="5"/>
  <c r="N782" i="5"/>
  <c r="L782" i="5"/>
  <c r="I782" i="5"/>
  <c r="G782" i="5"/>
  <c r="N781" i="5"/>
  <c r="L781" i="5"/>
  <c r="I781" i="5"/>
  <c r="G781" i="5"/>
  <c r="J781" i="5" s="1"/>
  <c r="N780" i="5"/>
  <c r="L780" i="5"/>
  <c r="J780" i="5"/>
  <c r="M780" i="5" s="1"/>
  <c r="F780" i="5" s="1"/>
  <c r="I780" i="5"/>
  <c r="G780" i="5"/>
  <c r="N779" i="5"/>
  <c r="L779" i="5"/>
  <c r="I779" i="5"/>
  <c r="G779" i="5"/>
  <c r="J779" i="5" s="1"/>
  <c r="N778" i="5"/>
  <c r="L778" i="5"/>
  <c r="J778" i="5"/>
  <c r="M778" i="5" s="1"/>
  <c r="F778" i="5" s="1"/>
  <c r="I778" i="5"/>
  <c r="G778" i="5"/>
  <c r="N777" i="5"/>
  <c r="L777" i="5"/>
  <c r="I777" i="5"/>
  <c r="J777" i="5" s="1"/>
  <c r="G777" i="5"/>
  <c r="N776" i="5"/>
  <c r="L776" i="5"/>
  <c r="I776" i="5"/>
  <c r="G776" i="5"/>
  <c r="J776" i="5" s="1"/>
  <c r="N775" i="5"/>
  <c r="L775" i="5"/>
  <c r="M775" i="5" s="1"/>
  <c r="F775" i="5" s="1"/>
  <c r="I775" i="5"/>
  <c r="G775" i="5"/>
  <c r="J775" i="5" s="1"/>
  <c r="N774" i="5"/>
  <c r="L774" i="5"/>
  <c r="I774" i="5"/>
  <c r="G774" i="5"/>
  <c r="J774" i="5" s="1"/>
  <c r="N773" i="5"/>
  <c r="M773" i="5"/>
  <c r="F773" i="5" s="1"/>
  <c r="L773" i="5"/>
  <c r="J773" i="5"/>
  <c r="I773" i="5"/>
  <c r="G773" i="5"/>
  <c r="N772" i="5"/>
  <c r="L772" i="5"/>
  <c r="I772" i="5"/>
  <c r="G772" i="5"/>
  <c r="J772" i="5" s="1"/>
  <c r="N771" i="5"/>
  <c r="L771" i="5"/>
  <c r="I771" i="5"/>
  <c r="G771" i="5"/>
  <c r="J771" i="5" s="1"/>
  <c r="N770" i="5"/>
  <c r="L770" i="5"/>
  <c r="I770" i="5"/>
  <c r="G770" i="5"/>
  <c r="J770" i="5" s="1"/>
  <c r="N769" i="5"/>
  <c r="M769" i="5"/>
  <c r="F769" i="5" s="1"/>
  <c r="L769" i="5"/>
  <c r="I769" i="5"/>
  <c r="G769" i="5"/>
  <c r="J769" i="5" s="1"/>
  <c r="N768" i="5"/>
  <c r="L768" i="5"/>
  <c r="I768" i="5"/>
  <c r="G768" i="5"/>
  <c r="N767" i="5"/>
  <c r="L767" i="5"/>
  <c r="I767" i="5"/>
  <c r="G767" i="5"/>
  <c r="J767" i="5" s="1"/>
  <c r="N766" i="5"/>
  <c r="L766" i="5"/>
  <c r="I766" i="5"/>
  <c r="G766" i="5"/>
  <c r="N765" i="5"/>
  <c r="L765" i="5"/>
  <c r="I765" i="5"/>
  <c r="J765" i="5" s="1"/>
  <c r="G765" i="5"/>
  <c r="N764" i="5"/>
  <c r="L764" i="5"/>
  <c r="I764" i="5"/>
  <c r="G764" i="5"/>
  <c r="J764" i="5" s="1"/>
  <c r="N763" i="5"/>
  <c r="L763" i="5"/>
  <c r="J763" i="5"/>
  <c r="M763" i="5" s="1"/>
  <c r="F763" i="5" s="1"/>
  <c r="I763" i="5"/>
  <c r="G763" i="5"/>
  <c r="N762" i="5"/>
  <c r="L762" i="5"/>
  <c r="J762" i="5"/>
  <c r="M762" i="5" s="1"/>
  <c r="F762" i="5" s="1"/>
  <c r="I762" i="5"/>
  <c r="G762" i="5"/>
  <c r="N761" i="5"/>
  <c r="M761" i="5"/>
  <c r="L761" i="5"/>
  <c r="J761" i="5"/>
  <c r="I761" i="5"/>
  <c r="G761" i="5"/>
  <c r="F761" i="5"/>
  <c r="N760" i="5"/>
  <c r="M760" i="5"/>
  <c r="F760" i="5" s="1"/>
  <c r="L760" i="5"/>
  <c r="I760" i="5"/>
  <c r="G760" i="5"/>
  <c r="J760" i="5" s="1"/>
  <c r="N759" i="5"/>
  <c r="L759" i="5"/>
  <c r="I759" i="5"/>
  <c r="G759" i="5"/>
  <c r="J759" i="5" s="1"/>
  <c r="N758" i="5"/>
  <c r="L758" i="5"/>
  <c r="I758" i="5"/>
  <c r="G758" i="5"/>
  <c r="J758" i="5" s="1"/>
  <c r="N757" i="5"/>
  <c r="L757" i="5"/>
  <c r="I757" i="5"/>
  <c r="G757" i="5"/>
  <c r="J757" i="5" s="1"/>
  <c r="N756" i="5"/>
  <c r="L756" i="5"/>
  <c r="J756" i="5"/>
  <c r="M756" i="5" s="1"/>
  <c r="F756" i="5" s="1"/>
  <c r="I756" i="5"/>
  <c r="G756" i="5"/>
  <c r="N755" i="5"/>
  <c r="L755" i="5"/>
  <c r="I755" i="5"/>
  <c r="J755" i="5" s="1"/>
  <c r="G755" i="5"/>
  <c r="N754" i="5"/>
  <c r="L754" i="5"/>
  <c r="I754" i="5"/>
  <c r="G754" i="5"/>
  <c r="J754" i="5" s="1"/>
  <c r="N753" i="5"/>
  <c r="L753" i="5"/>
  <c r="M753" i="5" s="1"/>
  <c r="F753" i="5" s="1"/>
  <c r="J753" i="5"/>
  <c r="I753" i="5"/>
  <c r="G753" i="5"/>
  <c r="N752" i="5"/>
  <c r="L752" i="5"/>
  <c r="I752" i="5"/>
  <c r="G752" i="5"/>
  <c r="N751" i="5"/>
  <c r="M751" i="5"/>
  <c r="F751" i="5" s="1"/>
  <c r="L751" i="5"/>
  <c r="I751" i="5"/>
  <c r="G751" i="5"/>
  <c r="J751" i="5" s="1"/>
  <c r="N750" i="5"/>
  <c r="L750" i="5"/>
  <c r="I750" i="5"/>
  <c r="G750" i="5"/>
  <c r="N749" i="5"/>
  <c r="L749" i="5"/>
  <c r="I749" i="5"/>
  <c r="J749" i="5" s="1"/>
  <c r="G749" i="5"/>
  <c r="N748" i="5"/>
  <c r="L748" i="5"/>
  <c r="I748" i="5"/>
  <c r="J748" i="5" s="1"/>
  <c r="M748" i="5" s="1"/>
  <c r="F748" i="5" s="1"/>
  <c r="G748" i="5"/>
  <c r="N747" i="5"/>
  <c r="L747" i="5"/>
  <c r="J747" i="5"/>
  <c r="M747" i="5" s="1"/>
  <c r="F747" i="5" s="1"/>
  <c r="I747" i="5"/>
  <c r="G747" i="5"/>
  <c r="N746" i="5"/>
  <c r="M746" i="5"/>
  <c r="F746" i="5" s="1"/>
  <c r="L746" i="5"/>
  <c r="J746" i="5"/>
  <c r="I746" i="5"/>
  <c r="G746" i="5"/>
  <c r="N745" i="5"/>
  <c r="L745" i="5"/>
  <c r="I745" i="5"/>
  <c r="G745" i="5"/>
  <c r="J745" i="5" s="1"/>
  <c r="N744" i="5"/>
  <c r="L744" i="5"/>
  <c r="I744" i="5"/>
  <c r="G744" i="5"/>
  <c r="J744" i="5" s="1"/>
  <c r="N743" i="5"/>
  <c r="L743" i="5"/>
  <c r="I743" i="5"/>
  <c r="G743" i="5"/>
  <c r="J743" i="5" s="1"/>
  <c r="N742" i="5"/>
  <c r="L742" i="5"/>
  <c r="I742" i="5"/>
  <c r="G742" i="5"/>
  <c r="J742" i="5" s="1"/>
  <c r="N741" i="5"/>
  <c r="L741" i="5"/>
  <c r="J741" i="5"/>
  <c r="I741" i="5"/>
  <c r="G741" i="5"/>
  <c r="N740" i="5"/>
  <c r="L740" i="5"/>
  <c r="J740" i="5"/>
  <c r="M740" i="5" s="1"/>
  <c r="F740" i="5" s="1"/>
  <c r="I740" i="5"/>
  <c r="G740" i="5"/>
  <c r="N739" i="5"/>
  <c r="L739" i="5"/>
  <c r="I739" i="5"/>
  <c r="J739" i="5" s="1"/>
  <c r="G739" i="5"/>
  <c r="N738" i="5"/>
  <c r="L738" i="5"/>
  <c r="I738" i="5"/>
  <c r="G738" i="5"/>
  <c r="J738" i="5" s="1"/>
  <c r="N737" i="5"/>
  <c r="L737" i="5"/>
  <c r="M737" i="5" s="1"/>
  <c r="F737" i="5" s="1"/>
  <c r="J737" i="5"/>
  <c r="I737" i="5"/>
  <c r="G737" i="5"/>
  <c r="N736" i="5"/>
  <c r="L736" i="5"/>
  <c r="I736" i="5"/>
  <c r="G736" i="5"/>
  <c r="N735" i="5"/>
  <c r="L735" i="5"/>
  <c r="I735" i="5"/>
  <c r="G735" i="5"/>
  <c r="J735" i="5" s="1"/>
  <c r="N734" i="5"/>
  <c r="L734" i="5"/>
  <c r="I734" i="5"/>
  <c r="G734" i="5"/>
  <c r="N733" i="5"/>
  <c r="L733" i="5"/>
  <c r="I733" i="5"/>
  <c r="J733" i="5" s="1"/>
  <c r="G733" i="5"/>
  <c r="N732" i="5"/>
  <c r="L732" i="5"/>
  <c r="I732" i="5"/>
  <c r="J732" i="5" s="1"/>
  <c r="M732" i="5" s="1"/>
  <c r="F732" i="5" s="1"/>
  <c r="G732" i="5"/>
  <c r="N731" i="5"/>
  <c r="L731" i="5"/>
  <c r="J731" i="5"/>
  <c r="M731" i="5" s="1"/>
  <c r="F731" i="5" s="1"/>
  <c r="I731" i="5"/>
  <c r="G731" i="5"/>
  <c r="N730" i="5"/>
  <c r="L730" i="5"/>
  <c r="J730" i="5"/>
  <c r="M730" i="5" s="1"/>
  <c r="F730" i="5" s="1"/>
  <c r="I730" i="5"/>
  <c r="G730" i="5"/>
  <c r="N729" i="5"/>
  <c r="L729" i="5"/>
  <c r="I729" i="5"/>
  <c r="G729" i="5"/>
  <c r="J729" i="5" s="1"/>
  <c r="N728" i="5"/>
  <c r="M728" i="5"/>
  <c r="F728" i="5" s="1"/>
  <c r="L728" i="5"/>
  <c r="I728" i="5"/>
  <c r="G728" i="5"/>
  <c r="J728" i="5" s="1"/>
  <c r="N727" i="5"/>
  <c r="L727" i="5"/>
  <c r="I727" i="5"/>
  <c r="G727" i="5"/>
  <c r="J727" i="5" s="1"/>
  <c r="N726" i="5"/>
  <c r="L726" i="5"/>
  <c r="I726" i="5"/>
  <c r="G726" i="5"/>
  <c r="J726" i="5" s="1"/>
  <c r="N725" i="5"/>
  <c r="L725" i="5"/>
  <c r="J725" i="5"/>
  <c r="I725" i="5"/>
  <c r="G725" i="5"/>
  <c r="N724" i="5"/>
  <c r="L724" i="5"/>
  <c r="J724" i="5"/>
  <c r="M724" i="5" s="1"/>
  <c r="F724" i="5" s="1"/>
  <c r="I724" i="5"/>
  <c r="G724" i="5"/>
  <c r="N723" i="5"/>
  <c r="L723" i="5"/>
  <c r="J723" i="5"/>
  <c r="I723" i="5"/>
  <c r="G723" i="5"/>
  <c r="N722" i="5"/>
  <c r="L722" i="5"/>
  <c r="I722" i="5"/>
  <c r="G722" i="5"/>
  <c r="J722" i="5" s="1"/>
  <c r="N721" i="5"/>
  <c r="M721" i="5"/>
  <c r="F721" i="5" s="1"/>
  <c r="L721" i="5"/>
  <c r="J721" i="5"/>
  <c r="I721" i="5"/>
  <c r="G721" i="5"/>
  <c r="N720" i="5"/>
  <c r="L720" i="5"/>
  <c r="I720" i="5"/>
  <c r="G720" i="5"/>
  <c r="N719" i="5"/>
  <c r="L719" i="5"/>
  <c r="I719" i="5"/>
  <c r="G719" i="5"/>
  <c r="J719" i="5" s="1"/>
  <c r="N718" i="5"/>
  <c r="L718" i="5"/>
  <c r="I718" i="5"/>
  <c r="G718" i="5"/>
  <c r="J718" i="5" s="1"/>
  <c r="N717" i="5"/>
  <c r="L717" i="5"/>
  <c r="I717" i="5"/>
  <c r="J717" i="5" s="1"/>
  <c r="G717" i="5"/>
  <c r="N716" i="5"/>
  <c r="L716" i="5"/>
  <c r="I716" i="5"/>
  <c r="J716" i="5" s="1"/>
  <c r="G716" i="5"/>
  <c r="N715" i="5"/>
  <c r="L715" i="5"/>
  <c r="J715" i="5"/>
  <c r="M715" i="5" s="1"/>
  <c r="F715" i="5" s="1"/>
  <c r="I715" i="5"/>
  <c r="G715" i="5"/>
  <c r="N714" i="5"/>
  <c r="L714" i="5"/>
  <c r="M714" i="5" s="1"/>
  <c r="F714" i="5" s="1"/>
  <c r="J714" i="5"/>
  <c r="I714" i="5"/>
  <c r="G714" i="5"/>
  <c r="N713" i="5"/>
  <c r="L713" i="5"/>
  <c r="I713" i="5"/>
  <c r="G713" i="5"/>
  <c r="J713" i="5" s="1"/>
  <c r="N712" i="5"/>
  <c r="L712" i="5"/>
  <c r="I712" i="5"/>
  <c r="G712" i="5"/>
  <c r="J712" i="5" s="1"/>
  <c r="N711" i="5"/>
  <c r="L711" i="5"/>
  <c r="I711" i="5"/>
  <c r="G711" i="5"/>
  <c r="J711" i="5" s="1"/>
  <c r="N710" i="5"/>
  <c r="L710" i="5"/>
  <c r="I710" i="5"/>
  <c r="G710" i="5"/>
  <c r="J710" i="5" s="1"/>
  <c r="N709" i="5"/>
  <c r="L709" i="5"/>
  <c r="I709" i="5"/>
  <c r="G709" i="5"/>
  <c r="J709" i="5" s="1"/>
  <c r="N708" i="5"/>
  <c r="L708" i="5"/>
  <c r="J708" i="5"/>
  <c r="M708" i="5" s="1"/>
  <c r="F708" i="5" s="1"/>
  <c r="I708" i="5"/>
  <c r="G708" i="5"/>
  <c r="N707" i="5"/>
  <c r="L707" i="5"/>
  <c r="J707" i="5"/>
  <c r="M707" i="5" s="1"/>
  <c r="F707" i="5" s="1"/>
  <c r="I707" i="5"/>
  <c r="G707" i="5"/>
  <c r="N706" i="5"/>
  <c r="L706" i="5"/>
  <c r="I706" i="5"/>
  <c r="G706" i="5"/>
  <c r="J706" i="5" s="1"/>
  <c r="N705" i="5"/>
  <c r="L705" i="5"/>
  <c r="M705" i="5" s="1"/>
  <c r="F705" i="5" s="1"/>
  <c r="J705" i="5"/>
  <c r="I705" i="5"/>
  <c r="G705" i="5"/>
  <c r="N704" i="5"/>
  <c r="L704" i="5"/>
  <c r="I704" i="5"/>
  <c r="G704" i="5"/>
  <c r="N703" i="5"/>
  <c r="M703" i="5"/>
  <c r="F703" i="5" s="1"/>
  <c r="L703" i="5"/>
  <c r="I703" i="5"/>
  <c r="G703" i="5"/>
  <c r="J703" i="5" s="1"/>
  <c r="N702" i="5"/>
  <c r="L702" i="5"/>
  <c r="I702" i="5"/>
  <c r="G702" i="5"/>
  <c r="J702" i="5" s="1"/>
  <c r="N701" i="5"/>
  <c r="L701" i="5"/>
  <c r="I701" i="5"/>
  <c r="J701" i="5" s="1"/>
  <c r="G701" i="5"/>
  <c r="N700" i="5"/>
  <c r="L700" i="5"/>
  <c r="I700" i="5"/>
  <c r="J700" i="5" s="1"/>
  <c r="G700" i="5"/>
  <c r="N699" i="5"/>
  <c r="L699" i="5"/>
  <c r="J699" i="5"/>
  <c r="M699" i="5" s="1"/>
  <c r="F699" i="5" s="1"/>
  <c r="I699" i="5"/>
  <c r="G699" i="5"/>
  <c r="N698" i="5"/>
  <c r="L698" i="5"/>
  <c r="M698" i="5" s="1"/>
  <c r="F698" i="5" s="1"/>
  <c r="J698" i="5"/>
  <c r="I698" i="5"/>
  <c r="G698" i="5"/>
  <c r="N697" i="5"/>
  <c r="L697" i="5"/>
  <c r="I697" i="5"/>
  <c r="G697" i="5"/>
  <c r="N696" i="5"/>
  <c r="L696" i="5"/>
  <c r="I696" i="5"/>
  <c r="G696" i="5"/>
  <c r="J696" i="5" s="1"/>
  <c r="N695" i="5"/>
  <c r="L695" i="5"/>
  <c r="I695" i="5"/>
  <c r="G695" i="5"/>
  <c r="N694" i="5"/>
  <c r="L694" i="5"/>
  <c r="I694" i="5"/>
  <c r="G694" i="5"/>
  <c r="J694" i="5" s="1"/>
  <c r="N693" i="5"/>
  <c r="L693" i="5"/>
  <c r="J693" i="5"/>
  <c r="M693" i="5" s="1"/>
  <c r="F693" i="5" s="1"/>
  <c r="I693" i="5"/>
  <c r="G693" i="5"/>
  <c r="N692" i="5"/>
  <c r="L692" i="5"/>
  <c r="J692" i="5"/>
  <c r="I692" i="5"/>
  <c r="G692" i="5"/>
  <c r="N691" i="5"/>
  <c r="L691" i="5"/>
  <c r="I691" i="5"/>
  <c r="J691" i="5" s="1"/>
  <c r="G691" i="5"/>
  <c r="N690" i="5"/>
  <c r="L690" i="5"/>
  <c r="I690" i="5"/>
  <c r="G690" i="5"/>
  <c r="J690" i="5" s="1"/>
  <c r="N689" i="5"/>
  <c r="L689" i="5"/>
  <c r="M689" i="5" s="1"/>
  <c r="F689" i="5" s="1"/>
  <c r="J689" i="5"/>
  <c r="I689" i="5"/>
  <c r="G689" i="5"/>
  <c r="N688" i="5"/>
  <c r="M688" i="5"/>
  <c r="L688" i="5"/>
  <c r="I688" i="5"/>
  <c r="G688" i="5"/>
  <c r="J688" i="5" s="1"/>
  <c r="F688" i="5"/>
  <c r="N687" i="5"/>
  <c r="L687" i="5"/>
  <c r="I687" i="5"/>
  <c r="G687" i="5"/>
  <c r="N686" i="5"/>
  <c r="L686" i="5"/>
  <c r="I686" i="5"/>
  <c r="G686" i="5"/>
  <c r="J686" i="5" s="1"/>
  <c r="N685" i="5"/>
  <c r="L685" i="5"/>
  <c r="I685" i="5"/>
  <c r="J685" i="5" s="1"/>
  <c r="G685" i="5"/>
  <c r="N684" i="5"/>
  <c r="L684" i="5"/>
  <c r="I684" i="5"/>
  <c r="J684" i="5" s="1"/>
  <c r="G684" i="5"/>
  <c r="N683" i="5"/>
  <c r="L683" i="5"/>
  <c r="J683" i="5"/>
  <c r="M683" i="5" s="1"/>
  <c r="F683" i="5" s="1"/>
  <c r="I683" i="5"/>
  <c r="G683" i="5"/>
  <c r="N682" i="5"/>
  <c r="M682" i="5"/>
  <c r="F682" i="5" s="1"/>
  <c r="L682" i="5"/>
  <c r="J682" i="5"/>
  <c r="I682" i="5"/>
  <c r="G682" i="5"/>
  <c r="N681" i="5"/>
  <c r="L681" i="5"/>
  <c r="I681" i="5"/>
  <c r="G681" i="5"/>
  <c r="N680" i="5"/>
  <c r="M680" i="5"/>
  <c r="F680" i="5" s="1"/>
  <c r="L680" i="5"/>
  <c r="I680" i="5"/>
  <c r="G680" i="5"/>
  <c r="J680" i="5" s="1"/>
  <c r="N679" i="5"/>
  <c r="L679" i="5"/>
  <c r="I679" i="5"/>
  <c r="G679" i="5"/>
  <c r="J679" i="5" s="1"/>
  <c r="N678" i="5"/>
  <c r="L678" i="5"/>
  <c r="I678" i="5"/>
  <c r="G678" i="5"/>
  <c r="J678" i="5" s="1"/>
  <c r="N677" i="5"/>
  <c r="L677" i="5"/>
  <c r="J677" i="5"/>
  <c r="I677" i="5"/>
  <c r="G677" i="5"/>
  <c r="N676" i="5"/>
  <c r="L676" i="5"/>
  <c r="I676" i="5"/>
  <c r="J676" i="5" s="1"/>
  <c r="G676" i="5"/>
  <c r="N675" i="5"/>
  <c r="L675" i="5"/>
  <c r="I675" i="5"/>
  <c r="J675" i="5" s="1"/>
  <c r="M675" i="5" s="1"/>
  <c r="F675" i="5" s="1"/>
  <c r="G675" i="5"/>
  <c r="N674" i="5"/>
  <c r="L674" i="5"/>
  <c r="I674" i="5"/>
  <c r="G674" i="5"/>
  <c r="N673" i="5"/>
  <c r="L673" i="5"/>
  <c r="J673" i="5"/>
  <c r="M673" i="5" s="1"/>
  <c r="F673" i="5" s="1"/>
  <c r="I673" i="5"/>
  <c r="G673" i="5"/>
  <c r="N672" i="5"/>
  <c r="M672" i="5"/>
  <c r="F672" i="5" s="1"/>
  <c r="L672" i="5"/>
  <c r="I672" i="5"/>
  <c r="G672" i="5"/>
  <c r="J672" i="5" s="1"/>
  <c r="N671" i="5"/>
  <c r="L671" i="5"/>
  <c r="I671" i="5"/>
  <c r="G671" i="5"/>
  <c r="N670" i="5"/>
  <c r="L670" i="5"/>
  <c r="J670" i="5"/>
  <c r="I670" i="5"/>
  <c r="G670" i="5"/>
  <c r="N669" i="5"/>
  <c r="L669" i="5"/>
  <c r="I669" i="5"/>
  <c r="J669" i="5" s="1"/>
  <c r="G669" i="5"/>
  <c r="N668" i="5"/>
  <c r="L668" i="5"/>
  <c r="I668" i="5"/>
  <c r="G668" i="5"/>
  <c r="J668" i="5" s="1"/>
  <c r="N667" i="5"/>
  <c r="L667" i="5"/>
  <c r="J667" i="5"/>
  <c r="M667" i="5" s="1"/>
  <c r="I667" i="5"/>
  <c r="G667" i="5"/>
  <c r="F667" i="5"/>
  <c r="N666" i="5"/>
  <c r="L666" i="5"/>
  <c r="J666" i="5"/>
  <c r="I666" i="5"/>
  <c r="G666" i="5"/>
  <c r="N665" i="5"/>
  <c r="L665" i="5"/>
  <c r="I665" i="5"/>
  <c r="G665" i="5"/>
  <c r="J665" i="5" s="1"/>
  <c r="N664" i="5"/>
  <c r="L664" i="5"/>
  <c r="I664" i="5"/>
  <c r="G664" i="5"/>
  <c r="N663" i="5"/>
  <c r="L663" i="5"/>
  <c r="J663" i="5"/>
  <c r="I663" i="5"/>
  <c r="G663" i="5"/>
  <c r="N662" i="5"/>
  <c r="L662" i="5"/>
  <c r="I662" i="5"/>
  <c r="G662" i="5"/>
  <c r="J662" i="5" s="1"/>
  <c r="N661" i="5"/>
  <c r="L661" i="5"/>
  <c r="I661" i="5"/>
  <c r="J661" i="5" s="1"/>
  <c r="M661" i="5" s="1"/>
  <c r="F661" i="5" s="1"/>
  <c r="G661" i="5"/>
  <c r="N660" i="5"/>
  <c r="L660" i="5"/>
  <c r="J660" i="5"/>
  <c r="M660" i="5" s="1"/>
  <c r="F660" i="5" s="1"/>
  <c r="I660" i="5"/>
  <c r="G660" i="5"/>
  <c r="N659" i="5"/>
  <c r="L659" i="5"/>
  <c r="J659" i="5"/>
  <c r="I659" i="5"/>
  <c r="G659" i="5"/>
  <c r="N658" i="5"/>
  <c r="L658" i="5"/>
  <c r="I658" i="5"/>
  <c r="G658" i="5"/>
  <c r="N657" i="5"/>
  <c r="L657" i="5"/>
  <c r="J657" i="5"/>
  <c r="M657" i="5" s="1"/>
  <c r="I657" i="5"/>
  <c r="G657" i="5"/>
  <c r="F657" i="5"/>
  <c r="N656" i="5"/>
  <c r="L656" i="5"/>
  <c r="I656" i="5"/>
  <c r="G656" i="5"/>
  <c r="J656" i="5" s="1"/>
  <c r="N655" i="5"/>
  <c r="L655" i="5"/>
  <c r="I655" i="5"/>
  <c r="G655" i="5"/>
  <c r="J655" i="5" s="1"/>
  <c r="N654" i="5"/>
  <c r="L654" i="5"/>
  <c r="I654" i="5"/>
  <c r="G654" i="5"/>
  <c r="J654" i="5" s="1"/>
  <c r="M654" i="5" s="1"/>
  <c r="F654" i="5" s="1"/>
  <c r="N653" i="5"/>
  <c r="L653" i="5"/>
  <c r="I653" i="5"/>
  <c r="J653" i="5" s="1"/>
  <c r="G653" i="5"/>
  <c r="N652" i="5"/>
  <c r="M652" i="5"/>
  <c r="F652" i="5" s="1"/>
  <c r="L652" i="5"/>
  <c r="J652" i="5"/>
  <c r="I652" i="5"/>
  <c r="G652" i="5"/>
  <c r="N651" i="5"/>
  <c r="L651" i="5"/>
  <c r="J651" i="5"/>
  <c r="I651" i="5"/>
  <c r="G651" i="5"/>
  <c r="N650" i="5"/>
  <c r="L650" i="5"/>
  <c r="J650" i="5"/>
  <c r="I650" i="5"/>
  <c r="G650" i="5"/>
  <c r="N649" i="5"/>
  <c r="L649" i="5"/>
  <c r="I649" i="5"/>
  <c r="G649" i="5"/>
  <c r="J649" i="5" s="1"/>
  <c r="N648" i="5"/>
  <c r="L648" i="5"/>
  <c r="I648" i="5"/>
  <c r="G648" i="5"/>
  <c r="J648" i="5" s="1"/>
  <c r="M648" i="5" s="1"/>
  <c r="F648" i="5" s="1"/>
  <c r="N647" i="5"/>
  <c r="L647" i="5"/>
  <c r="J647" i="5"/>
  <c r="I647" i="5"/>
  <c r="G647" i="5"/>
  <c r="N646" i="5"/>
  <c r="L646" i="5"/>
  <c r="I646" i="5"/>
  <c r="G646" i="5"/>
  <c r="N645" i="5"/>
  <c r="L645" i="5"/>
  <c r="I645" i="5"/>
  <c r="G645" i="5"/>
  <c r="J645" i="5" s="1"/>
  <c r="N644" i="5"/>
  <c r="L644" i="5"/>
  <c r="I644" i="5"/>
  <c r="G644" i="5"/>
  <c r="N643" i="5"/>
  <c r="M643" i="5"/>
  <c r="F643" i="5" s="1"/>
  <c r="L643" i="5"/>
  <c r="I643" i="5"/>
  <c r="J643" i="5" s="1"/>
  <c r="G643" i="5"/>
  <c r="N642" i="5"/>
  <c r="L642" i="5"/>
  <c r="I642" i="5"/>
  <c r="G642" i="5"/>
  <c r="J642" i="5" s="1"/>
  <c r="M642" i="5" s="1"/>
  <c r="F642" i="5" s="1"/>
  <c r="N641" i="5"/>
  <c r="L641" i="5"/>
  <c r="I641" i="5"/>
  <c r="G641" i="5"/>
  <c r="N640" i="5"/>
  <c r="L640" i="5"/>
  <c r="I640" i="5"/>
  <c r="G640" i="5"/>
  <c r="N639" i="5"/>
  <c r="M639" i="5"/>
  <c r="F639" i="5" s="1"/>
  <c r="L639" i="5"/>
  <c r="I639" i="5"/>
  <c r="G639" i="5"/>
  <c r="J639" i="5" s="1"/>
  <c r="N638" i="5"/>
  <c r="L638" i="5"/>
  <c r="I638" i="5"/>
  <c r="G638" i="5"/>
  <c r="N637" i="5"/>
  <c r="L637" i="5"/>
  <c r="I637" i="5"/>
  <c r="J637" i="5" s="1"/>
  <c r="G637" i="5"/>
  <c r="N636" i="5"/>
  <c r="L636" i="5"/>
  <c r="I636" i="5"/>
  <c r="J636" i="5" s="1"/>
  <c r="G636" i="5"/>
  <c r="N635" i="5"/>
  <c r="L635" i="5"/>
  <c r="I635" i="5"/>
  <c r="G635" i="5"/>
  <c r="J635" i="5" s="1"/>
  <c r="N634" i="5"/>
  <c r="L634" i="5"/>
  <c r="I634" i="5"/>
  <c r="J634" i="5" s="1"/>
  <c r="G634" i="5"/>
  <c r="N633" i="5"/>
  <c r="L633" i="5"/>
  <c r="I633" i="5"/>
  <c r="G633" i="5"/>
  <c r="J633" i="5" s="1"/>
  <c r="N632" i="5"/>
  <c r="L632" i="5"/>
  <c r="M632" i="5" s="1"/>
  <c r="I632" i="5"/>
  <c r="G632" i="5"/>
  <c r="J632" i="5" s="1"/>
  <c r="F632" i="5"/>
  <c r="N631" i="5"/>
  <c r="L631" i="5"/>
  <c r="I631" i="5"/>
  <c r="G631" i="5"/>
  <c r="J631" i="5" s="1"/>
  <c r="N630" i="5"/>
  <c r="L630" i="5"/>
  <c r="I630" i="5"/>
  <c r="J630" i="5" s="1"/>
  <c r="G630" i="5"/>
  <c r="N629" i="5"/>
  <c r="M629" i="5"/>
  <c r="F629" i="5" s="1"/>
  <c r="L629" i="5"/>
  <c r="I629" i="5"/>
  <c r="G629" i="5"/>
  <c r="J629" i="5" s="1"/>
  <c r="N628" i="5"/>
  <c r="L628" i="5"/>
  <c r="I628" i="5"/>
  <c r="G628" i="5"/>
  <c r="N627" i="5"/>
  <c r="L627" i="5"/>
  <c r="I627" i="5"/>
  <c r="J627" i="5" s="1"/>
  <c r="G627" i="5"/>
  <c r="N626" i="5"/>
  <c r="L626" i="5"/>
  <c r="I626" i="5"/>
  <c r="G626" i="5"/>
  <c r="N625" i="5"/>
  <c r="L625" i="5"/>
  <c r="I625" i="5"/>
  <c r="G625" i="5"/>
  <c r="N624" i="5"/>
  <c r="L624" i="5"/>
  <c r="I624" i="5"/>
  <c r="J624" i="5" s="1"/>
  <c r="G624" i="5"/>
  <c r="N623" i="5"/>
  <c r="L623" i="5"/>
  <c r="I623" i="5"/>
  <c r="G623" i="5"/>
  <c r="J623" i="5" s="1"/>
  <c r="N622" i="5"/>
  <c r="L622" i="5"/>
  <c r="I622" i="5"/>
  <c r="G622" i="5"/>
  <c r="N621" i="5"/>
  <c r="L621" i="5"/>
  <c r="J621" i="5"/>
  <c r="M621" i="5" s="1"/>
  <c r="I621" i="5"/>
  <c r="G621" i="5"/>
  <c r="F621" i="5"/>
  <c r="N620" i="5"/>
  <c r="L620" i="5"/>
  <c r="I620" i="5"/>
  <c r="G620" i="5"/>
  <c r="J620" i="5" s="1"/>
  <c r="N619" i="5"/>
  <c r="L619" i="5"/>
  <c r="I619" i="5"/>
  <c r="G619" i="5"/>
  <c r="J619" i="5" s="1"/>
  <c r="N618" i="5"/>
  <c r="L618" i="5"/>
  <c r="I618" i="5"/>
  <c r="G618" i="5"/>
  <c r="N617" i="5"/>
  <c r="L617" i="5"/>
  <c r="I617" i="5"/>
  <c r="G617" i="5"/>
  <c r="J617" i="5" s="1"/>
  <c r="N616" i="5"/>
  <c r="L616" i="5"/>
  <c r="I616" i="5"/>
  <c r="G616" i="5"/>
  <c r="J616" i="5" s="1"/>
  <c r="M616" i="5" s="1"/>
  <c r="F616" i="5" s="1"/>
  <c r="N615" i="5"/>
  <c r="L615" i="5"/>
  <c r="I615" i="5"/>
  <c r="G615" i="5"/>
  <c r="J615" i="5" s="1"/>
  <c r="N614" i="5"/>
  <c r="L614" i="5"/>
  <c r="I614" i="5"/>
  <c r="J614" i="5" s="1"/>
  <c r="M614" i="5" s="1"/>
  <c r="F614" i="5" s="1"/>
  <c r="G614" i="5"/>
  <c r="N613" i="5"/>
  <c r="L613" i="5"/>
  <c r="I613" i="5"/>
  <c r="G613" i="5"/>
  <c r="J613" i="5" s="1"/>
  <c r="N612" i="5"/>
  <c r="L612" i="5"/>
  <c r="I612" i="5"/>
  <c r="J612" i="5" s="1"/>
  <c r="G612" i="5"/>
  <c r="N611" i="5"/>
  <c r="L611" i="5"/>
  <c r="I611" i="5"/>
  <c r="J611" i="5" s="1"/>
  <c r="G611" i="5"/>
  <c r="N610" i="5"/>
  <c r="L610" i="5"/>
  <c r="I610" i="5"/>
  <c r="G610" i="5"/>
  <c r="N609" i="5"/>
  <c r="L609" i="5"/>
  <c r="I609" i="5"/>
  <c r="G609" i="5"/>
  <c r="J609" i="5" s="1"/>
  <c r="N608" i="5"/>
  <c r="L608" i="5"/>
  <c r="I608" i="5"/>
  <c r="G608" i="5"/>
  <c r="J608" i="5" s="1"/>
  <c r="M608" i="5" s="1"/>
  <c r="F608" i="5" s="1"/>
  <c r="N607" i="5"/>
  <c r="L607" i="5"/>
  <c r="I607" i="5"/>
  <c r="G607" i="5"/>
  <c r="J607" i="5" s="1"/>
  <c r="N606" i="5"/>
  <c r="L606" i="5"/>
  <c r="I606" i="5"/>
  <c r="G606" i="5"/>
  <c r="J606" i="5" s="1"/>
  <c r="N605" i="5"/>
  <c r="L605" i="5"/>
  <c r="J605" i="5"/>
  <c r="M605" i="5" s="1"/>
  <c r="F605" i="5" s="1"/>
  <c r="I605" i="5"/>
  <c r="G605" i="5"/>
  <c r="N604" i="5"/>
  <c r="L604" i="5"/>
  <c r="I604" i="5"/>
  <c r="G604" i="5"/>
  <c r="J604" i="5" s="1"/>
  <c r="N603" i="5"/>
  <c r="L603" i="5"/>
  <c r="J603" i="5"/>
  <c r="M603" i="5" s="1"/>
  <c r="I603" i="5"/>
  <c r="G603" i="5"/>
  <c r="F603" i="5"/>
  <c r="N602" i="5"/>
  <c r="L602" i="5"/>
  <c r="J602" i="5"/>
  <c r="M602" i="5" s="1"/>
  <c r="F602" i="5" s="1"/>
  <c r="I602" i="5"/>
  <c r="G602" i="5"/>
  <c r="N601" i="5"/>
  <c r="L601" i="5"/>
  <c r="I601" i="5"/>
  <c r="J601" i="5" s="1"/>
  <c r="G601" i="5"/>
  <c r="N600" i="5"/>
  <c r="L600" i="5"/>
  <c r="I600" i="5"/>
  <c r="G600" i="5"/>
  <c r="N599" i="5"/>
  <c r="L599" i="5"/>
  <c r="I599" i="5"/>
  <c r="J599" i="5" s="1"/>
  <c r="G599" i="5"/>
  <c r="N598" i="5"/>
  <c r="L598" i="5"/>
  <c r="J598" i="5"/>
  <c r="M598" i="5" s="1"/>
  <c r="F598" i="5" s="1"/>
  <c r="I598" i="5"/>
  <c r="G598" i="5"/>
  <c r="N597" i="5"/>
  <c r="L597" i="5"/>
  <c r="I597" i="5"/>
  <c r="G597" i="5"/>
  <c r="N596" i="5"/>
  <c r="L596" i="5"/>
  <c r="I596" i="5"/>
  <c r="G596" i="5"/>
  <c r="N595" i="5"/>
  <c r="L595" i="5"/>
  <c r="I595" i="5"/>
  <c r="G595" i="5"/>
  <c r="J595" i="5" s="1"/>
  <c r="N594" i="5"/>
  <c r="L594" i="5"/>
  <c r="I594" i="5"/>
  <c r="G594" i="5"/>
  <c r="J594" i="5" s="1"/>
  <c r="N593" i="5"/>
  <c r="L593" i="5"/>
  <c r="J593" i="5"/>
  <c r="I593" i="5"/>
  <c r="G593" i="5"/>
  <c r="N592" i="5"/>
  <c r="L592" i="5"/>
  <c r="I592" i="5"/>
  <c r="G592" i="5"/>
  <c r="J592" i="5" s="1"/>
  <c r="N591" i="5"/>
  <c r="L591" i="5"/>
  <c r="I591" i="5"/>
  <c r="G591" i="5"/>
  <c r="J591" i="5" s="1"/>
  <c r="N590" i="5"/>
  <c r="L590" i="5"/>
  <c r="I590" i="5"/>
  <c r="G590" i="5"/>
  <c r="N589" i="5"/>
  <c r="L589" i="5"/>
  <c r="I589" i="5"/>
  <c r="G589" i="5"/>
  <c r="J589" i="5" s="1"/>
  <c r="N588" i="5"/>
  <c r="L588" i="5"/>
  <c r="I588" i="5"/>
  <c r="G588" i="5"/>
  <c r="N587" i="5"/>
  <c r="L587" i="5"/>
  <c r="I587" i="5"/>
  <c r="G587" i="5"/>
  <c r="J587" i="5" s="1"/>
  <c r="N586" i="5"/>
  <c r="L586" i="5"/>
  <c r="I586" i="5"/>
  <c r="J586" i="5" s="1"/>
  <c r="M586" i="5" s="1"/>
  <c r="F586" i="5" s="1"/>
  <c r="G586" i="5"/>
  <c r="N585" i="5"/>
  <c r="L585" i="5"/>
  <c r="I585" i="5"/>
  <c r="G585" i="5"/>
  <c r="J585" i="5" s="1"/>
  <c r="N584" i="5"/>
  <c r="L584" i="5"/>
  <c r="J584" i="5"/>
  <c r="M584" i="5" s="1"/>
  <c r="F584" i="5" s="1"/>
  <c r="I584" i="5"/>
  <c r="G584" i="5"/>
  <c r="N583" i="5"/>
  <c r="L583" i="5"/>
  <c r="I583" i="5"/>
  <c r="G583" i="5"/>
  <c r="J583" i="5" s="1"/>
  <c r="N582" i="5"/>
  <c r="L582" i="5"/>
  <c r="I582" i="5"/>
  <c r="G582" i="5"/>
  <c r="J582" i="5" s="1"/>
  <c r="N581" i="5"/>
  <c r="L581" i="5"/>
  <c r="I581" i="5"/>
  <c r="J581" i="5" s="1"/>
  <c r="G581" i="5"/>
  <c r="N580" i="5"/>
  <c r="L580" i="5"/>
  <c r="J580" i="5"/>
  <c r="M580" i="5" s="1"/>
  <c r="F580" i="5" s="1"/>
  <c r="I580" i="5"/>
  <c r="G580" i="5"/>
  <c r="N579" i="5"/>
  <c r="L579" i="5"/>
  <c r="I579" i="5"/>
  <c r="G579" i="5"/>
  <c r="N578" i="5"/>
  <c r="L578" i="5"/>
  <c r="I578" i="5"/>
  <c r="G578" i="5"/>
  <c r="J578" i="5" s="1"/>
  <c r="N577" i="5"/>
  <c r="L577" i="5"/>
  <c r="I577" i="5"/>
  <c r="J577" i="5" s="1"/>
  <c r="G577" i="5"/>
  <c r="N576" i="5"/>
  <c r="L576" i="5"/>
  <c r="J576" i="5"/>
  <c r="M576" i="5" s="1"/>
  <c r="F576" i="5" s="1"/>
  <c r="I576" i="5"/>
  <c r="G576" i="5"/>
  <c r="N575" i="5"/>
  <c r="L575" i="5"/>
  <c r="I575" i="5"/>
  <c r="G575" i="5"/>
  <c r="J575" i="5" s="1"/>
  <c r="M575" i="5" s="1"/>
  <c r="F575" i="5" s="1"/>
  <c r="N574" i="5"/>
  <c r="L574" i="5"/>
  <c r="I574" i="5"/>
  <c r="G574" i="5"/>
  <c r="N573" i="5"/>
  <c r="L573" i="5"/>
  <c r="I573" i="5"/>
  <c r="G573" i="5"/>
  <c r="J573" i="5" s="1"/>
  <c r="N572" i="5"/>
  <c r="L572" i="5"/>
  <c r="I572" i="5"/>
  <c r="G572" i="5"/>
  <c r="N571" i="5"/>
  <c r="L571" i="5"/>
  <c r="I571" i="5"/>
  <c r="G571" i="5"/>
  <c r="J571" i="5" s="1"/>
  <c r="N570" i="5"/>
  <c r="L570" i="5"/>
  <c r="I570" i="5"/>
  <c r="J570" i="5" s="1"/>
  <c r="M570" i="5" s="1"/>
  <c r="F570" i="5" s="1"/>
  <c r="G570" i="5"/>
  <c r="N569" i="5"/>
  <c r="L569" i="5"/>
  <c r="I569" i="5"/>
  <c r="G569" i="5"/>
  <c r="J569" i="5" s="1"/>
  <c r="N568" i="5"/>
  <c r="L568" i="5"/>
  <c r="J568" i="5"/>
  <c r="M568" i="5" s="1"/>
  <c r="F568" i="5" s="1"/>
  <c r="I568" i="5"/>
  <c r="G568" i="5"/>
  <c r="N567" i="5"/>
  <c r="L567" i="5"/>
  <c r="I567" i="5"/>
  <c r="G567" i="5"/>
  <c r="J567" i="5" s="1"/>
  <c r="N566" i="5"/>
  <c r="L566" i="5"/>
  <c r="M566" i="5" s="1"/>
  <c r="F566" i="5" s="1"/>
  <c r="I566" i="5"/>
  <c r="G566" i="5"/>
  <c r="J566" i="5" s="1"/>
  <c r="N565" i="5"/>
  <c r="L565" i="5"/>
  <c r="I565" i="5"/>
  <c r="G565" i="5"/>
  <c r="J565" i="5" s="1"/>
  <c r="N564" i="5"/>
  <c r="L564" i="5"/>
  <c r="J564" i="5"/>
  <c r="M564" i="5" s="1"/>
  <c r="F564" i="5" s="1"/>
  <c r="I564" i="5"/>
  <c r="G564" i="5"/>
  <c r="N563" i="5"/>
  <c r="L563" i="5"/>
  <c r="I563" i="5"/>
  <c r="G563" i="5"/>
  <c r="J563" i="5" s="1"/>
  <c r="N562" i="5"/>
  <c r="L562" i="5"/>
  <c r="I562" i="5"/>
  <c r="G562" i="5"/>
  <c r="J562" i="5" s="1"/>
  <c r="N561" i="5"/>
  <c r="L561" i="5"/>
  <c r="J561" i="5"/>
  <c r="I561" i="5"/>
  <c r="G561" i="5"/>
  <c r="N560" i="5"/>
  <c r="L560" i="5"/>
  <c r="J560" i="5"/>
  <c r="M560" i="5" s="1"/>
  <c r="F560" i="5" s="1"/>
  <c r="I560" i="5"/>
  <c r="G560" i="5"/>
  <c r="N559" i="5"/>
  <c r="L559" i="5"/>
  <c r="I559" i="5"/>
  <c r="G559" i="5"/>
  <c r="J559" i="5" s="1"/>
  <c r="M559" i="5" s="1"/>
  <c r="F559" i="5" s="1"/>
  <c r="N558" i="5"/>
  <c r="L558" i="5"/>
  <c r="I558" i="5"/>
  <c r="G558" i="5"/>
  <c r="N557" i="5"/>
  <c r="L557" i="5"/>
  <c r="I557" i="5"/>
  <c r="G557" i="5"/>
  <c r="J557" i="5" s="1"/>
  <c r="N556" i="5"/>
  <c r="L556" i="5"/>
  <c r="I556" i="5"/>
  <c r="G556" i="5"/>
  <c r="N555" i="5"/>
  <c r="L555" i="5"/>
  <c r="I555" i="5"/>
  <c r="G555" i="5"/>
  <c r="J555" i="5" s="1"/>
  <c r="N554" i="5"/>
  <c r="L554" i="5"/>
  <c r="I554" i="5"/>
  <c r="J554" i="5" s="1"/>
  <c r="M554" i="5" s="1"/>
  <c r="F554" i="5" s="1"/>
  <c r="G554" i="5"/>
  <c r="N553" i="5"/>
  <c r="L553" i="5"/>
  <c r="I553" i="5"/>
  <c r="G553" i="5"/>
  <c r="J553" i="5" s="1"/>
  <c r="N552" i="5"/>
  <c r="M552" i="5"/>
  <c r="F552" i="5" s="1"/>
  <c r="L552" i="5"/>
  <c r="J552" i="5"/>
  <c r="I552" i="5"/>
  <c r="G552" i="5"/>
  <c r="N551" i="5"/>
  <c r="L551" i="5"/>
  <c r="I551" i="5"/>
  <c r="G551" i="5"/>
  <c r="J551" i="5" s="1"/>
  <c r="N550" i="5"/>
  <c r="L550" i="5"/>
  <c r="I550" i="5"/>
  <c r="G550" i="5"/>
  <c r="J550" i="5" s="1"/>
  <c r="N549" i="5"/>
  <c r="L549" i="5"/>
  <c r="I549" i="5"/>
  <c r="J549" i="5" s="1"/>
  <c r="G549" i="5"/>
  <c r="N548" i="5"/>
  <c r="L548" i="5"/>
  <c r="J548" i="5"/>
  <c r="M548" i="5" s="1"/>
  <c r="F548" i="5" s="1"/>
  <c r="I548" i="5"/>
  <c r="G548" i="5"/>
  <c r="N547" i="5"/>
  <c r="L547" i="5"/>
  <c r="I547" i="5"/>
  <c r="G547" i="5"/>
  <c r="J547" i="5" s="1"/>
  <c r="N546" i="5"/>
  <c r="L546" i="5"/>
  <c r="I546" i="5"/>
  <c r="G546" i="5"/>
  <c r="J546" i="5" s="1"/>
  <c r="N545" i="5"/>
  <c r="L545" i="5"/>
  <c r="I545" i="5"/>
  <c r="J545" i="5" s="1"/>
  <c r="G545" i="5"/>
  <c r="N544" i="5"/>
  <c r="L544" i="5"/>
  <c r="J544" i="5"/>
  <c r="M544" i="5" s="1"/>
  <c r="F544" i="5" s="1"/>
  <c r="I544" i="5"/>
  <c r="G544" i="5"/>
  <c r="N543" i="5"/>
  <c r="L543" i="5"/>
  <c r="I543" i="5"/>
  <c r="G543" i="5"/>
  <c r="J543" i="5" s="1"/>
  <c r="N542" i="5"/>
  <c r="L542" i="5"/>
  <c r="I542" i="5"/>
  <c r="G542" i="5"/>
  <c r="N541" i="5"/>
  <c r="L541" i="5"/>
  <c r="I541" i="5"/>
  <c r="G541" i="5"/>
  <c r="J541" i="5" s="1"/>
  <c r="N540" i="5"/>
  <c r="L540" i="5"/>
  <c r="I540" i="5"/>
  <c r="G540" i="5"/>
  <c r="N539" i="5"/>
  <c r="L539" i="5"/>
  <c r="I539" i="5"/>
  <c r="G539" i="5"/>
  <c r="J539" i="5" s="1"/>
  <c r="N538" i="5"/>
  <c r="L538" i="5"/>
  <c r="I538" i="5"/>
  <c r="J538" i="5" s="1"/>
  <c r="M538" i="5" s="1"/>
  <c r="F538" i="5" s="1"/>
  <c r="G538" i="5"/>
  <c r="N537" i="5"/>
  <c r="L537" i="5"/>
  <c r="I537" i="5"/>
  <c r="G537" i="5"/>
  <c r="J537" i="5" s="1"/>
  <c r="N536" i="5"/>
  <c r="M536" i="5"/>
  <c r="F536" i="5" s="1"/>
  <c r="L536" i="5"/>
  <c r="J536" i="5"/>
  <c r="I536" i="5"/>
  <c r="G536" i="5"/>
  <c r="N535" i="5"/>
  <c r="L535" i="5"/>
  <c r="I535" i="5"/>
  <c r="G535" i="5"/>
  <c r="J535" i="5" s="1"/>
  <c r="N534" i="5"/>
  <c r="L534" i="5"/>
  <c r="I534" i="5"/>
  <c r="G534" i="5"/>
  <c r="J534" i="5" s="1"/>
  <c r="N533" i="5"/>
  <c r="L533" i="5"/>
  <c r="I533" i="5"/>
  <c r="J533" i="5" s="1"/>
  <c r="G533" i="5"/>
  <c r="N532" i="5"/>
  <c r="L532" i="5"/>
  <c r="J532" i="5"/>
  <c r="M532" i="5" s="1"/>
  <c r="F532" i="5" s="1"/>
  <c r="I532" i="5"/>
  <c r="G532" i="5"/>
  <c r="N531" i="5"/>
  <c r="L531" i="5"/>
  <c r="J531" i="5"/>
  <c r="I531" i="5"/>
  <c r="G531" i="5"/>
  <c r="N530" i="5"/>
  <c r="L530" i="5"/>
  <c r="I530" i="5"/>
  <c r="G530" i="5"/>
  <c r="J530" i="5" s="1"/>
  <c r="N529" i="5"/>
  <c r="L529" i="5"/>
  <c r="J529" i="5"/>
  <c r="I529" i="5"/>
  <c r="G529" i="5"/>
  <c r="N528" i="5"/>
  <c r="L528" i="5"/>
  <c r="J528" i="5"/>
  <c r="M528" i="5" s="1"/>
  <c r="F528" i="5" s="1"/>
  <c r="I528" i="5"/>
  <c r="G528" i="5"/>
  <c r="N527" i="5"/>
  <c r="L527" i="5"/>
  <c r="I527" i="5"/>
  <c r="G527" i="5"/>
  <c r="J527" i="5" s="1"/>
  <c r="N526" i="5"/>
  <c r="L526" i="5"/>
  <c r="I526" i="5"/>
  <c r="G526" i="5"/>
  <c r="N525" i="5"/>
  <c r="L525" i="5"/>
  <c r="I525" i="5"/>
  <c r="G525" i="5"/>
  <c r="J525" i="5" s="1"/>
  <c r="N524" i="5"/>
  <c r="L524" i="5"/>
  <c r="I524" i="5"/>
  <c r="G524" i="5"/>
  <c r="N523" i="5"/>
  <c r="L523" i="5"/>
  <c r="I523" i="5"/>
  <c r="G523" i="5"/>
  <c r="J523" i="5" s="1"/>
  <c r="N522" i="5"/>
  <c r="L522" i="5"/>
  <c r="I522" i="5"/>
  <c r="J522" i="5" s="1"/>
  <c r="M522" i="5" s="1"/>
  <c r="F522" i="5" s="1"/>
  <c r="G522" i="5"/>
  <c r="N521" i="5"/>
  <c r="L521" i="5"/>
  <c r="I521" i="5"/>
  <c r="G521" i="5"/>
  <c r="J521" i="5" s="1"/>
  <c r="N520" i="5"/>
  <c r="L520" i="5"/>
  <c r="J520" i="5"/>
  <c r="M520" i="5" s="1"/>
  <c r="F520" i="5" s="1"/>
  <c r="I520" i="5"/>
  <c r="G520" i="5"/>
  <c r="N519" i="5"/>
  <c r="L519" i="5"/>
  <c r="I519" i="5"/>
  <c r="G519" i="5"/>
  <c r="J519" i="5" s="1"/>
  <c r="N518" i="5"/>
  <c r="M518" i="5"/>
  <c r="F518" i="5" s="1"/>
  <c r="L518" i="5"/>
  <c r="I518" i="5"/>
  <c r="G518" i="5"/>
  <c r="J518" i="5" s="1"/>
  <c r="N517" i="5"/>
  <c r="L517" i="5"/>
  <c r="I517" i="5"/>
  <c r="J517" i="5" s="1"/>
  <c r="G517" i="5"/>
  <c r="N516" i="5"/>
  <c r="L516" i="5"/>
  <c r="J516" i="5"/>
  <c r="M516" i="5" s="1"/>
  <c r="F516" i="5" s="1"/>
  <c r="I516" i="5"/>
  <c r="G516" i="5"/>
  <c r="N515" i="5"/>
  <c r="L515" i="5"/>
  <c r="J515" i="5"/>
  <c r="I515" i="5"/>
  <c r="G515" i="5"/>
  <c r="N514" i="5"/>
  <c r="L514" i="5"/>
  <c r="I514" i="5"/>
  <c r="G514" i="5"/>
  <c r="J514" i="5" s="1"/>
  <c r="N513" i="5"/>
  <c r="L513" i="5"/>
  <c r="I513" i="5"/>
  <c r="J513" i="5" s="1"/>
  <c r="G513" i="5"/>
  <c r="N512" i="5"/>
  <c r="L512" i="5"/>
  <c r="J512" i="5"/>
  <c r="M512" i="5" s="1"/>
  <c r="I512" i="5"/>
  <c r="G512" i="5"/>
  <c r="F512" i="5"/>
  <c r="N511" i="5"/>
  <c r="L511" i="5"/>
  <c r="I511" i="5"/>
  <c r="G511" i="5"/>
  <c r="J511" i="5" s="1"/>
  <c r="M511" i="5" s="1"/>
  <c r="F511" i="5" s="1"/>
  <c r="N510" i="5"/>
  <c r="L510" i="5"/>
  <c r="I510" i="5"/>
  <c r="G510" i="5"/>
  <c r="J510" i="5" s="1"/>
  <c r="N509" i="5"/>
  <c r="L509" i="5"/>
  <c r="I509" i="5"/>
  <c r="G509" i="5"/>
  <c r="J509" i="5" s="1"/>
  <c r="N508" i="5"/>
  <c r="L508" i="5"/>
  <c r="I508" i="5"/>
  <c r="G508" i="5"/>
  <c r="N507" i="5"/>
  <c r="L507" i="5"/>
  <c r="I507" i="5"/>
  <c r="G507" i="5"/>
  <c r="N506" i="5"/>
  <c r="L506" i="5"/>
  <c r="I506" i="5"/>
  <c r="G506" i="5"/>
  <c r="J506" i="5" s="1"/>
  <c r="M506" i="5" s="1"/>
  <c r="F506" i="5" s="1"/>
  <c r="N505" i="5"/>
  <c r="L505" i="5"/>
  <c r="I505" i="5"/>
  <c r="G505" i="5"/>
  <c r="N504" i="5"/>
  <c r="M504" i="5"/>
  <c r="F504" i="5" s="1"/>
  <c r="L504" i="5"/>
  <c r="J504" i="5"/>
  <c r="I504" i="5"/>
  <c r="G504" i="5"/>
  <c r="N503" i="5"/>
  <c r="L503" i="5"/>
  <c r="I503" i="5"/>
  <c r="G503" i="5"/>
  <c r="N502" i="5"/>
  <c r="L502" i="5"/>
  <c r="M502" i="5" s="1"/>
  <c r="F502" i="5" s="1"/>
  <c r="I502" i="5"/>
  <c r="G502" i="5"/>
  <c r="J502" i="5" s="1"/>
  <c r="N501" i="5"/>
  <c r="M501" i="5"/>
  <c r="F501" i="5" s="1"/>
  <c r="L501" i="5"/>
  <c r="I501" i="5"/>
  <c r="J501" i="5" s="1"/>
  <c r="G501" i="5"/>
  <c r="N500" i="5"/>
  <c r="L500" i="5"/>
  <c r="J500" i="5"/>
  <c r="I500" i="5"/>
  <c r="G500" i="5"/>
  <c r="N499" i="5"/>
  <c r="L499" i="5"/>
  <c r="I499" i="5"/>
  <c r="G499" i="5"/>
  <c r="J499" i="5" s="1"/>
  <c r="N498" i="5"/>
  <c r="L498" i="5"/>
  <c r="I498" i="5"/>
  <c r="G498" i="5"/>
  <c r="J498" i="5" s="1"/>
  <c r="N497" i="5"/>
  <c r="L497" i="5"/>
  <c r="I497" i="5"/>
  <c r="J497" i="5" s="1"/>
  <c r="G497" i="5"/>
  <c r="N496" i="5"/>
  <c r="L496" i="5"/>
  <c r="J496" i="5"/>
  <c r="I496" i="5"/>
  <c r="G496" i="5"/>
  <c r="N495" i="5"/>
  <c r="L495" i="5"/>
  <c r="I495" i="5"/>
  <c r="G495" i="5"/>
  <c r="N494" i="5"/>
  <c r="L494" i="5"/>
  <c r="I494" i="5"/>
  <c r="G494" i="5"/>
  <c r="J494" i="5" s="1"/>
  <c r="N493" i="5"/>
  <c r="L493" i="5"/>
  <c r="I493" i="5"/>
  <c r="G493" i="5"/>
  <c r="J493" i="5" s="1"/>
  <c r="N492" i="5"/>
  <c r="L492" i="5"/>
  <c r="J492" i="5"/>
  <c r="I492" i="5"/>
  <c r="G492" i="5"/>
  <c r="N491" i="5"/>
  <c r="L491" i="5"/>
  <c r="I491" i="5"/>
  <c r="G491" i="5"/>
  <c r="N490" i="5"/>
  <c r="L490" i="5"/>
  <c r="I490" i="5"/>
  <c r="G490" i="5"/>
  <c r="J490" i="5" s="1"/>
  <c r="M490" i="5" s="1"/>
  <c r="F490" i="5" s="1"/>
  <c r="N489" i="5"/>
  <c r="L489" i="5"/>
  <c r="I489" i="5"/>
  <c r="G489" i="5"/>
  <c r="N488" i="5"/>
  <c r="L488" i="5"/>
  <c r="I488" i="5"/>
  <c r="J488" i="5" s="1"/>
  <c r="G488" i="5"/>
  <c r="N487" i="5"/>
  <c r="L487" i="5"/>
  <c r="I487" i="5"/>
  <c r="G487" i="5"/>
  <c r="L486" i="5"/>
  <c r="J486" i="5"/>
  <c r="M486" i="5" s="1"/>
  <c r="F486" i="5" s="1"/>
  <c r="I486" i="5"/>
  <c r="G486" i="5"/>
  <c r="L485" i="5"/>
  <c r="I485" i="5"/>
  <c r="G485" i="5"/>
  <c r="N484" i="5"/>
  <c r="M484" i="5"/>
  <c r="F484" i="5" s="1"/>
  <c r="L484" i="5"/>
  <c r="I484" i="5"/>
  <c r="G484" i="5"/>
  <c r="J484" i="5" s="1"/>
  <c r="N483" i="5"/>
  <c r="L483" i="5"/>
  <c r="I483" i="5"/>
  <c r="J483" i="5" s="1"/>
  <c r="G483" i="5"/>
  <c r="N482" i="5"/>
  <c r="L482" i="5"/>
  <c r="J482" i="5"/>
  <c r="I482" i="5"/>
  <c r="G482" i="5"/>
  <c r="N481" i="5"/>
  <c r="L481" i="5"/>
  <c r="I481" i="5"/>
  <c r="G481" i="5"/>
  <c r="J481" i="5" s="1"/>
  <c r="N480" i="5"/>
  <c r="L480" i="5"/>
  <c r="J480" i="5"/>
  <c r="M480" i="5" s="1"/>
  <c r="F480" i="5" s="1"/>
  <c r="I480" i="5"/>
  <c r="G480" i="5"/>
  <c r="N479" i="5"/>
  <c r="L479" i="5"/>
  <c r="I479" i="5"/>
  <c r="J479" i="5" s="1"/>
  <c r="G479" i="5"/>
  <c r="N478" i="5"/>
  <c r="L478" i="5"/>
  <c r="I478" i="5"/>
  <c r="G478" i="5"/>
  <c r="J478" i="5" s="1"/>
  <c r="N477" i="5"/>
  <c r="L477" i="5"/>
  <c r="I477" i="5"/>
  <c r="G477" i="5"/>
  <c r="N476" i="5"/>
  <c r="L476" i="5"/>
  <c r="I476" i="5"/>
  <c r="G476" i="5"/>
  <c r="N475" i="5"/>
  <c r="L475" i="5"/>
  <c r="I475" i="5"/>
  <c r="G475" i="5"/>
  <c r="N474" i="5"/>
  <c r="L474" i="5"/>
  <c r="J474" i="5"/>
  <c r="I474" i="5"/>
  <c r="G474" i="5"/>
  <c r="N473" i="5"/>
  <c r="L473" i="5"/>
  <c r="I473" i="5"/>
  <c r="G473" i="5"/>
  <c r="N472" i="5"/>
  <c r="M472" i="5"/>
  <c r="F472" i="5" s="1"/>
  <c r="L472" i="5"/>
  <c r="I472" i="5"/>
  <c r="G472" i="5"/>
  <c r="J472" i="5" s="1"/>
  <c r="N471" i="5"/>
  <c r="L471" i="5"/>
  <c r="I471" i="5"/>
  <c r="G471" i="5"/>
  <c r="N470" i="5"/>
  <c r="L470" i="5"/>
  <c r="J470" i="5"/>
  <c r="M470" i="5" s="1"/>
  <c r="F470" i="5" s="1"/>
  <c r="I470" i="5"/>
  <c r="G470" i="5"/>
  <c r="N469" i="5"/>
  <c r="L469" i="5"/>
  <c r="I469" i="5"/>
  <c r="G469" i="5"/>
  <c r="J469" i="5" s="1"/>
  <c r="M469" i="5" s="1"/>
  <c r="F469" i="5" s="1"/>
  <c r="N468" i="5"/>
  <c r="M468" i="5"/>
  <c r="F468" i="5" s="1"/>
  <c r="L468" i="5"/>
  <c r="I468" i="5"/>
  <c r="G468" i="5"/>
  <c r="J468" i="5" s="1"/>
  <c r="N467" i="5"/>
  <c r="L467" i="5"/>
  <c r="I467" i="5"/>
  <c r="G467" i="5"/>
  <c r="J467" i="5" s="1"/>
  <c r="N466" i="5"/>
  <c r="L466" i="5"/>
  <c r="J466" i="5"/>
  <c r="I466" i="5"/>
  <c r="G466" i="5"/>
  <c r="N465" i="5"/>
  <c r="L465" i="5"/>
  <c r="J465" i="5"/>
  <c r="M465" i="5" s="1"/>
  <c r="I465" i="5"/>
  <c r="G465" i="5"/>
  <c r="F465" i="5"/>
  <c r="N464" i="5"/>
  <c r="L464" i="5"/>
  <c r="J464" i="5"/>
  <c r="I464" i="5"/>
  <c r="G464" i="5"/>
  <c r="N463" i="5"/>
  <c r="L463" i="5"/>
  <c r="J463" i="5"/>
  <c r="M463" i="5" s="1"/>
  <c r="F463" i="5" s="1"/>
  <c r="I463" i="5"/>
  <c r="G463" i="5"/>
  <c r="N462" i="5"/>
  <c r="L462" i="5"/>
  <c r="I462" i="5"/>
  <c r="J462" i="5" s="1"/>
  <c r="G462" i="5"/>
  <c r="N461" i="5"/>
  <c r="L461" i="5"/>
  <c r="I461" i="5"/>
  <c r="G461" i="5"/>
  <c r="N460" i="5"/>
  <c r="L460" i="5"/>
  <c r="I460" i="5"/>
  <c r="J460" i="5" s="1"/>
  <c r="M460" i="5" s="1"/>
  <c r="F460" i="5" s="1"/>
  <c r="G460" i="5"/>
  <c r="N459" i="5"/>
  <c r="L459" i="5"/>
  <c r="I459" i="5"/>
  <c r="G459" i="5"/>
  <c r="N458" i="5"/>
  <c r="L458" i="5"/>
  <c r="I458" i="5"/>
  <c r="G458" i="5"/>
  <c r="N457" i="5"/>
  <c r="L457" i="5"/>
  <c r="I457" i="5"/>
  <c r="G457" i="5"/>
  <c r="N456" i="5"/>
  <c r="L456" i="5"/>
  <c r="I456" i="5"/>
  <c r="G456" i="5"/>
  <c r="J456" i="5" s="1"/>
  <c r="N455" i="5"/>
  <c r="M455" i="5"/>
  <c r="F455" i="5" s="1"/>
  <c r="L455" i="5"/>
  <c r="I455" i="5"/>
  <c r="G455" i="5"/>
  <c r="J455" i="5" s="1"/>
  <c r="N454" i="5"/>
  <c r="L454" i="5"/>
  <c r="I454" i="5"/>
  <c r="J454" i="5" s="1"/>
  <c r="G454" i="5"/>
  <c r="N453" i="5"/>
  <c r="L453" i="5"/>
  <c r="I453" i="5"/>
  <c r="G453" i="5"/>
  <c r="J453" i="5" s="1"/>
  <c r="N452" i="5"/>
  <c r="M452" i="5"/>
  <c r="L452" i="5"/>
  <c r="I452" i="5"/>
  <c r="G452" i="5"/>
  <c r="J452" i="5" s="1"/>
  <c r="F452" i="5"/>
  <c r="N451" i="5"/>
  <c r="L451" i="5"/>
  <c r="J451" i="5"/>
  <c r="M451" i="5" s="1"/>
  <c r="F451" i="5" s="1"/>
  <c r="I451" i="5"/>
  <c r="G451" i="5"/>
  <c r="N450" i="5"/>
  <c r="L450" i="5"/>
  <c r="I450" i="5"/>
  <c r="G450" i="5"/>
  <c r="N449" i="5"/>
  <c r="L449" i="5"/>
  <c r="I449" i="5"/>
  <c r="G449" i="5"/>
  <c r="J449" i="5" s="1"/>
  <c r="N448" i="5"/>
  <c r="L448" i="5"/>
  <c r="I448" i="5"/>
  <c r="G448" i="5"/>
  <c r="N447" i="5"/>
  <c r="L447" i="5"/>
  <c r="I447" i="5"/>
  <c r="J447" i="5" s="1"/>
  <c r="G447" i="5"/>
  <c r="N446" i="5"/>
  <c r="L446" i="5"/>
  <c r="I446" i="5"/>
  <c r="G446" i="5"/>
  <c r="N445" i="5"/>
  <c r="L445" i="5"/>
  <c r="I445" i="5"/>
  <c r="G445" i="5"/>
  <c r="N444" i="5"/>
  <c r="L444" i="5"/>
  <c r="I444" i="5"/>
  <c r="G444" i="5"/>
  <c r="N443" i="5"/>
  <c r="L443" i="5"/>
  <c r="I443" i="5"/>
  <c r="G443" i="5"/>
  <c r="N442" i="5"/>
  <c r="L442" i="5"/>
  <c r="I442" i="5"/>
  <c r="G442" i="5"/>
  <c r="J442" i="5" s="1"/>
  <c r="N441" i="5"/>
  <c r="L441" i="5"/>
  <c r="I441" i="5"/>
  <c r="G441" i="5"/>
  <c r="J441" i="5" s="1"/>
  <c r="M441" i="5" s="1"/>
  <c r="F441" i="5"/>
  <c r="N440" i="5"/>
  <c r="L440" i="5"/>
  <c r="I440" i="5"/>
  <c r="G440" i="5"/>
  <c r="J440" i="5" s="1"/>
  <c r="N439" i="5"/>
  <c r="M439" i="5"/>
  <c r="F439" i="5" s="1"/>
  <c r="L439" i="5"/>
  <c r="I439" i="5"/>
  <c r="G439" i="5"/>
  <c r="J439" i="5" s="1"/>
  <c r="N438" i="5"/>
  <c r="L438" i="5"/>
  <c r="I438" i="5"/>
  <c r="J438" i="5" s="1"/>
  <c r="G438" i="5"/>
  <c r="N437" i="5"/>
  <c r="L437" i="5"/>
  <c r="J437" i="5"/>
  <c r="M437" i="5" s="1"/>
  <c r="F437" i="5" s="1"/>
  <c r="I437" i="5"/>
  <c r="G437" i="5"/>
  <c r="N436" i="5"/>
  <c r="L436" i="5"/>
  <c r="I436" i="5"/>
  <c r="G436" i="5"/>
  <c r="J436" i="5" s="1"/>
  <c r="N435" i="5"/>
  <c r="L435" i="5"/>
  <c r="I435" i="5"/>
  <c r="G435" i="5"/>
  <c r="J435" i="5" s="1"/>
  <c r="N434" i="5"/>
  <c r="L434" i="5"/>
  <c r="I434" i="5"/>
  <c r="G434" i="5"/>
  <c r="J434" i="5" s="1"/>
  <c r="N433" i="5"/>
  <c r="L433" i="5"/>
  <c r="I433" i="5"/>
  <c r="G433" i="5"/>
  <c r="J433" i="5" s="1"/>
  <c r="N432" i="5"/>
  <c r="L432" i="5"/>
  <c r="I432" i="5"/>
  <c r="J432" i="5" s="1"/>
  <c r="M432" i="5" s="1"/>
  <c r="F432" i="5" s="1"/>
  <c r="G432" i="5"/>
  <c r="N431" i="5"/>
  <c r="L431" i="5"/>
  <c r="I431" i="5"/>
  <c r="J431" i="5" s="1"/>
  <c r="G431" i="5"/>
  <c r="N430" i="5"/>
  <c r="M430" i="5"/>
  <c r="F430" i="5" s="1"/>
  <c r="L430" i="5"/>
  <c r="J430" i="5"/>
  <c r="I430" i="5"/>
  <c r="G430" i="5"/>
  <c r="N429" i="5"/>
  <c r="L429" i="5"/>
  <c r="J429" i="5"/>
  <c r="M429" i="5" s="1"/>
  <c r="I429" i="5"/>
  <c r="G429" i="5"/>
  <c r="F429" i="5"/>
  <c r="N428" i="5"/>
  <c r="L428" i="5"/>
  <c r="M428" i="5" s="1"/>
  <c r="F428" i="5" s="1"/>
  <c r="J428" i="5"/>
  <c r="I428" i="5"/>
  <c r="G428" i="5"/>
  <c r="N427" i="5"/>
  <c r="L427" i="5"/>
  <c r="I427" i="5"/>
  <c r="G427" i="5"/>
  <c r="J427" i="5" s="1"/>
  <c r="N426" i="5"/>
  <c r="L426" i="5"/>
  <c r="J426" i="5"/>
  <c r="M426" i="5" s="1"/>
  <c r="F426" i="5" s="1"/>
  <c r="I426" i="5"/>
  <c r="G426" i="5"/>
  <c r="N425" i="5"/>
  <c r="L425" i="5"/>
  <c r="J425" i="5"/>
  <c r="I425" i="5"/>
  <c r="G425" i="5"/>
  <c r="N424" i="5"/>
  <c r="L424" i="5"/>
  <c r="I424" i="5"/>
  <c r="G424" i="5"/>
  <c r="J424" i="5" s="1"/>
  <c r="N423" i="5"/>
  <c r="L423" i="5"/>
  <c r="J423" i="5"/>
  <c r="I423" i="5"/>
  <c r="G423" i="5"/>
  <c r="N422" i="5"/>
  <c r="L422" i="5"/>
  <c r="I422" i="5"/>
  <c r="G422" i="5"/>
  <c r="J422" i="5" s="1"/>
  <c r="N421" i="5"/>
  <c r="L421" i="5"/>
  <c r="I421" i="5"/>
  <c r="G421" i="5"/>
  <c r="J421" i="5" s="1"/>
  <c r="M421" i="5" s="1"/>
  <c r="F421" i="5" s="1"/>
  <c r="N420" i="5"/>
  <c r="L420" i="5"/>
  <c r="I420" i="5"/>
  <c r="G420" i="5"/>
  <c r="N419" i="5"/>
  <c r="L419" i="5"/>
  <c r="I419" i="5"/>
  <c r="G419" i="5"/>
  <c r="J419" i="5" s="1"/>
  <c r="N418" i="5"/>
  <c r="L418" i="5"/>
  <c r="I418" i="5"/>
  <c r="G418" i="5"/>
  <c r="N417" i="5"/>
  <c r="L417" i="5"/>
  <c r="I417" i="5"/>
  <c r="G417" i="5"/>
  <c r="J417" i="5" s="1"/>
  <c r="N416" i="5"/>
  <c r="L416" i="5"/>
  <c r="I416" i="5"/>
  <c r="J416" i="5" s="1"/>
  <c r="M416" i="5" s="1"/>
  <c r="F416" i="5" s="1"/>
  <c r="G416" i="5"/>
  <c r="N415" i="5"/>
  <c r="L415" i="5"/>
  <c r="I415" i="5"/>
  <c r="G415" i="5"/>
  <c r="J415" i="5" s="1"/>
  <c r="N414" i="5"/>
  <c r="L414" i="5"/>
  <c r="J414" i="5"/>
  <c r="M414" i="5" s="1"/>
  <c r="F414" i="5" s="1"/>
  <c r="I414" i="5"/>
  <c r="G414" i="5"/>
  <c r="N413" i="5"/>
  <c r="L413" i="5"/>
  <c r="J413" i="5"/>
  <c r="M413" i="5" s="1"/>
  <c r="F413" i="5" s="1"/>
  <c r="I413" i="5"/>
  <c r="G413" i="5"/>
  <c r="N412" i="5"/>
  <c r="M412" i="5"/>
  <c r="F412" i="5" s="1"/>
  <c r="L412" i="5"/>
  <c r="J412" i="5"/>
  <c r="I412" i="5"/>
  <c r="G412" i="5"/>
  <c r="N411" i="5"/>
  <c r="L411" i="5"/>
  <c r="I411" i="5"/>
  <c r="G411" i="5"/>
  <c r="J411" i="5" s="1"/>
  <c r="N410" i="5"/>
  <c r="L410" i="5"/>
  <c r="J410" i="5"/>
  <c r="M410" i="5" s="1"/>
  <c r="F410" i="5" s="1"/>
  <c r="I410" i="5"/>
  <c r="G410" i="5"/>
  <c r="N409" i="5"/>
  <c r="L409" i="5"/>
  <c r="I409" i="5"/>
  <c r="G409" i="5"/>
  <c r="J409" i="5" s="1"/>
  <c r="N408" i="5"/>
  <c r="L408" i="5"/>
  <c r="I408" i="5"/>
  <c r="G408" i="5"/>
  <c r="J408" i="5" s="1"/>
  <c r="N407" i="5"/>
  <c r="L407" i="5"/>
  <c r="J407" i="5"/>
  <c r="I407" i="5"/>
  <c r="G407" i="5"/>
  <c r="N406" i="5"/>
  <c r="L406" i="5"/>
  <c r="I406" i="5"/>
  <c r="G406" i="5"/>
  <c r="J406" i="5" s="1"/>
  <c r="N405" i="5"/>
  <c r="L405" i="5"/>
  <c r="I405" i="5"/>
  <c r="G405" i="5"/>
  <c r="J405" i="5" s="1"/>
  <c r="M405" i="5" s="1"/>
  <c r="F405" i="5" s="1"/>
  <c r="N404" i="5"/>
  <c r="L404" i="5"/>
  <c r="I404" i="5"/>
  <c r="G404" i="5"/>
  <c r="N403" i="5"/>
  <c r="M403" i="5"/>
  <c r="F403" i="5" s="1"/>
  <c r="L403" i="5"/>
  <c r="I403" i="5"/>
  <c r="G403" i="5"/>
  <c r="J403" i="5" s="1"/>
  <c r="N402" i="5"/>
  <c r="L402" i="5"/>
  <c r="I402" i="5"/>
  <c r="G402" i="5"/>
  <c r="N401" i="5"/>
  <c r="L401" i="5"/>
  <c r="I401" i="5"/>
  <c r="G401" i="5"/>
  <c r="J401" i="5" s="1"/>
  <c r="N400" i="5"/>
  <c r="L400" i="5"/>
  <c r="I400" i="5"/>
  <c r="J400" i="5" s="1"/>
  <c r="M400" i="5" s="1"/>
  <c r="F400" i="5" s="1"/>
  <c r="G400" i="5"/>
  <c r="N399" i="5"/>
  <c r="M399" i="5"/>
  <c r="F399" i="5" s="1"/>
  <c r="L399" i="5"/>
  <c r="J399" i="5"/>
  <c r="I399" i="5"/>
  <c r="G399" i="5"/>
  <c r="N398" i="5"/>
  <c r="L398" i="5"/>
  <c r="J398" i="5"/>
  <c r="M398" i="5" s="1"/>
  <c r="F398" i="5" s="1"/>
  <c r="I398" i="5"/>
  <c r="G398" i="5"/>
  <c r="N397" i="5"/>
  <c r="L397" i="5"/>
  <c r="J397" i="5"/>
  <c r="M397" i="5" s="1"/>
  <c r="I397" i="5"/>
  <c r="G397" i="5"/>
  <c r="F397" i="5"/>
  <c r="N396" i="5"/>
  <c r="L396" i="5"/>
  <c r="M396" i="5" s="1"/>
  <c r="F396" i="5" s="1"/>
  <c r="J396" i="5"/>
  <c r="I396" i="5"/>
  <c r="G396" i="5"/>
  <c r="N395" i="5"/>
  <c r="L395" i="5"/>
  <c r="I395" i="5"/>
  <c r="G395" i="5"/>
  <c r="J395" i="5" s="1"/>
  <c r="N394" i="5"/>
  <c r="L394" i="5"/>
  <c r="J394" i="5"/>
  <c r="M394" i="5" s="1"/>
  <c r="F394" i="5" s="1"/>
  <c r="I394" i="5"/>
  <c r="G394" i="5"/>
  <c r="N393" i="5"/>
  <c r="L393" i="5"/>
  <c r="J393" i="5"/>
  <c r="I393" i="5"/>
  <c r="G393" i="5"/>
  <c r="N392" i="5"/>
  <c r="L392" i="5"/>
  <c r="I392" i="5"/>
  <c r="G392" i="5"/>
  <c r="J392" i="5" s="1"/>
  <c r="N391" i="5"/>
  <c r="L391" i="5"/>
  <c r="I391" i="5"/>
  <c r="J391" i="5" s="1"/>
  <c r="G391" i="5"/>
  <c r="N390" i="5"/>
  <c r="L390" i="5"/>
  <c r="I390" i="5"/>
  <c r="G390" i="5"/>
  <c r="J390" i="5" s="1"/>
  <c r="N389" i="5"/>
  <c r="L389" i="5"/>
  <c r="I389" i="5"/>
  <c r="G389" i="5"/>
  <c r="J389" i="5" s="1"/>
  <c r="N388" i="5"/>
  <c r="L388" i="5"/>
  <c r="I388" i="5"/>
  <c r="G388" i="5"/>
  <c r="N387" i="5"/>
  <c r="L387" i="5"/>
  <c r="I387" i="5"/>
  <c r="G387" i="5"/>
  <c r="J387" i="5" s="1"/>
  <c r="N386" i="5"/>
  <c r="L386" i="5"/>
  <c r="I386" i="5"/>
  <c r="G386" i="5"/>
  <c r="N385" i="5"/>
  <c r="L385" i="5"/>
  <c r="I385" i="5"/>
  <c r="G385" i="5"/>
  <c r="J385" i="5" s="1"/>
  <c r="N384" i="5"/>
  <c r="L384" i="5"/>
  <c r="I384" i="5"/>
  <c r="J384" i="5" s="1"/>
  <c r="M384" i="5" s="1"/>
  <c r="F384" i="5" s="1"/>
  <c r="G384" i="5"/>
  <c r="N383" i="5"/>
  <c r="M383" i="5"/>
  <c r="F383" i="5" s="1"/>
  <c r="L383" i="5"/>
  <c r="J383" i="5"/>
  <c r="I383" i="5"/>
  <c r="G383" i="5"/>
  <c r="N382" i="5"/>
  <c r="L382" i="5"/>
  <c r="J382" i="5"/>
  <c r="M382" i="5" s="1"/>
  <c r="F382" i="5" s="1"/>
  <c r="I382" i="5"/>
  <c r="G382" i="5"/>
  <c r="N381" i="5"/>
  <c r="L381" i="5"/>
  <c r="J381" i="5"/>
  <c r="I381" i="5"/>
  <c r="G381" i="5"/>
  <c r="N380" i="5"/>
  <c r="L380" i="5"/>
  <c r="M380" i="5" s="1"/>
  <c r="F380" i="5" s="1"/>
  <c r="J380" i="5"/>
  <c r="I380" i="5"/>
  <c r="G380" i="5"/>
  <c r="N379" i="5"/>
  <c r="L379" i="5"/>
  <c r="I379" i="5"/>
  <c r="G379" i="5"/>
  <c r="J379" i="5" s="1"/>
  <c r="N378" i="5"/>
  <c r="L378" i="5"/>
  <c r="J378" i="5"/>
  <c r="M378" i="5" s="1"/>
  <c r="F378" i="5" s="1"/>
  <c r="I378" i="5"/>
  <c r="G378" i="5"/>
  <c r="N377" i="5"/>
  <c r="L377" i="5"/>
  <c r="I377" i="5"/>
  <c r="G377" i="5"/>
  <c r="J377" i="5" s="1"/>
  <c r="N376" i="5"/>
  <c r="L376" i="5"/>
  <c r="I376" i="5"/>
  <c r="G376" i="5"/>
  <c r="N375" i="5"/>
  <c r="L375" i="5"/>
  <c r="I375" i="5"/>
  <c r="J375" i="5" s="1"/>
  <c r="G375" i="5"/>
  <c r="N374" i="5"/>
  <c r="L374" i="5"/>
  <c r="I374" i="5"/>
  <c r="G374" i="5"/>
  <c r="N373" i="5"/>
  <c r="L373" i="5"/>
  <c r="I373" i="5"/>
  <c r="G373" i="5"/>
  <c r="J373" i="5" s="1"/>
  <c r="N372" i="5"/>
  <c r="L372" i="5"/>
  <c r="I372" i="5"/>
  <c r="G372" i="5"/>
  <c r="N371" i="5"/>
  <c r="L371" i="5"/>
  <c r="I371" i="5"/>
  <c r="G371" i="5"/>
  <c r="J371" i="5" s="1"/>
  <c r="N370" i="5"/>
  <c r="L370" i="5"/>
  <c r="I370" i="5"/>
  <c r="G370" i="5"/>
  <c r="N369" i="5"/>
  <c r="L369" i="5"/>
  <c r="I369" i="5"/>
  <c r="G369" i="5"/>
  <c r="J369" i="5" s="1"/>
  <c r="N368" i="5"/>
  <c r="L368" i="5"/>
  <c r="I368" i="5"/>
  <c r="J368" i="5" s="1"/>
  <c r="M368" i="5" s="1"/>
  <c r="F368" i="5" s="1"/>
  <c r="G368" i="5"/>
  <c r="N367" i="5"/>
  <c r="M367" i="5"/>
  <c r="F367" i="5" s="1"/>
  <c r="L367" i="5"/>
  <c r="J367" i="5"/>
  <c r="I367" i="5"/>
  <c r="G367" i="5"/>
  <c r="N366" i="5"/>
  <c r="L366" i="5"/>
  <c r="M366" i="5" s="1"/>
  <c r="F366" i="5" s="1"/>
  <c r="J366" i="5"/>
  <c r="I366" i="5"/>
  <c r="G366" i="5"/>
  <c r="N365" i="5"/>
  <c r="L365" i="5"/>
  <c r="J365" i="5"/>
  <c r="I365" i="5"/>
  <c r="G365" i="5"/>
  <c r="N364" i="5"/>
  <c r="M364" i="5"/>
  <c r="F364" i="5" s="1"/>
  <c r="L364" i="5"/>
  <c r="J364" i="5"/>
  <c r="I364" i="5"/>
  <c r="G364" i="5"/>
  <c r="N363" i="5"/>
  <c r="L363" i="5"/>
  <c r="I363" i="5"/>
  <c r="G363" i="5"/>
  <c r="J363" i="5" s="1"/>
  <c r="N362" i="5"/>
  <c r="L362" i="5"/>
  <c r="J362" i="5"/>
  <c r="M362" i="5" s="1"/>
  <c r="F362" i="5" s="1"/>
  <c r="I362" i="5"/>
  <c r="G362" i="5"/>
  <c r="N361" i="5"/>
  <c r="L361" i="5"/>
  <c r="I361" i="5"/>
  <c r="G361" i="5"/>
  <c r="J361" i="5" s="1"/>
  <c r="N360" i="5"/>
  <c r="L360" i="5"/>
  <c r="I360" i="5"/>
  <c r="G360" i="5"/>
  <c r="N359" i="5"/>
  <c r="L359" i="5"/>
  <c r="J359" i="5"/>
  <c r="M359" i="5" s="1"/>
  <c r="F359" i="5" s="1"/>
  <c r="I359" i="5"/>
  <c r="G359" i="5"/>
  <c r="N358" i="5"/>
  <c r="L358" i="5"/>
  <c r="I358" i="5"/>
  <c r="G358" i="5"/>
  <c r="N357" i="5"/>
  <c r="L357" i="5"/>
  <c r="I357" i="5"/>
  <c r="G357" i="5"/>
  <c r="J357" i="5" s="1"/>
  <c r="M357" i="5" s="1"/>
  <c r="F357" i="5" s="1"/>
  <c r="N356" i="5"/>
  <c r="L356" i="5"/>
  <c r="I356" i="5"/>
  <c r="G356" i="5"/>
  <c r="N355" i="5"/>
  <c r="M355" i="5"/>
  <c r="F355" i="5" s="1"/>
  <c r="L355" i="5"/>
  <c r="I355" i="5"/>
  <c r="G355" i="5"/>
  <c r="J355" i="5" s="1"/>
  <c r="N354" i="5"/>
  <c r="L354" i="5"/>
  <c r="I354" i="5"/>
  <c r="G354" i="5"/>
  <c r="J354" i="5" s="1"/>
  <c r="N353" i="5"/>
  <c r="L353" i="5"/>
  <c r="I353" i="5"/>
  <c r="G353" i="5"/>
  <c r="J353" i="5" s="1"/>
  <c r="N352" i="5"/>
  <c r="L352" i="5"/>
  <c r="I352" i="5"/>
  <c r="J352" i="5" s="1"/>
  <c r="G352" i="5"/>
  <c r="N351" i="5"/>
  <c r="M351" i="5"/>
  <c r="F351" i="5" s="1"/>
  <c r="L351" i="5"/>
  <c r="J351" i="5"/>
  <c r="I351" i="5"/>
  <c r="G351" i="5"/>
  <c r="N350" i="5"/>
  <c r="M350" i="5"/>
  <c r="L350" i="5"/>
  <c r="J350" i="5"/>
  <c r="I350" i="5"/>
  <c r="G350" i="5"/>
  <c r="F350" i="5"/>
  <c r="N349" i="5"/>
  <c r="L349" i="5"/>
  <c r="J349" i="5"/>
  <c r="I349" i="5"/>
  <c r="G349" i="5"/>
  <c r="N348" i="5"/>
  <c r="M348" i="5"/>
  <c r="F348" i="5" s="1"/>
  <c r="L348" i="5"/>
  <c r="J348" i="5"/>
  <c r="I348" i="5"/>
  <c r="G348" i="5"/>
  <c r="N347" i="5"/>
  <c r="L347" i="5"/>
  <c r="I347" i="5"/>
  <c r="G347" i="5"/>
  <c r="J347" i="5" s="1"/>
  <c r="N346" i="5"/>
  <c r="L346" i="5"/>
  <c r="J346" i="5"/>
  <c r="I346" i="5"/>
  <c r="G346" i="5"/>
  <c r="N345" i="5"/>
  <c r="L345" i="5"/>
  <c r="I345" i="5"/>
  <c r="G345" i="5"/>
  <c r="J345" i="5" s="1"/>
  <c r="N344" i="5"/>
  <c r="L344" i="5"/>
  <c r="I344" i="5"/>
  <c r="G344" i="5"/>
  <c r="N343" i="5"/>
  <c r="L343" i="5"/>
  <c r="I343" i="5"/>
  <c r="J343" i="5" s="1"/>
  <c r="G343" i="5"/>
  <c r="N342" i="5"/>
  <c r="L342" i="5"/>
  <c r="I342" i="5"/>
  <c r="G342" i="5"/>
  <c r="N341" i="5"/>
  <c r="L341" i="5"/>
  <c r="I341" i="5"/>
  <c r="G341" i="5"/>
  <c r="N340" i="5"/>
  <c r="L340" i="5"/>
  <c r="I340" i="5"/>
  <c r="G340" i="5"/>
  <c r="N339" i="5"/>
  <c r="L339" i="5"/>
  <c r="I339" i="5"/>
  <c r="G339" i="5"/>
  <c r="J339" i="5" s="1"/>
  <c r="N338" i="5"/>
  <c r="L338" i="5"/>
  <c r="I338" i="5"/>
  <c r="G338" i="5"/>
  <c r="J338" i="5" s="1"/>
  <c r="N337" i="5"/>
  <c r="L337" i="5"/>
  <c r="I337" i="5"/>
  <c r="G337" i="5"/>
  <c r="J337" i="5" s="1"/>
  <c r="M337" i="5" s="1"/>
  <c r="F337" i="5" s="1"/>
  <c r="N336" i="5"/>
  <c r="L336" i="5"/>
  <c r="I336" i="5"/>
  <c r="J336" i="5" s="1"/>
  <c r="G336" i="5"/>
  <c r="N335" i="5"/>
  <c r="M335" i="5"/>
  <c r="F335" i="5" s="1"/>
  <c r="L335" i="5"/>
  <c r="J335" i="5"/>
  <c r="I335" i="5"/>
  <c r="G335" i="5"/>
  <c r="N334" i="5"/>
  <c r="L334" i="5"/>
  <c r="J334" i="5"/>
  <c r="M334" i="5" s="1"/>
  <c r="F334" i="5" s="1"/>
  <c r="I334" i="5"/>
  <c r="G334" i="5"/>
  <c r="N333" i="5"/>
  <c r="L333" i="5"/>
  <c r="J333" i="5"/>
  <c r="I333" i="5"/>
  <c r="G333" i="5"/>
  <c r="N332" i="5"/>
  <c r="M332" i="5"/>
  <c r="F332" i="5" s="1"/>
  <c r="L332" i="5"/>
  <c r="J332" i="5"/>
  <c r="I332" i="5"/>
  <c r="G332" i="5"/>
  <c r="N331" i="5"/>
  <c r="L331" i="5"/>
  <c r="I331" i="5"/>
  <c r="G331" i="5"/>
  <c r="J331" i="5" s="1"/>
  <c r="N330" i="5"/>
  <c r="L330" i="5"/>
  <c r="J330" i="5"/>
  <c r="I330" i="5"/>
  <c r="G330" i="5"/>
  <c r="N329" i="5"/>
  <c r="L329" i="5"/>
  <c r="I329" i="5"/>
  <c r="G329" i="5"/>
  <c r="J329" i="5" s="1"/>
  <c r="N328" i="5"/>
  <c r="L328" i="5"/>
  <c r="I328" i="5"/>
  <c r="G328" i="5"/>
  <c r="N327" i="5"/>
  <c r="L327" i="5"/>
  <c r="M327" i="5" s="1"/>
  <c r="F327" i="5" s="1"/>
  <c r="J327" i="5"/>
  <c r="I327" i="5"/>
  <c r="G327" i="5"/>
  <c r="N326" i="5"/>
  <c r="L326" i="5"/>
  <c r="I326" i="5"/>
  <c r="G326" i="5"/>
  <c r="N325" i="5"/>
  <c r="L325" i="5"/>
  <c r="I325" i="5"/>
  <c r="G325" i="5"/>
  <c r="N324" i="5"/>
  <c r="L324" i="5"/>
  <c r="I324" i="5"/>
  <c r="G324" i="5"/>
  <c r="J324" i="5" s="1"/>
  <c r="M324" i="5" s="1"/>
  <c r="F324" i="5"/>
  <c r="N323" i="5"/>
  <c r="L323" i="5"/>
  <c r="I323" i="5"/>
  <c r="G323" i="5"/>
  <c r="J323" i="5" s="1"/>
  <c r="M323" i="5" s="1"/>
  <c r="F323" i="5" s="1"/>
  <c r="N322" i="5"/>
  <c r="L322" i="5"/>
  <c r="J322" i="5"/>
  <c r="M322" i="5" s="1"/>
  <c r="F322" i="5" s="1"/>
  <c r="I322" i="5"/>
  <c r="G322" i="5"/>
  <c r="N321" i="5"/>
  <c r="L321" i="5"/>
  <c r="I321" i="5"/>
  <c r="G321" i="5"/>
  <c r="J321" i="5" s="1"/>
  <c r="M321" i="5" s="1"/>
  <c r="F321" i="5" s="1"/>
  <c r="N320" i="5"/>
  <c r="L320" i="5"/>
  <c r="M320" i="5" s="1"/>
  <c r="F320" i="5" s="1"/>
  <c r="J320" i="5"/>
  <c r="I320" i="5"/>
  <c r="G320" i="5"/>
  <c r="N319" i="5"/>
  <c r="M319" i="5"/>
  <c r="L319" i="5"/>
  <c r="J319" i="5"/>
  <c r="I319" i="5"/>
  <c r="G319" i="5"/>
  <c r="F319" i="5"/>
  <c r="N318" i="5"/>
  <c r="M318" i="5"/>
  <c r="F318" i="5" s="1"/>
  <c r="L318" i="5"/>
  <c r="J318" i="5"/>
  <c r="I318" i="5"/>
  <c r="G318" i="5"/>
  <c r="N317" i="5"/>
  <c r="L317" i="5"/>
  <c r="J317" i="5"/>
  <c r="I317" i="5"/>
  <c r="G317" i="5"/>
  <c r="N316" i="5"/>
  <c r="M316" i="5"/>
  <c r="F316" i="5" s="1"/>
  <c r="L316" i="5"/>
  <c r="J316" i="5"/>
  <c r="I316" i="5"/>
  <c r="G316" i="5"/>
  <c r="N315" i="5"/>
  <c r="L315" i="5"/>
  <c r="I315" i="5"/>
  <c r="G315" i="5"/>
  <c r="J315" i="5" s="1"/>
  <c r="N314" i="5"/>
  <c r="L314" i="5"/>
  <c r="J314" i="5"/>
  <c r="I314" i="5"/>
  <c r="G314" i="5"/>
  <c r="N313" i="5"/>
  <c r="L313" i="5"/>
  <c r="I313" i="5"/>
  <c r="G313" i="5"/>
  <c r="J313" i="5" s="1"/>
  <c r="N312" i="5"/>
  <c r="L312" i="5"/>
  <c r="I312" i="5"/>
  <c r="G312" i="5"/>
  <c r="N311" i="5"/>
  <c r="M311" i="5"/>
  <c r="F311" i="5" s="1"/>
  <c r="L311" i="5"/>
  <c r="J311" i="5"/>
  <c r="I311" i="5"/>
  <c r="G311" i="5"/>
  <c r="N310" i="5"/>
  <c r="L310" i="5"/>
  <c r="I310" i="5"/>
  <c r="G310" i="5"/>
  <c r="N309" i="5"/>
  <c r="L309" i="5"/>
  <c r="I309" i="5"/>
  <c r="G309" i="5"/>
  <c r="N308" i="5"/>
  <c r="L308" i="5"/>
  <c r="I308" i="5"/>
  <c r="G308" i="5"/>
  <c r="N307" i="5"/>
  <c r="L307" i="5"/>
  <c r="I307" i="5"/>
  <c r="G307" i="5"/>
  <c r="N306" i="5"/>
  <c r="L306" i="5"/>
  <c r="J306" i="5"/>
  <c r="I306" i="5"/>
  <c r="G306" i="5"/>
  <c r="N305" i="5"/>
  <c r="L305" i="5"/>
  <c r="I305" i="5"/>
  <c r="G305" i="5"/>
  <c r="J305" i="5" s="1"/>
  <c r="M305" i="5" s="1"/>
  <c r="F305" i="5" s="1"/>
  <c r="N304" i="5"/>
  <c r="M304" i="5"/>
  <c r="F304" i="5" s="1"/>
  <c r="L304" i="5"/>
  <c r="J304" i="5"/>
  <c r="I304" i="5"/>
  <c r="G304" i="5"/>
  <c r="N303" i="5"/>
  <c r="L303" i="5"/>
  <c r="J303" i="5"/>
  <c r="I303" i="5"/>
  <c r="G303" i="5"/>
  <c r="N302" i="5"/>
  <c r="L302" i="5"/>
  <c r="M302" i="5" s="1"/>
  <c r="F302" i="5" s="1"/>
  <c r="J302" i="5"/>
  <c r="I302" i="5"/>
  <c r="G302" i="5"/>
  <c r="N301" i="5"/>
  <c r="L301" i="5"/>
  <c r="I301" i="5"/>
  <c r="G301" i="5"/>
  <c r="J301" i="5" s="1"/>
  <c r="N300" i="5"/>
  <c r="L300" i="5"/>
  <c r="J300" i="5"/>
  <c r="I300" i="5"/>
  <c r="G300" i="5"/>
  <c r="N299" i="5"/>
  <c r="L299" i="5"/>
  <c r="I299" i="5"/>
  <c r="G299" i="5"/>
  <c r="J299" i="5" s="1"/>
  <c r="N298" i="5"/>
  <c r="L298" i="5"/>
  <c r="I298" i="5"/>
  <c r="G298" i="5"/>
  <c r="N297" i="5"/>
  <c r="L297" i="5"/>
  <c r="I297" i="5"/>
  <c r="G297" i="5"/>
  <c r="J297" i="5" s="1"/>
  <c r="N296" i="5"/>
  <c r="L296" i="5"/>
  <c r="I296" i="5"/>
  <c r="G296" i="5"/>
  <c r="N295" i="5"/>
  <c r="L295" i="5"/>
  <c r="J295" i="5"/>
  <c r="I295" i="5"/>
  <c r="G295" i="5"/>
  <c r="N294" i="5"/>
  <c r="L294" i="5"/>
  <c r="I294" i="5"/>
  <c r="G294" i="5"/>
  <c r="N293" i="5"/>
  <c r="L293" i="5"/>
  <c r="I293" i="5"/>
  <c r="G293" i="5"/>
  <c r="N292" i="5"/>
  <c r="L292" i="5"/>
  <c r="I292" i="5"/>
  <c r="G292" i="5"/>
  <c r="N291" i="5"/>
  <c r="L291" i="5"/>
  <c r="I291" i="5"/>
  <c r="G291" i="5"/>
  <c r="J291" i="5" s="1"/>
  <c r="M291" i="5" s="1"/>
  <c r="F291" i="5" s="1"/>
  <c r="N290" i="5"/>
  <c r="L290" i="5"/>
  <c r="J290" i="5"/>
  <c r="M290" i="5" s="1"/>
  <c r="F290" i="5" s="1"/>
  <c r="I290" i="5"/>
  <c r="G290" i="5"/>
  <c r="N289" i="5"/>
  <c r="L289" i="5"/>
  <c r="I289" i="5"/>
  <c r="G289" i="5"/>
  <c r="J289" i="5" s="1"/>
  <c r="M289" i="5" s="1"/>
  <c r="F289" i="5" s="1"/>
  <c r="N288" i="5"/>
  <c r="M288" i="5"/>
  <c r="F288" i="5" s="1"/>
  <c r="L288" i="5"/>
  <c r="J288" i="5"/>
  <c r="I288" i="5"/>
  <c r="G288" i="5"/>
  <c r="N287" i="5"/>
  <c r="L287" i="5"/>
  <c r="I287" i="5"/>
  <c r="G287" i="5"/>
  <c r="J287" i="5" s="1"/>
  <c r="N286" i="5"/>
  <c r="M286" i="5"/>
  <c r="F286" i="5" s="1"/>
  <c r="L286" i="5"/>
  <c r="J286" i="5"/>
  <c r="I286" i="5"/>
  <c r="G286" i="5"/>
  <c r="N285" i="5"/>
  <c r="L285" i="5"/>
  <c r="I285" i="5"/>
  <c r="G285" i="5"/>
  <c r="J285" i="5" s="1"/>
  <c r="N284" i="5"/>
  <c r="M284" i="5"/>
  <c r="F284" i="5" s="1"/>
  <c r="L284" i="5"/>
  <c r="J284" i="5"/>
  <c r="I284" i="5"/>
  <c r="G284" i="5"/>
  <c r="N283" i="5"/>
  <c r="L283" i="5"/>
  <c r="J283" i="5"/>
  <c r="M283" i="5" s="1"/>
  <c r="I283" i="5"/>
  <c r="G283" i="5"/>
  <c r="F283" i="5"/>
  <c r="N282" i="5"/>
  <c r="L282" i="5"/>
  <c r="J282" i="5"/>
  <c r="I282" i="5"/>
  <c r="G282" i="5"/>
  <c r="N281" i="5"/>
  <c r="L281" i="5"/>
  <c r="I281" i="5"/>
  <c r="G281" i="5"/>
  <c r="J281" i="5" s="1"/>
  <c r="N280" i="5"/>
  <c r="L280" i="5"/>
  <c r="I280" i="5"/>
  <c r="G280" i="5"/>
  <c r="N279" i="5"/>
  <c r="L279" i="5"/>
  <c r="I279" i="5"/>
  <c r="J279" i="5" s="1"/>
  <c r="G279" i="5"/>
  <c r="N278" i="5"/>
  <c r="L278" i="5"/>
  <c r="I278" i="5"/>
  <c r="G278" i="5"/>
  <c r="J278" i="5" s="1"/>
  <c r="M278" i="5" s="1"/>
  <c r="F278" i="5" s="1"/>
  <c r="N277" i="5"/>
  <c r="L277" i="5"/>
  <c r="I277" i="5"/>
  <c r="G277" i="5"/>
  <c r="N276" i="5"/>
  <c r="L276" i="5"/>
  <c r="J276" i="5"/>
  <c r="M276" i="5" s="1"/>
  <c r="F276" i="5" s="1"/>
  <c r="I276" i="5"/>
  <c r="G276" i="5"/>
  <c r="N275" i="5"/>
  <c r="L275" i="5"/>
  <c r="I275" i="5"/>
  <c r="G275" i="5"/>
  <c r="N274" i="5"/>
  <c r="L274" i="5"/>
  <c r="J274" i="5"/>
  <c r="M274" i="5" s="1"/>
  <c r="F274" i="5" s="1"/>
  <c r="I274" i="5"/>
  <c r="G274" i="5"/>
  <c r="N273" i="5"/>
  <c r="L273" i="5"/>
  <c r="I273" i="5"/>
  <c r="G273" i="5"/>
  <c r="N272" i="5"/>
  <c r="L272" i="5"/>
  <c r="I272" i="5"/>
  <c r="G272" i="5"/>
  <c r="J272" i="5" s="1"/>
  <c r="N271" i="5"/>
  <c r="L271" i="5"/>
  <c r="I271" i="5"/>
  <c r="G271" i="5"/>
  <c r="J271" i="5" s="1"/>
  <c r="N270" i="5"/>
  <c r="L270" i="5"/>
  <c r="I270" i="5"/>
  <c r="G270" i="5"/>
  <c r="N269" i="5"/>
  <c r="L269" i="5"/>
  <c r="I269" i="5"/>
  <c r="G269" i="5"/>
  <c r="J269" i="5" s="1"/>
  <c r="N268" i="5"/>
  <c r="L268" i="5"/>
  <c r="I268" i="5"/>
  <c r="G268" i="5"/>
  <c r="J268" i="5" s="1"/>
  <c r="N267" i="5"/>
  <c r="L267" i="5"/>
  <c r="I267" i="5"/>
  <c r="G267" i="5"/>
  <c r="J267" i="5" s="1"/>
  <c r="N266" i="5"/>
  <c r="M266" i="5"/>
  <c r="F266" i="5" s="1"/>
  <c r="L266" i="5"/>
  <c r="J266" i="5"/>
  <c r="I266" i="5"/>
  <c r="G266" i="5"/>
  <c r="N265" i="5"/>
  <c r="L265" i="5"/>
  <c r="J265" i="5"/>
  <c r="M265" i="5" s="1"/>
  <c r="F265" i="5" s="1"/>
  <c r="I265" i="5"/>
  <c r="G265" i="5"/>
  <c r="N264" i="5"/>
  <c r="L264" i="5"/>
  <c r="I264" i="5"/>
  <c r="G264" i="5"/>
  <c r="J264" i="5" s="1"/>
  <c r="N263" i="5"/>
  <c r="L263" i="5"/>
  <c r="J263" i="5"/>
  <c r="M263" i="5" s="1"/>
  <c r="I263" i="5"/>
  <c r="G263" i="5"/>
  <c r="F263" i="5"/>
  <c r="N262" i="5"/>
  <c r="L262" i="5"/>
  <c r="I262" i="5"/>
  <c r="G262" i="5"/>
  <c r="J262" i="5" s="1"/>
  <c r="N261" i="5"/>
  <c r="L261" i="5"/>
  <c r="J261" i="5"/>
  <c r="M261" i="5" s="1"/>
  <c r="F261" i="5" s="1"/>
  <c r="I261" i="5"/>
  <c r="G261" i="5"/>
  <c r="N260" i="5"/>
  <c r="L260" i="5"/>
  <c r="I260" i="5"/>
  <c r="G260" i="5"/>
  <c r="J260" i="5" s="1"/>
  <c r="N259" i="5"/>
  <c r="L259" i="5"/>
  <c r="J259" i="5"/>
  <c r="I259" i="5"/>
  <c r="G259" i="5"/>
  <c r="N258" i="5"/>
  <c r="L258" i="5"/>
  <c r="I258" i="5"/>
  <c r="G258" i="5"/>
  <c r="N257" i="5"/>
  <c r="L257" i="5"/>
  <c r="J257" i="5"/>
  <c r="M257" i="5" s="1"/>
  <c r="F257" i="5" s="1"/>
  <c r="I257" i="5"/>
  <c r="G257" i="5"/>
  <c r="N256" i="5"/>
  <c r="L256" i="5"/>
  <c r="I256" i="5"/>
  <c r="G256" i="5"/>
  <c r="J256" i="5" s="1"/>
  <c r="N255" i="5"/>
  <c r="L255" i="5"/>
  <c r="I255" i="5"/>
  <c r="G255" i="5"/>
  <c r="J255" i="5" s="1"/>
  <c r="N254" i="5"/>
  <c r="L254" i="5"/>
  <c r="I254" i="5"/>
  <c r="G254" i="5"/>
  <c r="N253" i="5"/>
  <c r="L253" i="5"/>
  <c r="I253" i="5"/>
  <c r="G253" i="5"/>
  <c r="J253" i="5" s="1"/>
  <c r="N252" i="5"/>
  <c r="L252" i="5"/>
  <c r="I252" i="5"/>
  <c r="G252" i="5"/>
  <c r="J252" i="5" s="1"/>
  <c r="N251" i="5"/>
  <c r="L251" i="5"/>
  <c r="I251" i="5"/>
  <c r="G251" i="5"/>
  <c r="J251" i="5" s="1"/>
  <c r="N250" i="5"/>
  <c r="M250" i="5"/>
  <c r="F250" i="5" s="1"/>
  <c r="L250" i="5"/>
  <c r="J250" i="5"/>
  <c r="I250" i="5"/>
  <c r="G250" i="5"/>
  <c r="N249" i="5"/>
  <c r="L249" i="5"/>
  <c r="J249" i="5"/>
  <c r="M249" i="5" s="1"/>
  <c r="F249" i="5" s="1"/>
  <c r="I249" i="5"/>
  <c r="G249" i="5"/>
  <c r="N248" i="5"/>
  <c r="L248" i="5"/>
  <c r="I248" i="5"/>
  <c r="G248" i="5"/>
  <c r="J248" i="5" s="1"/>
  <c r="N247" i="5"/>
  <c r="L247" i="5"/>
  <c r="J247" i="5"/>
  <c r="I247" i="5"/>
  <c r="G247" i="5"/>
  <c r="N246" i="5"/>
  <c r="L246" i="5"/>
  <c r="I246" i="5"/>
  <c r="G246" i="5"/>
  <c r="J246" i="5" s="1"/>
  <c r="N245" i="5"/>
  <c r="L245" i="5"/>
  <c r="J245" i="5"/>
  <c r="I245" i="5"/>
  <c r="G245" i="5"/>
  <c r="N244" i="5"/>
  <c r="L244" i="5"/>
  <c r="I244" i="5"/>
  <c r="G244" i="5"/>
  <c r="J244" i="5" s="1"/>
  <c r="N243" i="5"/>
  <c r="L243" i="5"/>
  <c r="J243" i="5"/>
  <c r="I243" i="5"/>
  <c r="G243" i="5"/>
  <c r="N242" i="5"/>
  <c r="L242" i="5"/>
  <c r="I242" i="5"/>
  <c r="G242" i="5"/>
  <c r="N241" i="5"/>
  <c r="L241" i="5"/>
  <c r="J241" i="5"/>
  <c r="I241" i="5"/>
  <c r="G241" i="5"/>
  <c r="N240" i="5"/>
  <c r="L240" i="5"/>
  <c r="I240" i="5"/>
  <c r="G240" i="5"/>
  <c r="N239" i="5"/>
  <c r="L239" i="5"/>
  <c r="I239" i="5"/>
  <c r="G239" i="5"/>
  <c r="J239" i="5" s="1"/>
  <c r="N238" i="5"/>
  <c r="L238" i="5"/>
  <c r="I238" i="5"/>
  <c r="G238" i="5"/>
  <c r="N237" i="5"/>
  <c r="L237" i="5"/>
  <c r="I237" i="5"/>
  <c r="G237" i="5"/>
  <c r="J237" i="5" s="1"/>
  <c r="N236" i="5"/>
  <c r="L236" i="5"/>
  <c r="I236" i="5"/>
  <c r="G236" i="5"/>
  <c r="J236" i="5" s="1"/>
  <c r="M236" i="5" s="1"/>
  <c r="F236" i="5" s="1"/>
  <c r="N235" i="5"/>
  <c r="L235" i="5"/>
  <c r="I235" i="5"/>
  <c r="G235" i="5"/>
  <c r="J235" i="5" s="1"/>
  <c r="N234" i="5"/>
  <c r="M234" i="5"/>
  <c r="F234" i="5" s="1"/>
  <c r="L234" i="5"/>
  <c r="J234" i="5"/>
  <c r="I234" i="5"/>
  <c r="G234" i="5"/>
  <c r="N233" i="5"/>
  <c r="L233" i="5"/>
  <c r="J233" i="5"/>
  <c r="M233" i="5" s="1"/>
  <c r="I233" i="5"/>
  <c r="G233" i="5"/>
  <c r="F233" i="5"/>
  <c r="N232" i="5"/>
  <c r="L232" i="5"/>
  <c r="I232" i="5"/>
  <c r="G232" i="5"/>
  <c r="J232" i="5" s="1"/>
  <c r="N231" i="5"/>
  <c r="L231" i="5"/>
  <c r="J231" i="5"/>
  <c r="I231" i="5"/>
  <c r="G231" i="5"/>
  <c r="N230" i="5"/>
  <c r="L230" i="5"/>
  <c r="I230" i="5"/>
  <c r="G230" i="5"/>
  <c r="J230" i="5" s="1"/>
  <c r="N229" i="5"/>
  <c r="L229" i="5"/>
  <c r="J229" i="5"/>
  <c r="I229" i="5"/>
  <c r="G229" i="5"/>
  <c r="N228" i="5"/>
  <c r="L228" i="5"/>
  <c r="I228" i="5"/>
  <c r="G228" i="5"/>
  <c r="J228" i="5" s="1"/>
  <c r="N227" i="5"/>
  <c r="L227" i="5"/>
  <c r="J227" i="5"/>
  <c r="I227" i="5"/>
  <c r="G227" i="5"/>
  <c r="N226" i="5"/>
  <c r="L226" i="5"/>
  <c r="I226" i="5"/>
  <c r="G226" i="5"/>
  <c r="N225" i="5"/>
  <c r="L225" i="5"/>
  <c r="J225" i="5"/>
  <c r="M225" i="5" s="1"/>
  <c r="F225" i="5" s="1"/>
  <c r="I225" i="5"/>
  <c r="G225" i="5"/>
  <c r="N224" i="5"/>
  <c r="L224" i="5"/>
  <c r="I224" i="5"/>
  <c r="G224" i="5"/>
  <c r="N223" i="5"/>
  <c r="M223" i="5"/>
  <c r="F223" i="5" s="1"/>
  <c r="L223" i="5"/>
  <c r="J223" i="5"/>
  <c r="I223" i="5"/>
  <c r="G223" i="5"/>
  <c r="N222" i="5"/>
  <c r="L222" i="5"/>
  <c r="I222" i="5"/>
  <c r="G222" i="5"/>
  <c r="N221" i="5"/>
  <c r="L221" i="5"/>
  <c r="J221" i="5"/>
  <c r="M221" i="5" s="1"/>
  <c r="F221" i="5" s="1"/>
  <c r="I221" i="5"/>
  <c r="G221" i="5"/>
  <c r="N220" i="5"/>
  <c r="L220" i="5"/>
  <c r="I220" i="5"/>
  <c r="G220" i="5"/>
  <c r="N219" i="5"/>
  <c r="L219" i="5"/>
  <c r="I219" i="5"/>
  <c r="G219" i="5"/>
  <c r="J219" i="5" s="1"/>
  <c r="N218" i="5"/>
  <c r="M218" i="5"/>
  <c r="F218" i="5" s="1"/>
  <c r="L218" i="5"/>
  <c r="J218" i="5"/>
  <c r="I218" i="5"/>
  <c r="G218" i="5"/>
  <c r="N217" i="5"/>
  <c r="L217" i="5"/>
  <c r="J217" i="5"/>
  <c r="M217" i="5" s="1"/>
  <c r="I217" i="5"/>
  <c r="G217" i="5"/>
  <c r="F217" i="5"/>
  <c r="N216" i="5"/>
  <c r="M216" i="5"/>
  <c r="F216" i="5" s="1"/>
  <c r="L216" i="5"/>
  <c r="I216" i="5"/>
  <c r="G216" i="5"/>
  <c r="J216" i="5" s="1"/>
  <c r="N215" i="5"/>
  <c r="L215" i="5"/>
  <c r="J215" i="5"/>
  <c r="I215" i="5"/>
  <c r="G215" i="5"/>
  <c r="N214" i="5"/>
  <c r="L214" i="5"/>
  <c r="I214" i="5"/>
  <c r="G214" i="5"/>
  <c r="J214" i="5" s="1"/>
  <c r="N213" i="5"/>
  <c r="L213" i="5"/>
  <c r="J213" i="5"/>
  <c r="I213" i="5"/>
  <c r="G213" i="5"/>
  <c r="N212" i="5"/>
  <c r="L212" i="5"/>
  <c r="I212" i="5"/>
  <c r="G212" i="5"/>
  <c r="J212" i="5" s="1"/>
  <c r="N211" i="5"/>
  <c r="L211" i="5"/>
  <c r="J211" i="5"/>
  <c r="I211" i="5"/>
  <c r="G211" i="5"/>
  <c r="N210" i="5"/>
  <c r="L210" i="5"/>
  <c r="I210" i="5"/>
  <c r="G210" i="5"/>
  <c r="N209" i="5"/>
  <c r="L209" i="5"/>
  <c r="J209" i="5"/>
  <c r="M209" i="5" s="1"/>
  <c r="F209" i="5" s="1"/>
  <c r="I209" i="5"/>
  <c r="G209" i="5"/>
  <c r="N208" i="5"/>
  <c r="L208" i="5"/>
  <c r="I208" i="5"/>
  <c r="G208" i="5"/>
  <c r="N207" i="5"/>
  <c r="M207" i="5"/>
  <c r="F207" i="5" s="1"/>
  <c r="L207" i="5"/>
  <c r="J207" i="5"/>
  <c r="I207" i="5"/>
  <c r="G207" i="5"/>
  <c r="N206" i="5"/>
  <c r="L206" i="5"/>
  <c r="I206" i="5"/>
  <c r="G206" i="5"/>
  <c r="N205" i="5"/>
  <c r="L205" i="5"/>
  <c r="J205" i="5"/>
  <c r="M205" i="5" s="1"/>
  <c r="F205" i="5" s="1"/>
  <c r="I205" i="5"/>
  <c r="G205" i="5"/>
  <c r="N204" i="5"/>
  <c r="M204" i="5"/>
  <c r="F204" i="5" s="1"/>
  <c r="L204" i="5"/>
  <c r="I204" i="5"/>
  <c r="G204" i="5"/>
  <c r="J204" i="5" s="1"/>
  <c r="N203" i="5"/>
  <c r="L203" i="5"/>
  <c r="I203" i="5"/>
  <c r="G203" i="5"/>
  <c r="J203" i="5" s="1"/>
  <c r="N202" i="5"/>
  <c r="M202" i="5"/>
  <c r="F202" i="5" s="1"/>
  <c r="L202" i="5"/>
  <c r="J202" i="5"/>
  <c r="I202" i="5"/>
  <c r="G202" i="5"/>
  <c r="N201" i="5"/>
  <c r="L201" i="5"/>
  <c r="J201" i="5"/>
  <c r="M201" i="5" s="1"/>
  <c r="I201" i="5"/>
  <c r="G201" i="5"/>
  <c r="F201" i="5"/>
  <c r="N200" i="5"/>
  <c r="L200" i="5"/>
  <c r="I200" i="5"/>
  <c r="G200" i="5"/>
  <c r="J200" i="5" s="1"/>
  <c r="N199" i="5"/>
  <c r="L199" i="5"/>
  <c r="J199" i="5"/>
  <c r="I199" i="5"/>
  <c r="G199" i="5"/>
  <c r="N198" i="5"/>
  <c r="L198" i="5"/>
  <c r="I198" i="5"/>
  <c r="G198" i="5"/>
  <c r="J198" i="5" s="1"/>
  <c r="N197" i="5"/>
  <c r="L197" i="5"/>
  <c r="J197" i="5"/>
  <c r="I197" i="5"/>
  <c r="G197" i="5"/>
  <c r="N196" i="5"/>
  <c r="L196" i="5"/>
  <c r="I196" i="5"/>
  <c r="G196" i="5"/>
  <c r="J196" i="5" s="1"/>
  <c r="N195" i="5"/>
  <c r="L195" i="5"/>
  <c r="J195" i="5"/>
  <c r="I195" i="5"/>
  <c r="G195" i="5"/>
  <c r="N194" i="5"/>
  <c r="L194" i="5"/>
  <c r="I194" i="5"/>
  <c r="G194" i="5"/>
  <c r="N193" i="5"/>
  <c r="L193" i="5"/>
  <c r="J193" i="5"/>
  <c r="I193" i="5"/>
  <c r="G193" i="5"/>
  <c r="N192" i="5"/>
  <c r="L192" i="5"/>
  <c r="I192" i="5"/>
  <c r="G192" i="5"/>
  <c r="N191" i="5"/>
  <c r="L191" i="5"/>
  <c r="J191" i="5"/>
  <c r="I191" i="5"/>
  <c r="G191" i="5"/>
  <c r="N190" i="5"/>
  <c r="L190" i="5"/>
  <c r="I190" i="5"/>
  <c r="G190" i="5"/>
  <c r="N189" i="5"/>
  <c r="L189" i="5"/>
  <c r="J189" i="5"/>
  <c r="M189" i="5" s="1"/>
  <c r="F189" i="5" s="1"/>
  <c r="I189" i="5"/>
  <c r="G189" i="5"/>
  <c r="N188" i="5"/>
  <c r="L188" i="5"/>
  <c r="I188" i="5"/>
  <c r="G188" i="5"/>
  <c r="J188" i="5" s="1"/>
  <c r="N187" i="5"/>
  <c r="L187" i="5"/>
  <c r="I187" i="5"/>
  <c r="G187" i="5"/>
  <c r="J187" i="5" s="1"/>
  <c r="N186" i="5"/>
  <c r="L186" i="5"/>
  <c r="I186" i="5"/>
  <c r="G186" i="5"/>
  <c r="N185" i="5"/>
  <c r="L185" i="5"/>
  <c r="J185" i="5"/>
  <c r="M185" i="5" s="1"/>
  <c r="F185" i="5" s="1"/>
  <c r="I185" i="5"/>
  <c r="G185" i="5"/>
  <c r="N184" i="5"/>
  <c r="L184" i="5"/>
  <c r="I184" i="5"/>
  <c r="G184" i="5"/>
  <c r="N183" i="5"/>
  <c r="L183" i="5"/>
  <c r="J183" i="5"/>
  <c r="I183" i="5"/>
  <c r="G183" i="5"/>
  <c r="N182" i="5"/>
  <c r="L182" i="5"/>
  <c r="I182" i="5"/>
  <c r="G182" i="5"/>
  <c r="J182" i="5" s="1"/>
  <c r="M182" i="5" s="1"/>
  <c r="F182" i="5" s="1"/>
  <c r="N181" i="5"/>
  <c r="L181" i="5"/>
  <c r="J181" i="5"/>
  <c r="I181" i="5"/>
  <c r="G181" i="5"/>
  <c r="N180" i="5"/>
  <c r="L180" i="5"/>
  <c r="I180" i="5"/>
  <c r="G180" i="5"/>
  <c r="J180" i="5" s="1"/>
  <c r="N179" i="5"/>
  <c r="L179" i="5"/>
  <c r="J179" i="5"/>
  <c r="I179" i="5"/>
  <c r="G179" i="5"/>
  <c r="N178" i="5"/>
  <c r="L178" i="5"/>
  <c r="I178" i="5"/>
  <c r="G178" i="5"/>
  <c r="N177" i="5"/>
  <c r="L177" i="5"/>
  <c r="J177" i="5"/>
  <c r="I177" i="5"/>
  <c r="G177" i="5"/>
  <c r="N176" i="5"/>
  <c r="L176" i="5"/>
  <c r="I176" i="5"/>
  <c r="G176" i="5"/>
  <c r="N175" i="5"/>
  <c r="L175" i="5"/>
  <c r="J175" i="5"/>
  <c r="I175" i="5"/>
  <c r="G175" i="5"/>
  <c r="N174" i="5"/>
  <c r="L174" i="5"/>
  <c r="I174" i="5"/>
  <c r="G174" i="5"/>
  <c r="N173" i="5"/>
  <c r="L173" i="5"/>
  <c r="J173" i="5"/>
  <c r="I173" i="5"/>
  <c r="G173" i="5"/>
  <c r="N172" i="5"/>
  <c r="L172" i="5"/>
  <c r="I172" i="5"/>
  <c r="G172" i="5"/>
  <c r="J172" i="5" s="1"/>
  <c r="M172" i="5" s="1"/>
  <c r="F172" i="5" s="1"/>
  <c r="N171" i="5"/>
  <c r="L171" i="5"/>
  <c r="I171" i="5"/>
  <c r="G171" i="5"/>
  <c r="J171" i="5" s="1"/>
  <c r="N170" i="5"/>
  <c r="L170" i="5"/>
  <c r="I170" i="5"/>
  <c r="G170" i="5"/>
  <c r="N169" i="5"/>
  <c r="L169" i="5"/>
  <c r="J169" i="5"/>
  <c r="M169" i="5" s="1"/>
  <c r="I169" i="5"/>
  <c r="G169" i="5"/>
  <c r="F169" i="5"/>
  <c r="N168" i="5"/>
  <c r="L168" i="5"/>
  <c r="I168" i="5"/>
  <c r="G168" i="5"/>
  <c r="J168" i="5" s="1"/>
  <c r="N167" i="5"/>
  <c r="L167" i="5"/>
  <c r="J167" i="5"/>
  <c r="I167" i="5"/>
  <c r="G167" i="5"/>
  <c r="N166" i="5"/>
  <c r="L166" i="5"/>
  <c r="I166" i="5"/>
  <c r="G166" i="5"/>
  <c r="J166" i="5" s="1"/>
  <c r="M166" i="5" s="1"/>
  <c r="F166" i="5" s="1"/>
  <c r="N165" i="5"/>
  <c r="L165" i="5"/>
  <c r="J165" i="5"/>
  <c r="I165" i="5"/>
  <c r="G165" i="5"/>
  <c r="N164" i="5"/>
  <c r="L164" i="5"/>
  <c r="I164" i="5"/>
  <c r="G164" i="5"/>
  <c r="J164" i="5" s="1"/>
  <c r="N163" i="5"/>
  <c r="L163" i="5"/>
  <c r="J163" i="5"/>
  <c r="I163" i="5"/>
  <c r="G163" i="5"/>
  <c r="N162" i="5"/>
  <c r="L162" i="5"/>
  <c r="I162" i="5"/>
  <c r="G162" i="5"/>
  <c r="N161" i="5"/>
  <c r="L161" i="5"/>
  <c r="J161" i="5"/>
  <c r="M161" i="5" s="1"/>
  <c r="F161" i="5" s="1"/>
  <c r="I161" i="5"/>
  <c r="G161" i="5"/>
  <c r="N160" i="5"/>
  <c r="L160" i="5"/>
  <c r="I160" i="5"/>
  <c r="G160" i="5"/>
  <c r="N159" i="5"/>
  <c r="L159" i="5"/>
  <c r="J159" i="5"/>
  <c r="I159" i="5"/>
  <c r="G159" i="5"/>
  <c r="N158" i="5"/>
  <c r="L158" i="5"/>
  <c r="I158" i="5"/>
  <c r="G158" i="5"/>
  <c r="N157" i="5"/>
  <c r="L157" i="5"/>
  <c r="J157" i="5"/>
  <c r="M157" i="5" s="1"/>
  <c r="I157" i="5"/>
  <c r="G157" i="5"/>
  <c r="F157" i="5"/>
  <c r="N156" i="5"/>
  <c r="L156" i="5"/>
  <c r="I156" i="5"/>
  <c r="G156" i="5"/>
  <c r="J156" i="5" s="1"/>
  <c r="M156" i="5" s="1"/>
  <c r="F156" i="5" s="1"/>
  <c r="N155" i="5"/>
  <c r="L155" i="5"/>
  <c r="I155" i="5"/>
  <c r="G155" i="5"/>
  <c r="J155" i="5" s="1"/>
  <c r="N154" i="5"/>
  <c r="L154" i="5"/>
  <c r="I154" i="5"/>
  <c r="G154" i="5"/>
  <c r="N153" i="5"/>
  <c r="L153" i="5"/>
  <c r="J153" i="5"/>
  <c r="I153" i="5"/>
  <c r="G153" i="5"/>
  <c r="N152" i="5"/>
  <c r="L152" i="5"/>
  <c r="I152" i="5"/>
  <c r="G152" i="5"/>
  <c r="J152" i="5" s="1"/>
  <c r="N151" i="5"/>
  <c r="L151" i="5"/>
  <c r="J151" i="5"/>
  <c r="I151" i="5"/>
  <c r="G151" i="5"/>
  <c r="N150" i="5"/>
  <c r="L150" i="5"/>
  <c r="I150" i="5"/>
  <c r="G150" i="5"/>
  <c r="J150" i="5" s="1"/>
  <c r="M150" i="5" s="1"/>
  <c r="F150" i="5" s="1"/>
  <c r="N149" i="5"/>
  <c r="L149" i="5"/>
  <c r="J149" i="5"/>
  <c r="I149" i="5"/>
  <c r="G149" i="5"/>
  <c r="N148" i="5"/>
  <c r="L148" i="5"/>
  <c r="I148" i="5"/>
  <c r="G148" i="5"/>
  <c r="N147" i="5"/>
  <c r="L147" i="5"/>
  <c r="J147" i="5"/>
  <c r="I147" i="5"/>
  <c r="G147" i="5"/>
  <c r="N146" i="5"/>
  <c r="L146" i="5"/>
  <c r="I146" i="5"/>
  <c r="G146" i="5"/>
  <c r="N145" i="5"/>
  <c r="L145" i="5"/>
  <c r="J145" i="5"/>
  <c r="M145" i="5" s="1"/>
  <c r="F145" i="5" s="1"/>
  <c r="I145" i="5"/>
  <c r="G145" i="5"/>
  <c r="N144" i="5"/>
  <c r="L144" i="5"/>
  <c r="I144" i="5"/>
  <c r="G144" i="5"/>
  <c r="N143" i="5"/>
  <c r="L143" i="5"/>
  <c r="J143" i="5"/>
  <c r="I143" i="5"/>
  <c r="G143" i="5"/>
  <c r="N142" i="5"/>
  <c r="L142" i="5"/>
  <c r="I142" i="5"/>
  <c r="G142" i="5"/>
  <c r="N141" i="5"/>
  <c r="L141" i="5"/>
  <c r="J141" i="5"/>
  <c r="I141" i="5"/>
  <c r="G141" i="5"/>
  <c r="N140" i="5"/>
  <c r="L140" i="5"/>
  <c r="I140" i="5"/>
  <c r="G140" i="5"/>
  <c r="J140" i="5" s="1"/>
  <c r="M140" i="5" s="1"/>
  <c r="F140" i="5" s="1"/>
  <c r="N139" i="5"/>
  <c r="L139" i="5"/>
  <c r="I139" i="5"/>
  <c r="G139" i="5"/>
  <c r="J139" i="5" s="1"/>
  <c r="N138" i="5"/>
  <c r="L138" i="5"/>
  <c r="I138" i="5"/>
  <c r="G138" i="5"/>
  <c r="N137" i="5"/>
  <c r="L137" i="5"/>
  <c r="J137" i="5"/>
  <c r="I137" i="5"/>
  <c r="G137" i="5"/>
  <c r="N136" i="5"/>
  <c r="L136" i="5"/>
  <c r="I136" i="5"/>
  <c r="G136" i="5"/>
  <c r="N135" i="5"/>
  <c r="L135" i="5"/>
  <c r="J135" i="5"/>
  <c r="I135" i="5"/>
  <c r="G135" i="5"/>
  <c r="N134" i="5"/>
  <c r="L134" i="5"/>
  <c r="I134" i="5"/>
  <c r="G134" i="5"/>
  <c r="J134" i="5" s="1"/>
  <c r="N133" i="5"/>
  <c r="L133" i="5"/>
  <c r="J133" i="5"/>
  <c r="I133" i="5"/>
  <c r="G133" i="5"/>
  <c r="N132" i="5"/>
  <c r="L132" i="5"/>
  <c r="I132" i="5"/>
  <c r="G132" i="5"/>
  <c r="N131" i="5"/>
  <c r="L131" i="5"/>
  <c r="J131" i="5"/>
  <c r="I131" i="5"/>
  <c r="G131" i="5"/>
  <c r="N130" i="5"/>
  <c r="L130" i="5"/>
  <c r="I130" i="5"/>
  <c r="G130" i="5"/>
  <c r="N129" i="5"/>
  <c r="L129" i="5"/>
  <c r="J129" i="5"/>
  <c r="M129" i="5" s="1"/>
  <c r="F129" i="5" s="1"/>
  <c r="I129" i="5"/>
  <c r="G129" i="5"/>
  <c r="N128" i="5"/>
  <c r="L128" i="5"/>
  <c r="I128" i="5"/>
  <c r="G128" i="5"/>
  <c r="N127" i="5"/>
  <c r="L127" i="5"/>
  <c r="J127" i="5"/>
  <c r="I127" i="5"/>
  <c r="G127" i="5"/>
  <c r="N126" i="5"/>
  <c r="L126" i="5"/>
  <c r="I126" i="5"/>
  <c r="G126" i="5"/>
  <c r="N125" i="5"/>
  <c r="L125" i="5"/>
  <c r="J125" i="5"/>
  <c r="M125" i="5" s="1"/>
  <c r="F125" i="5" s="1"/>
  <c r="I125" i="5"/>
  <c r="G125" i="5"/>
  <c r="N124" i="5"/>
  <c r="L124" i="5"/>
  <c r="I124" i="5"/>
  <c r="G124" i="5"/>
  <c r="J124" i="5" s="1"/>
  <c r="M124" i="5" s="1"/>
  <c r="F124" i="5" s="1"/>
  <c r="N123" i="5"/>
  <c r="L123" i="5"/>
  <c r="I123" i="5"/>
  <c r="G123" i="5"/>
  <c r="J123" i="5" s="1"/>
  <c r="N122" i="5"/>
  <c r="L122" i="5"/>
  <c r="I122" i="5"/>
  <c r="G122" i="5"/>
  <c r="N121" i="5"/>
  <c r="L121" i="5"/>
  <c r="J121" i="5"/>
  <c r="I121" i="5"/>
  <c r="G121" i="5"/>
  <c r="N120" i="5"/>
  <c r="L120" i="5"/>
  <c r="I120" i="5"/>
  <c r="G120" i="5"/>
  <c r="N119" i="5"/>
  <c r="L119" i="5"/>
  <c r="J119" i="5"/>
  <c r="I119" i="5"/>
  <c r="G119" i="5"/>
  <c r="N118" i="5"/>
  <c r="L118" i="5"/>
  <c r="I118" i="5"/>
  <c r="G118" i="5"/>
  <c r="J118" i="5" s="1"/>
  <c r="M118" i="5" s="1"/>
  <c r="F118" i="5" s="1"/>
  <c r="N117" i="5"/>
  <c r="L117" i="5"/>
  <c r="I117" i="5"/>
  <c r="G117" i="5"/>
  <c r="J117" i="5" s="1"/>
  <c r="N116" i="5"/>
  <c r="L116" i="5"/>
  <c r="I116" i="5"/>
  <c r="G116" i="5"/>
  <c r="N115" i="5"/>
  <c r="L115" i="5"/>
  <c r="J115" i="5"/>
  <c r="I115" i="5"/>
  <c r="G115" i="5"/>
  <c r="N114" i="5"/>
  <c r="L114" i="5"/>
  <c r="I114" i="5"/>
  <c r="G114" i="5"/>
  <c r="N113" i="5"/>
  <c r="L113" i="5"/>
  <c r="J113" i="5"/>
  <c r="M113" i="5" s="1"/>
  <c r="I113" i="5"/>
  <c r="G113" i="5"/>
  <c r="F113" i="5"/>
  <c r="N112" i="5"/>
  <c r="L112" i="5"/>
  <c r="I112" i="5"/>
  <c r="G112" i="5"/>
  <c r="N111" i="5"/>
  <c r="L111" i="5"/>
  <c r="J111" i="5"/>
  <c r="I111" i="5"/>
  <c r="G111" i="5"/>
  <c r="N110" i="5"/>
  <c r="L110" i="5"/>
  <c r="I110" i="5"/>
  <c r="G110" i="5"/>
  <c r="N109" i="5"/>
  <c r="L109" i="5"/>
  <c r="J109" i="5"/>
  <c r="I109" i="5"/>
  <c r="G109" i="5"/>
  <c r="N108" i="5"/>
  <c r="L108" i="5"/>
  <c r="I108" i="5"/>
  <c r="G108" i="5"/>
  <c r="N107" i="5"/>
  <c r="L107" i="5"/>
  <c r="I107" i="5"/>
  <c r="G107" i="5"/>
  <c r="J107" i="5" s="1"/>
  <c r="N106" i="5"/>
  <c r="L106" i="5"/>
  <c r="I106" i="5"/>
  <c r="G106" i="5"/>
  <c r="N105" i="5"/>
  <c r="L105" i="5"/>
  <c r="J105" i="5"/>
  <c r="I105" i="5"/>
  <c r="G105" i="5"/>
  <c r="N104" i="5"/>
  <c r="L104" i="5"/>
  <c r="I104" i="5"/>
  <c r="G104" i="5"/>
  <c r="N103" i="5"/>
  <c r="L103" i="5"/>
  <c r="J103" i="5"/>
  <c r="I103" i="5"/>
  <c r="G103" i="5"/>
  <c r="N102" i="5"/>
  <c r="M102" i="5"/>
  <c r="F102" i="5" s="1"/>
  <c r="L102" i="5"/>
  <c r="I102" i="5"/>
  <c r="G102" i="5"/>
  <c r="J102" i="5" s="1"/>
  <c r="N101" i="5"/>
  <c r="L101" i="5"/>
  <c r="I101" i="5"/>
  <c r="G101" i="5"/>
  <c r="J101" i="5" s="1"/>
  <c r="N100" i="5"/>
  <c r="M100" i="5"/>
  <c r="F100" i="5" s="1"/>
  <c r="L100" i="5"/>
  <c r="J100" i="5"/>
  <c r="I100" i="5"/>
  <c r="G100" i="5"/>
  <c r="N99" i="5"/>
  <c r="L99" i="5"/>
  <c r="J99" i="5"/>
  <c r="I99" i="5"/>
  <c r="G99" i="5"/>
  <c r="N98" i="5"/>
  <c r="L98" i="5"/>
  <c r="I98" i="5"/>
  <c r="G98" i="5"/>
  <c r="N97" i="5"/>
  <c r="L97" i="5"/>
  <c r="J97" i="5"/>
  <c r="M97" i="5" s="1"/>
  <c r="F97" i="5" s="1"/>
  <c r="I97" i="5"/>
  <c r="G97" i="5"/>
  <c r="N96" i="5"/>
  <c r="L96" i="5"/>
  <c r="I96" i="5"/>
  <c r="G96" i="5"/>
  <c r="N95" i="5"/>
  <c r="M95" i="5"/>
  <c r="F95" i="5" s="1"/>
  <c r="L95" i="5"/>
  <c r="I95" i="5"/>
  <c r="G95" i="5"/>
  <c r="J95" i="5" s="1"/>
  <c r="N94" i="5"/>
  <c r="L94" i="5"/>
  <c r="I94" i="5"/>
  <c r="G94" i="5"/>
  <c r="N93" i="5"/>
  <c r="L93" i="5"/>
  <c r="J93" i="5"/>
  <c r="I93" i="5"/>
  <c r="G93" i="5"/>
  <c r="N92" i="5"/>
  <c r="L92" i="5"/>
  <c r="M92" i="5" s="1"/>
  <c r="F92" i="5" s="1"/>
  <c r="I92" i="5"/>
  <c r="G92" i="5"/>
  <c r="J92" i="5" s="1"/>
  <c r="N91" i="5"/>
  <c r="L91" i="5"/>
  <c r="I91" i="5"/>
  <c r="G91" i="5"/>
  <c r="J91" i="5" s="1"/>
  <c r="N90" i="5"/>
  <c r="L90" i="5"/>
  <c r="J90" i="5"/>
  <c r="M90" i="5" s="1"/>
  <c r="F90" i="5" s="1"/>
  <c r="I90" i="5"/>
  <c r="G90" i="5"/>
  <c r="N89" i="5"/>
  <c r="L89" i="5"/>
  <c r="I89" i="5"/>
  <c r="G89" i="5"/>
  <c r="N88" i="5"/>
  <c r="L88" i="5"/>
  <c r="I88" i="5"/>
  <c r="G88" i="5"/>
  <c r="N87" i="5"/>
  <c r="L87" i="5"/>
  <c r="I87" i="5"/>
  <c r="J87" i="5" s="1"/>
  <c r="G87" i="5"/>
  <c r="N86" i="5"/>
  <c r="M86" i="5"/>
  <c r="F86" i="5" s="1"/>
  <c r="L86" i="5"/>
  <c r="I86" i="5"/>
  <c r="J86" i="5" s="1"/>
  <c r="G86" i="5"/>
  <c r="N85" i="5"/>
  <c r="L85" i="5"/>
  <c r="J85" i="5"/>
  <c r="M85" i="5" s="1"/>
  <c r="F85" i="5" s="1"/>
  <c r="I85" i="5"/>
  <c r="G85" i="5"/>
  <c r="N84" i="5"/>
  <c r="L84" i="5"/>
  <c r="I84" i="5"/>
  <c r="G84" i="5"/>
  <c r="N83" i="5"/>
  <c r="L83" i="5"/>
  <c r="I83" i="5"/>
  <c r="J83" i="5" s="1"/>
  <c r="G83" i="5"/>
  <c r="N82" i="5"/>
  <c r="L82" i="5"/>
  <c r="I82" i="5"/>
  <c r="G82" i="5"/>
  <c r="N81" i="5"/>
  <c r="L81" i="5"/>
  <c r="J81" i="5"/>
  <c r="M81" i="5" s="1"/>
  <c r="F81" i="5" s="1"/>
  <c r="I81" i="5"/>
  <c r="G81" i="5"/>
  <c r="N80" i="5"/>
  <c r="L80" i="5"/>
  <c r="I80" i="5"/>
  <c r="G80" i="5"/>
  <c r="J80" i="5" s="1"/>
  <c r="N79" i="5"/>
  <c r="L79" i="5"/>
  <c r="J79" i="5"/>
  <c r="I79" i="5"/>
  <c r="G79" i="5"/>
  <c r="N78" i="5"/>
  <c r="L78" i="5"/>
  <c r="I78" i="5"/>
  <c r="J78" i="5" s="1"/>
  <c r="G78" i="5"/>
  <c r="N77" i="5"/>
  <c r="L77" i="5"/>
  <c r="I77" i="5"/>
  <c r="G77" i="5"/>
  <c r="N76" i="5"/>
  <c r="L76" i="5"/>
  <c r="I76" i="5"/>
  <c r="G76" i="5"/>
  <c r="J76" i="5" s="1"/>
  <c r="N75" i="5"/>
  <c r="L75" i="5"/>
  <c r="I75" i="5"/>
  <c r="G75" i="5"/>
  <c r="N74" i="5"/>
  <c r="L74" i="5"/>
  <c r="J74" i="5"/>
  <c r="M74" i="5" s="1"/>
  <c r="F74" i="5" s="1"/>
  <c r="I74" i="5"/>
  <c r="G74" i="5"/>
  <c r="N73" i="5"/>
  <c r="L73" i="5"/>
  <c r="J73" i="5"/>
  <c r="M73" i="5" s="1"/>
  <c r="F73" i="5" s="1"/>
  <c r="I73" i="5"/>
  <c r="G73" i="5"/>
  <c r="N72" i="5"/>
  <c r="L72" i="5"/>
  <c r="I72" i="5"/>
  <c r="G72" i="5"/>
  <c r="N71" i="5"/>
  <c r="L71" i="5"/>
  <c r="J71" i="5"/>
  <c r="M71" i="5" s="1"/>
  <c r="F71" i="5" s="1"/>
  <c r="I71" i="5"/>
  <c r="G71" i="5"/>
  <c r="N70" i="5"/>
  <c r="L70" i="5"/>
  <c r="J70" i="5"/>
  <c r="M70" i="5" s="1"/>
  <c r="F70" i="5" s="1"/>
  <c r="I70" i="5"/>
  <c r="G70" i="5"/>
  <c r="N69" i="5"/>
  <c r="L69" i="5"/>
  <c r="I69" i="5"/>
  <c r="G69" i="5"/>
  <c r="J69" i="5" s="1"/>
  <c r="N68" i="5"/>
  <c r="L68" i="5"/>
  <c r="J68" i="5"/>
  <c r="M68" i="5" s="1"/>
  <c r="I68" i="5"/>
  <c r="G68" i="5"/>
  <c r="F68" i="5"/>
  <c r="N67" i="5"/>
  <c r="L67" i="5"/>
  <c r="J67" i="5"/>
  <c r="M67" i="5" s="1"/>
  <c r="F67" i="5" s="1"/>
  <c r="I67" i="5"/>
  <c r="G67" i="5"/>
  <c r="N66" i="5"/>
  <c r="L66" i="5"/>
  <c r="I66" i="5"/>
  <c r="G66" i="5"/>
  <c r="J66" i="5" s="1"/>
  <c r="N65" i="5"/>
  <c r="L65" i="5"/>
  <c r="I65" i="5"/>
  <c r="G65" i="5"/>
  <c r="J65" i="5" s="1"/>
  <c r="N64" i="5"/>
  <c r="L64" i="5"/>
  <c r="I64" i="5"/>
  <c r="J64" i="5" s="1"/>
  <c r="G64" i="5"/>
  <c r="N63" i="5"/>
  <c r="L63" i="5"/>
  <c r="I63" i="5"/>
  <c r="G63" i="5"/>
  <c r="J63" i="5" s="1"/>
  <c r="N62" i="5"/>
  <c r="L62" i="5"/>
  <c r="I62" i="5"/>
  <c r="G62" i="5"/>
  <c r="J62" i="5" s="1"/>
  <c r="M62" i="5" s="1"/>
  <c r="F62" i="5" s="1"/>
  <c r="N61" i="5"/>
  <c r="L61" i="5"/>
  <c r="I61" i="5"/>
  <c r="G61" i="5"/>
  <c r="J61" i="5" s="1"/>
  <c r="N60" i="5"/>
  <c r="L60" i="5"/>
  <c r="I60" i="5"/>
  <c r="G60" i="5"/>
  <c r="J60" i="5" s="1"/>
  <c r="N59" i="5"/>
  <c r="L59" i="5"/>
  <c r="I59" i="5"/>
  <c r="G59" i="5"/>
  <c r="N58" i="5"/>
  <c r="L58" i="5"/>
  <c r="I58" i="5"/>
  <c r="J58" i="5" s="1"/>
  <c r="G58" i="5"/>
  <c r="N57" i="5"/>
  <c r="L57" i="5"/>
  <c r="I57" i="5"/>
  <c r="J57" i="5" s="1"/>
  <c r="G57" i="5"/>
  <c r="N56" i="5"/>
  <c r="L56" i="5"/>
  <c r="I56" i="5"/>
  <c r="G56" i="5"/>
  <c r="J56" i="5" s="1"/>
  <c r="N55" i="5"/>
  <c r="L55" i="5"/>
  <c r="J55" i="5"/>
  <c r="M55" i="5" s="1"/>
  <c r="F55" i="5" s="1"/>
  <c r="I55" i="5"/>
  <c r="G55" i="5"/>
  <c r="N54" i="5"/>
  <c r="L54" i="5"/>
  <c r="J54" i="5"/>
  <c r="M54" i="5" s="1"/>
  <c r="F54" i="5" s="1"/>
  <c r="I54" i="5"/>
  <c r="G54" i="5"/>
  <c r="N53" i="5"/>
  <c r="L53" i="5"/>
  <c r="I53" i="5"/>
  <c r="G53" i="5"/>
  <c r="J53" i="5" s="1"/>
  <c r="N52" i="5"/>
  <c r="L52" i="5"/>
  <c r="J52" i="5"/>
  <c r="M52" i="5" s="1"/>
  <c r="F52" i="5" s="1"/>
  <c r="I52" i="5"/>
  <c r="G52" i="5"/>
  <c r="N51" i="5"/>
  <c r="L51" i="5"/>
  <c r="I51" i="5"/>
  <c r="J51" i="5" s="1"/>
  <c r="G51" i="5"/>
  <c r="N50" i="5"/>
  <c r="L50" i="5"/>
  <c r="I50" i="5"/>
  <c r="G50" i="5"/>
  <c r="J50" i="5" s="1"/>
  <c r="N49" i="5"/>
  <c r="L49" i="5"/>
  <c r="I49" i="5"/>
  <c r="G49" i="5"/>
  <c r="J49" i="5" s="1"/>
  <c r="N48" i="5"/>
  <c r="L48" i="5"/>
  <c r="I48" i="5"/>
  <c r="J48" i="5" s="1"/>
  <c r="G48" i="5"/>
  <c r="N47" i="5"/>
  <c r="L47" i="5"/>
  <c r="I47" i="5"/>
  <c r="G47" i="5"/>
  <c r="J47" i="5" s="1"/>
  <c r="N46" i="5"/>
  <c r="L46" i="5"/>
  <c r="I46" i="5"/>
  <c r="G46" i="5"/>
  <c r="J46" i="5" s="1"/>
  <c r="N45" i="5"/>
  <c r="L45" i="5"/>
  <c r="I45" i="5"/>
  <c r="G45" i="5"/>
  <c r="J45" i="5" s="1"/>
  <c r="N44" i="5"/>
  <c r="L44" i="5"/>
  <c r="I44" i="5"/>
  <c r="G44" i="5"/>
  <c r="J44" i="5" s="1"/>
  <c r="N43" i="5"/>
  <c r="L43" i="5"/>
  <c r="I43" i="5"/>
  <c r="G43" i="5"/>
  <c r="N42" i="5"/>
  <c r="L42" i="5"/>
  <c r="I42" i="5"/>
  <c r="J42" i="5" s="1"/>
  <c r="G42" i="5"/>
  <c r="N41" i="5"/>
  <c r="L41" i="5"/>
  <c r="I41" i="5"/>
  <c r="J41" i="5" s="1"/>
  <c r="G41" i="5"/>
  <c r="N40" i="5"/>
  <c r="L40" i="5"/>
  <c r="I40" i="5"/>
  <c r="G40" i="5"/>
  <c r="J40" i="5" s="1"/>
  <c r="N39" i="5"/>
  <c r="L39" i="5"/>
  <c r="J39" i="5"/>
  <c r="M39" i="5" s="1"/>
  <c r="F39" i="5" s="1"/>
  <c r="I39" i="5"/>
  <c r="G39" i="5"/>
  <c r="N38" i="5"/>
  <c r="L38" i="5"/>
  <c r="J38" i="5"/>
  <c r="M38" i="5" s="1"/>
  <c r="F38" i="5" s="1"/>
  <c r="I38" i="5"/>
  <c r="G38" i="5"/>
  <c r="N37" i="5"/>
  <c r="L37" i="5"/>
  <c r="I37" i="5"/>
  <c r="G37" i="5"/>
  <c r="J37" i="5" s="1"/>
  <c r="N36" i="5"/>
  <c r="L36" i="5"/>
  <c r="J36" i="5"/>
  <c r="M36" i="5" s="1"/>
  <c r="F36" i="5" s="1"/>
  <c r="I36" i="5"/>
  <c r="G36" i="5"/>
  <c r="N35" i="5"/>
  <c r="L35" i="5"/>
  <c r="I35" i="5"/>
  <c r="J35" i="5" s="1"/>
  <c r="G35" i="5"/>
  <c r="N34" i="5"/>
  <c r="L34" i="5"/>
  <c r="I34" i="5"/>
  <c r="G34" i="5"/>
  <c r="J34" i="5" s="1"/>
  <c r="N33" i="5"/>
  <c r="L33" i="5"/>
  <c r="I33" i="5"/>
  <c r="G33" i="5"/>
  <c r="J33" i="5" s="1"/>
  <c r="N32" i="5"/>
  <c r="L32" i="5"/>
  <c r="J32" i="5"/>
  <c r="I32" i="5"/>
  <c r="G32" i="5"/>
  <c r="N31" i="5"/>
  <c r="L31" i="5"/>
  <c r="I31" i="5"/>
  <c r="G31" i="5"/>
  <c r="J31" i="5" s="1"/>
  <c r="N30" i="5"/>
  <c r="L30" i="5"/>
  <c r="I30" i="5"/>
  <c r="G30" i="5"/>
  <c r="J30" i="5" s="1"/>
  <c r="M30" i="5" s="1"/>
  <c r="F30" i="5" s="1"/>
  <c r="N29" i="5"/>
  <c r="L29" i="5"/>
  <c r="I29" i="5"/>
  <c r="G29" i="5"/>
  <c r="J29" i="5" s="1"/>
  <c r="N28" i="5"/>
  <c r="L28" i="5"/>
  <c r="I28" i="5"/>
  <c r="G28" i="5"/>
  <c r="J28" i="5" s="1"/>
  <c r="N27" i="5"/>
  <c r="L27" i="5"/>
  <c r="I27" i="5"/>
  <c r="G27" i="5"/>
  <c r="N26" i="5"/>
  <c r="L26" i="5"/>
  <c r="J26" i="5"/>
  <c r="M26" i="5" s="1"/>
  <c r="F26" i="5" s="1"/>
  <c r="I26" i="5"/>
  <c r="G26" i="5"/>
  <c r="N25" i="5"/>
  <c r="L25" i="5"/>
  <c r="I25" i="5"/>
  <c r="J25" i="5" s="1"/>
  <c r="G25" i="5"/>
  <c r="N24" i="5"/>
  <c r="L24" i="5"/>
  <c r="I24" i="5"/>
  <c r="G24" i="5"/>
  <c r="J24" i="5" s="1"/>
  <c r="N23" i="5"/>
  <c r="L23" i="5"/>
  <c r="J23" i="5"/>
  <c r="M23" i="5" s="1"/>
  <c r="F23" i="5" s="1"/>
  <c r="I23" i="5"/>
  <c r="G23" i="5"/>
  <c r="N22" i="5"/>
  <c r="L22" i="5"/>
  <c r="J22" i="5"/>
  <c r="M22" i="5" s="1"/>
  <c r="F22" i="5" s="1"/>
  <c r="I22" i="5"/>
  <c r="G22" i="5"/>
  <c r="N21" i="5"/>
  <c r="L21" i="5"/>
  <c r="I21" i="5"/>
  <c r="G21" i="5"/>
  <c r="J21" i="5" s="1"/>
  <c r="N20" i="5"/>
  <c r="L20" i="5"/>
  <c r="J20" i="5"/>
  <c r="M20" i="5" s="1"/>
  <c r="I20" i="5"/>
  <c r="G20" i="5"/>
  <c r="F20" i="5"/>
  <c r="N19" i="5"/>
  <c r="L19" i="5"/>
  <c r="I19" i="5"/>
  <c r="J19" i="5" s="1"/>
  <c r="G19" i="5"/>
  <c r="N18" i="5"/>
  <c r="L18" i="5"/>
  <c r="I18" i="5"/>
  <c r="G18" i="5"/>
  <c r="J18" i="5" s="1"/>
  <c r="N17" i="5"/>
  <c r="L17" i="5"/>
  <c r="I17" i="5"/>
  <c r="G17" i="5"/>
  <c r="J17" i="5" s="1"/>
  <c r="N16" i="5"/>
  <c r="L16" i="5"/>
  <c r="J16" i="5"/>
  <c r="I16" i="5"/>
  <c r="G16" i="5"/>
  <c r="N15" i="5"/>
  <c r="L15" i="5"/>
  <c r="I15" i="5"/>
  <c r="G15" i="5"/>
  <c r="J15" i="5" s="1"/>
  <c r="N14" i="5"/>
  <c r="L14" i="5"/>
  <c r="I14" i="5"/>
  <c r="G14" i="5"/>
  <c r="J14" i="5" s="1"/>
  <c r="N13" i="5"/>
  <c r="L13" i="5"/>
  <c r="I13" i="5"/>
  <c r="G13" i="5"/>
  <c r="J13" i="5" s="1"/>
  <c r="N12" i="5"/>
  <c r="L12" i="5"/>
  <c r="I12" i="5"/>
  <c r="G12" i="5"/>
  <c r="J12" i="5" s="1"/>
  <c r="N11" i="5"/>
  <c r="L11" i="5"/>
  <c r="I11" i="5"/>
  <c r="G11" i="5"/>
  <c r="N10" i="5"/>
  <c r="L10" i="5"/>
  <c r="I10" i="5"/>
  <c r="J10" i="5" s="1"/>
  <c r="G10" i="5"/>
  <c r="N9" i="5"/>
  <c r="L9" i="5"/>
  <c r="I9" i="5"/>
  <c r="J9" i="5" s="1"/>
  <c r="G9" i="5"/>
  <c r="B9" i="5"/>
  <c r="N8" i="5"/>
  <c r="L8" i="5"/>
  <c r="I8" i="5"/>
  <c r="G8" i="5"/>
  <c r="J8" i="5" s="1"/>
  <c r="B8" i="5"/>
  <c r="N7" i="5"/>
  <c r="L7" i="5"/>
  <c r="I7" i="5"/>
  <c r="G7" i="5"/>
  <c r="J7" i="5" s="1"/>
  <c r="N6" i="5"/>
  <c r="L6" i="5"/>
  <c r="J6" i="5"/>
  <c r="M6" i="5" s="1"/>
  <c r="I6" i="5"/>
  <c r="G6" i="5"/>
  <c r="F6" i="5"/>
  <c r="N5" i="5"/>
  <c r="L5" i="5"/>
  <c r="I5" i="5"/>
  <c r="J5" i="5" s="1"/>
  <c r="H5" i="5"/>
  <c r="G5" i="5"/>
  <c r="J359" i="4"/>
  <c r="K359" i="4" s="1"/>
  <c r="I359" i="4"/>
  <c r="H359" i="4"/>
  <c r="G359" i="4"/>
  <c r="F359" i="4"/>
  <c r="K358" i="4"/>
  <c r="I358" i="4"/>
  <c r="G358" i="4"/>
  <c r="J358" i="4" s="1"/>
  <c r="F358" i="4" s="1"/>
  <c r="K357" i="4"/>
  <c r="I357" i="4"/>
  <c r="H357" i="4"/>
  <c r="G357" i="4"/>
  <c r="J357" i="4" s="1"/>
  <c r="F357" i="4" s="1"/>
  <c r="I356" i="4"/>
  <c r="H356" i="4"/>
  <c r="G356" i="4"/>
  <c r="J356" i="4" s="1"/>
  <c r="I355" i="4"/>
  <c r="G355" i="4"/>
  <c r="J354" i="4"/>
  <c r="K354" i="4" s="1"/>
  <c r="I354" i="4"/>
  <c r="H354" i="4"/>
  <c r="G354" i="4"/>
  <c r="F354" i="4"/>
  <c r="I353" i="4"/>
  <c r="J353" i="4" s="1"/>
  <c r="G353" i="4"/>
  <c r="H353" i="4" s="1"/>
  <c r="I352" i="4"/>
  <c r="J352" i="4" s="1"/>
  <c r="K352" i="4" s="1"/>
  <c r="G352" i="4"/>
  <c r="H352" i="4" s="1"/>
  <c r="F352" i="4"/>
  <c r="J351" i="4"/>
  <c r="K351" i="4" s="1"/>
  <c r="I351" i="4"/>
  <c r="H351" i="4"/>
  <c r="G351" i="4"/>
  <c r="K350" i="4"/>
  <c r="I350" i="4"/>
  <c r="G350" i="4"/>
  <c r="J350" i="4" s="1"/>
  <c r="F350" i="4" s="1"/>
  <c r="I349" i="4"/>
  <c r="H349" i="4"/>
  <c r="G349" i="4"/>
  <c r="J349" i="4" s="1"/>
  <c r="K349" i="4" s="1"/>
  <c r="J348" i="4"/>
  <c r="I348" i="4"/>
  <c r="H348" i="4"/>
  <c r="G348" i="4"/>
  <c r="I347" i="4"/>
  <c r="G347" i="4"/>
  <c r="J346" i="4"/>
  <c r="K346" i="4" s="1"/>
  <c r="I346" i="4"/>
  <c r="H346" i="4"/>
  <c r="G346" i="4"/>
  <c r="F346" i="4"/>
  <c r="I345" i="4"/>
  <c r="J345" i="4" s="1"/>
  <c r="G345" i="4"/>
  <c r="H345" i="4" s="1"/>
  <c r="I344" i="4"/>
  <c r="J344" i="4" s="1"/>
  <c r="K344" i="4" s="1"/>
  <c r="G344" i="4"/>
  <c r="H344" i="4" s="1"/>
  <c r="F344" i="4"/>
  <c r="J343" i="4"/>
  <c r="K343" i="4" s="1"/>
  <c r="I343" i="4"/>
  <c r="H343" i="4"/>
  <c r="G343" i="4"/>
  <c r="F343" i="4"/>
  <c r="I342" i="4"/>
  <c r="G342" i="4"/>
  <c r="J342" i="4" s="1"/>
  <c r="F342" i="4" s="1"/>
  <c r="I340" i="4"/>
  <c r="H340" i="4"/>
  <c r="G340" i="4"/>
  <c r="J340" i="4" s="1"/>
  <c r="K340" i="4" s="1"/>
  <c r="J339" i="4"/>
  <c r="I339" i="4"/>
  <c r="H339" i="4"/>
  <c r="G339" i="4"/>
  <c r="I338" i="4"/>
  <c r="G338" i="4"/>
  <c r="J337" i="4"/>
  <c r="K337" i="4" s="1"/>
  <c r="I337" i="4"/>
  <c r="H337" i="4"/>
  <c r="G337" i="4"/>
  <c r="J336" i="4"/>
  <c r="I336" i="4"/>
  <c r="G336" i="4"/>
  <c r="H336" i="4" s="1"/>
  <c r="I335" i="4"/>
  <c r="J335" i="4" s="1"/>
  <c r="K335" i="4" s="1"/>
  <c r="G335" i="4"/>
  <c r="H335" i="4" s="1"/>
  <c r="F335" i="4"/>
  <c r="J334" i="4"/>
  <c r="K334" i="4" s="1"/>
  <c r="I334" i="4"/>
  <c r="H334" i="4"/>
  <c r="G334" i="4"/>
  <c r="K333" i="4"/>
  <c r="I333" i="4"/>
  <c r="G333" i="4"/>
  <c r="J333" i="4" s="1"/>
  <c r="F333" i="4" s="1"/>
  <c r="I332" i="4"/>
  <c r="H332" i="4"/>
  <c r="G332" i="4"/>
  <c r="J332" i="4" s="1"/>
  <c r="K332" i="4" s="1"/>
  <c r="F332" i="4"/>
  <c r="J331" i="4"/>
  <c r="I331" i="4"/>
  <c r="H331" i="4"/>
  <c r="G331" i="4"/>
  <c r="I330" i="4"/>
  <c r="G330" i="4"/>
  <c r="J329" i="4"/>
  <c r="K329" i="4" s="1"/>
  <c r="I329" i="4"/>
  <c r="H329" i="4"/>
  <c r="G329" i="4"/>
  <c r="I328" i="4"/>
  <c r="J328" i="4" s="1"/>
  <c r="G328" i="4"/>
  <c r="H328" i="4" s="1"/>
  <c r="I327" i="4"/>
  <c r="J327" i="4" s="1"/>
  <c r="K327" i="4" s="1"/>
  <c r="G327" i="4"/>
  <c r="H327" i="4" s="1"/>
  <c r="F327" i="4"/>
  <c r="J326" i="4"/>
  <c r="K326" i="4" s="1"/>
  <c r="I326" i="4"/>
  <c r="H326" i="4"/>
  <c r="G326" i="4"/>
  <c r="F326" i="4"/>
  <c r="I325" i="4"/>
  <c r="G325" i="4"/>
  <c r="J325" i="4" s="1"/>
  <c r="F325" i="4" s="1"/>
  <c r="K324" i="4"/>
  <c r="I324" i="4"/>
  <c r="H324" i="4"/>
  <c r="G324" i="4"/>
  <c r="J324" i="4" s="1"/>
  <c r="F324" i="4"/>
  <c r="I323" i="4"/>
  <c r="H323" i="4"/>
  <c r="G323" i="4"/>
  <c r="J323" i="4" s="1"/>
  <c r="I322" i="4"/>
  <c r="G322" i="4"/>
  <c r="J321" i="4"/>
  <c r="K321" i="4" s="1"/>
  <c r="I321" i="4"/>
  <c r="H321" i="4"/>
  <c r="G321" i="4"/>
  <c r="F321" i="4"/>
  <c r="J320" i="4"/>
  <c r="I320" i="4"/>
  <c r="G320" i="4"/>
  <c r="H320" i="4" s="1"/>
  <c r="I319" i="4"/>
  <c r="J319" i="4" s="1"/>
  <c r="K319" i="4" s="1"/>
  <c r="G319" i="4"/>
  <c r="H319" i="4" s="1"/>
  <c r="J318" i="4"/>
  <c r="K318" i="4" s="1"/>
  <c r="I318" i="4"/>
  <c r="H318" i="4"/>
  <c r="G318" i="4"/>
  <c r="F318" i="4"/>
  <c r="I317" i="4"/>
  <c r="G317" i="4"/>
  <c r="J317" i="4" s="1"/>
  <c r="F317" i="4" s="1"/>
  <c r="K316" i="4"/>
  <c r="I316" i="4"/>
  <c r="H316" i="4"/>
  <c r="G316" i="4"/>
  <c r="J316" i="4" s="1"/>
  <c r="F316" i="4" s="1"/>
  <c r="I315" i="4"/>
  <c r="G315" i="4"/>
  <c r="J315" i="4" s="1"/>
  <c r="I314" i="4"/>
  <c r="G314" i="4"/>
  <c r="J313" i="4"/>
  <c r="K313" i="4" s="1"/>
  <c r="I313" i="4"/>
  <c r="H313" i="4"/>
  <c r="G313" i="4"/>
  <c r="F313" i="4"/>
  <c r="I312" i="4"/>
  <c r="J312" i="4" s="1"/>
  <c r="G312" i="4"/>
  <c r="H312" i="4" s="1"/>
  <c r="I311" i="4"/>
  <c r="J311" i="4" s="1"/>
  <c r="K311" i="4" s="1"/>
  <c r="G311" i="4"/>
  <c r="H311" i="4" s="1"/>
  <c r="F311" i="4"/>
  <c r="J310" i="4"/>
  <c r="K310" i="4" s="1"/>
  <c r="I310" i="4"/>
  <c r="H310" i="4"/>
  <c r="G310" i="4"/>
  <c r="I309" i="4"/>
  <c r="G309" i="4"/>
  <c r="J309" i="4" s="1"/>
  <c r="F309" i="4" s="1"/>
  <c r="I308" i="4"/>
  <c r="H308" i="4"/>
  <c r="G308" i="4"/>
  <c r="J308" i="4" s="1"/>
  <c r="K308" i="4" s="1"/>
  <c r="I307" i="4"/>
  <c r="G307" i="4"/>
  <c r="J307" i="4" s="1"/>
  <c r="I306" i="4"/>
  <c r="G306" i="4"/>
  <c r="J305" i="4"/>
  <c r="K305" i="4" s="1"/>
  <c r="I305" i="4"/>
  <c r="H305" i="4"/>
  <c r="G305" i="4"/>
  <c r="F305" i="4"/>
  <c r="I304" i="4"/>
  <c r="J304" i="4" s="1"/>
  <c r="G304" i="4"/>
  <c r="H304" i="4" s="1"/>
  <c r="I303" i="4"/>
  <c r="J303" i="4" s="1"/>
  <c r="K303" i="4" s="1"/>
  <c r="G303" i="4"/>
  <c r="H303" i="4" s="1"/>
  <c r="J302" i="4"/>
  <c r="K302" i="4" s="1"/>
  <c r="I302" i="4"/>
  <c r="H302" i="4"/>
  <c r="G302" i="4"/>
  <c r="F302" i="4"/>
  <c r="I301" i="4"/>
  <c r="G301" i="4"/>
  <c r="J301" i="4" s="1"/>
  <c r="F301" i="4" s="1"/>
  <c r="I300" i="4"/>
  <c r="H300" i="4"/>
  <c r="G300" i="4"/>
  <c r="J300" i="4" s="1"/>
  <c r="K300" i="4" s="1"/>
  <c r="J299" i="4"/>
  <c r="I299" i="4"/>
  <c r="G299" i="4"/>
  <c r="H299" i="4" s="1"/>
  <c r="I298" i="4"/>
  <c r="G298" i="4"/>
  <c r="J297" i="4"/>
  <c r="K297" i="4" s="1"/>
  <c r="I297" i="4"/>
  <c r="H297" i="4"/>
  <c r="G297" i="4"/>
  <c r="F297" i="4"/>
  <c r="I296" i="4"/>
  <c r="J296" i="4" s="1"/>
  <c r="G296" i="4"/>
  <c r="H296" i="4" s="1"/>
  <c r="I295" i="4"/>
  <c r="J295" i="4" s="1"/>
  <c r="K295" i="4" s="1"/>
  <c r="G295" i="4"/>
  <c r="H295" i="4" s="1"/>
  <c r="F295" i="4"/>
  <c r="J294" i="4"/>
  <c r="K294" i="4" s="1"/>
  <c r="I294" i="4"/>
  <c r="H294" i="4"/>
  <c r="G294" i="4"/>
  <c r="I293" i="4"/>
  <c r="G293" i="4"/>
  <c r="J293" i="4" s="1"/>
  <c r="F293" i="4" s="1"/>
  <c r="I292" i="4"/>
  <c r="H292" i="4"/>
  <c r="G292" i="4"/>
  <c r="J292" i="4" s="1"/>
  <c r="K292" i="4" s="1"/>
  <c r="I291" i="4"/>
  <c r="H291" i="4"/>
  <c r="G291" i="4"/>
  <c r="J291" i="4" s="1"/>
  <c r="I290" i="4"/>
  <c r="G290" i="4"/>
  <c r="J289" i="4"/>
  <c r="K289" i="4" s="1"/>
  <c r="I289" i="4"/>
  <c r="H289" i="4"/>
  <c r="G289" i="4"/>
  <c r="F289" i="4"/>
  <c r="I288" i="4"/>
  <c r="J288" i="4" s="1"/>
  <c r="G288" i="4"/>
  <c r="H288" i="4" s="1"/>
  <c r="I287" i="4"/>
  <c r="J287" i="4" s="1"/>
  <c r="K287" i="4" s="1"/>
  <c r="G287" i="4"/>
  <c r="H287" i="4" s="1"/>
  <c r="F287" i="4"/>
  <c r="J286" i="4"/>
  <c r="K286" i="4" s="1"/>
  <c r="I286" i="4"/>
  <c r="H286" i="4"/>
  <c r="G286" i="4"/>
  <c r="K285" i="4"/>
  <c r="I285" i="4"/>
  <c r="G285" i="4"/>
  <c r="J285" i="4" s="1"/>
  <c r="F285" i="4" s="1"/>
  <c r="I284" i="4"/>
  <c r="H284" i="4"/>
  <c r="G284" i="4"/>
  <c r="J284" i="4" s="1"/>
  <c r="K284" i="4" s="1"/>
  <c r="J283" i="4"/>
  <c r="I283" i="4"/>
  <c r="H283" i="4"/>
  <c r="G283" i="4"/>
  <c r="I282" i="4"/>
  <c r="G282" i="4"/>
  <c r="J281" i="4"/>
  <c r="K281" i="4" s="1"/>
  <c r="I281" i="4"/>
  <c r="H281" i="4"/>
  <c r="G281" i="4"/>
  <c r="F281" i="4"/>
  <c r="I280" i="4"/>
  <c r="J280" i="4" s="1"/>
  <c r="G280" i="4"/>
  <c r="H280" i="4" s="1"/>
  <c r="I279" i="4"/>
  <c r="J279" i="4" s="1"/>
  <c r="K279" i="4" s="1"/>
  <c r="G279" i="4"/>
  <c r="H279" i="4" s="1"/>
  <c r="F279" i="4"/>
  <c r="J278" i="4"/>
  <c r="K278" i="4" s="1"/>
  <c r="I278" i="4"/>
  <c r="H278" i="4"/>
  <c r="G278" i="4"/>
  <c r="F278" i="4"/>
  <c r="I277" i="4"/>
  <c r="G277" i="4"/>
  <c r="J277" i="4" s="1"/>
  <c r="F277" i="4" s="1"/>
  <c r="I276" i="4"/>
  <c r="H276" i="4"/>
  <c r="G276" i="4"/>
  <c r="J276" i="4" s="1"/>
  <c r="K276" i="4" s="1"/>
  <c r="J275" i="4"/>
  <c r="I275" i="4"/>
  <c r="H275" i="4"/>
  <c r="G275" i="4"/>
  <c r="I274" i="4"/>
  <c r="G274" i="4"/>
  <c r="J273" i="4"/>
  <c r="K273" i="4" s="1"/>
  <c r="I273" i="4"/>
  <c r="H273" i="4"/>
  <c r="G273" i="4"/>
  <c r="J272" i="4"/>
  <c r="I272" i="4"/>
  <c r="G272" i="4"/>
  <c r="H272" i="4" s="1"/>
  <c r="I271" i="4"/>
  <c r="J271" i="4" s="1"/>
  <c r="K271" i="4" s="1"/>
  <c r="G271" i="4"/>
  <c r="H271" i="4" s="1"/>
  <c r="F271" i="4"/>
  <c r="J270" i="4"/>
  <c r="K270" i="4" s="1"/>
  <c r="I270" i="4"/>
  <c r="H270" i="4"/>
  <c r="G270" i="4"/>
  <c r="K269" i="4"/>
  <c r="I269" i="4"/>
  <c r="G269" i="4"/>
  <c r="J269" i="4" s="1"/>
  <c r="F269" i="4" s="1"/>
  <c r="I268" i="4"/>
  <c r="H268" i="4"/>
  <c r="G268" i="4"/>
  <c r="J268" i="4" s="1"/>
  <c r="K268" i="4" s="1"/>
  <c r="F268" i="4"/>
  <c r="I267" i="4"/>
  <c r="H267" i="4"/>
  <c r="G267" i="4"/>
  <c r="J267" i="4" s="1"/>
  <c r="I266" i="4"/>
  <c r="G266" i="4"/>
  <c r="J265" i="4"/>
  <c r="K265" i="4" s="1"/>
  <c r="I265" i="4"/>
  <c r="H265" i="4"/>
  <c r="G265" i="4"/>
  <c r="I264" i="4"/>
  <c r="J264" i="4" s="1"/>
  <c r="G264" i="4"/>
  <c r="H264" i="4" s="1"/>
  <c r="I263" i="4"/>
  <c r="J263" i="4" s="1"/>
  <c r="K263" i="4" s="1"/>
  <c r="G263" i="4"/>
  <c r="H263" i="4" s="1"/>
  <c r="F263" i="4"/>
  <c r="J262" i="4"/>
  <c r="K262" i="4" s="1"/>
  <c r="I262" i="4"/>
  <c r="H262" i="4"/>
  <c r="G262" i="4"/>
  <c r="F262" i="4"/>
  <c r="I261" i="4"/>
  <c r="G261" i="4"/>
  <c r="J261" i="4" s="1"/>
  <c r="F261" i="4" s="1"/>
  <c r="K260" i="4"/>
  <c r="I260" i="4"/>
  <c r="H260" i="4"/>
  <c r="G260" i="4"/>
  <c r="J260" i="4" s="1"/>
  <c r="F260" i="4" s="1"/>
  <c r="J259" i="4"/>
  <c r="I259" i="4"/>
  <c r="H259" i="4"/>
  <c r="G259" i="4"/>
  <c r="I258" i="4"/>
  <c r="G258" i="4"/>
  <c r="J257" i="4"/>
  <c r="K257" i="4" s="1"/>
  <c r="I257" i="4"/>
  <c r="H257" i="4"/>
  <c r="G257" i="4"/>
  <c r="F257" i="4"/>
  <c r="J256" i="4"/>
  <c r="I256" i="4"/>
  <c r="G256" i="4"/>
  <c r="H256" i="4" s="1"/>
  <c r="I255" i="4"/>
  <c r="J255" i="4" s="1"/>
  <c r="K255" i="4" s="1"/>
  <c r="G255" i="4"/>
  <c r="H255" i="4" s="1"/>
  <c r="F255" i="4"/>
  <c r="J254" i="4"/>
  <c r="K254" i="4" s="1"/>
  <c r="I254" i="4"/>
  <c r="H254" i="4"/>
  <c r="G254" i="4"/>
  <c r="F254" i="4"/>
  <c r="I253" i="4"/>
  <c r="G253" i="4"/>
  <c r="J253" i="4" s="1"/>
  <c r="F253" i="4" s="1"/>
  <c r="K252" i="4"/>
  <c r="I252" i="4"/>
  <c r="H252" i="4"/>
  <c r="G252" i="4"/>
  <c r="J252" i="4" s="1"/>
  <c r="F252" i="4"/>
  <c r="I251" i="4"/>
  <c r="G251" i="4"/>
  <c r="J251" i="4" s="1"/>
  <c r="I250" i="4"/>
  <c r="G250" i="4"/>
  <c r="J249" i="4"/>
  <c r="K249" i="4" s="1"/>
  <c r="I249" i="4"/>
  <c r="H249" i="4"/>
  <c r="G249" i="4"/>
  <c r="F249" i="4"/>
  <c r="I248" i="4"/>
  <c r="J248" i="4" s="1"/>
  <c r="G248" i="4"/>
  <c r="H248" i="4" s="1"/>
  <c r="I247" i="4"/>
  <c r="J247" i="4" s="1"/>
  <c r="K247" i="4" s="1"/>
  <c r="G247" i="4"/>
  <c r="H247" i="4" s="1"/>
  <c r="F247" i="4"/>
  <c r="J246" i="4"/>
  <c r="K246" i="4" s="1"/>
  <c r="I246" i="4"/>
  <c r="H246" i="4"/>
  <c r="G246" i="4"/>
  <c r="I245" i="4"/>
  <c r="G245" i="4"/>
  <c r="J245" i="4" s="1"/>
  <c r="F245" i="4" s="1"/>
  <c r="I244" i="4"/>
  <c r="H244" i="4"/>
  <c r="G244" i="4"/>
  <c r="J244" i="4" s="1"/>
  <c r="K244" i="4" s="1"/>
  <c r="I243" i="4"/>
  <c r="H243" i="4"/>
  <c r="G243" i="4"/>
  <c r="J243" i="4" s="1"/>
  <c r="I242" i="4"/>
  <c r="G242" i="4"/>
  <c r="J241" i="4"/>
  <c r="K241" i="4" s="1"/>
  <c r="I241" i="4"/>
  <c r="H241" i="4"/>
  <c r="G241" i="4"/>
  <c r="F241" i="4"/>
  <c r="I240" i="4"/>
  <c r="J240" i="4" s="1"/>
  <c r="G240" i="4"/>
  <c r="H240" i="4" s="1"/>
  <c r="I239" i="4"/>
  <c r="J239" i="4" s="1"/>
  <c r="K239" i="4" s="1"/>
  <c r="G239" i="4"/>
  <c r="H239" i="4" s="1"/>
  <c r="J238" i="4"/>
  <c r="K238" i="4" s="1"/>
  <c r="I238" i="4"/>
  <c r="H238" i="4"/>
  <c r="G238" i="4"/>
  <c r="F238" i="4"/>
  <c r="I237" i="4"/>
  <c r="G237" i="4"/>
  <c r="J237" i="4" s="1"/>
  <c r="F237" i="4" s="1"/>
  <c r="I236" i="4"/>
  <c r="H236" i="4"/>
  <c r="G236" i="4"/>
  <c r="J236" i="4" s="1"/>
  <c r="K236" i="4" s="1"/>
  <c r="J235" i="4"/>
  <c r="I235" i="4"/>
  <c r="G235" i="4"/>
  <c r="H235" i="4" s="1"/>
  <c r="I234" i="4"/>
  <c r="G234" i="4"/>
  <c r="J233" i="4"/>
  <c r="K233" i="4" s="1"/>
  <c r="I233" i="4"/>
  <c r="H233" i="4"/>
  <c r="G233" i="4"/>
  <c r="F233" i="4"/>
  <c r="I232" i="4"/>
  <c r="J232" i="4" s="1"/>
  <c r="G232" i="4"/>
  <c r="H232" i="4" s="1"/>
  <c r="I231" i="4"/>
  <c r="J231" i="4" s="1"/>
  <c r="K231" i="4" s="1"/>
  <c r="G231" i="4"/>
  <c r="H231" i="4" s="1"/>
  <c r="F231" i="4"/>
  <c r="J230" i="4"/>
  <c r="K230" i="4" s="1"/>
  <c r="I230" i="4"/>
  <c r="H230" i="4"/>
  <c r="G230" i="4"/>
  <c r="I229" i="4"/>
  <c r="G229" i="4"/>
  <c r="J229" i="4" s="1"/>
  <c r="F229" i="4" s="1"/>
  <c r="I228" i="4"/>
  <c r="H228" i="4"/>
  <c r="G228" i="4"/>
  <c r="J228" i="4" s="1"/>
  <c r="K228" i="4" s="1"/>
  <c r="I227" i="4"/>
  <c r="H227" i="4"/>
  <c r="G227" i="4"/>
  <c r="J227" i="4" s="1"/>
  <c r="I226" i="4"/>
  <c r="G226" i="4"/>
  <c r="J225" i="4"/>
  <c r="K225" i="4" s="1"/>
  <c r="I225" i="4"/>
  <c r="H225" i="4"/>
  <c r="G225" i="4"/>
  <c r="F225" i="4"/>
  <c r="I224" i="4"/>
  <c r="J224" i="4" s="1"/>
  <c r="G224" i="4"/>
  <c r="H224" i="4" s="1"/>
  <c r="I223" i="4"/>
  <c r="J223" i="4" s="1"/>
  <c r="K223" i="4" s="1"/>
  <c r="G223" i="4"/>
  <c r="H223" i="4" s="1"/>
  <c r="F223" i="4"/>
  <c r="J222" i="4"/>
  <c r="K222" i="4" s="1"/>
  <c r="I222" i="4"/>
  <c r="H222" i="4"/>
  <c r="G222" i="4"/>
  <c r="I221" i="4"/>
  <c r="G221" i="4"/>
  <c r="J221" i="4" s="1"/>
  <c r="F221" i="4" s="1"/>
  <c r="I220" i="4"/>
  <c r="H220" i="4"/>
  <c r="G220" i="4"/>
  <c r="J220" i="4" s="1"/>
  <c r="K220" i="4" s="1"/>
  <c r="J219" i="4"/>
  <c r="I219" i="4"/>
  <c r="H219" i="4"/>
  <c r="G219" i="4"/>
  <c r="I218" i="4"/>
  <c r="G218" i="4"/>
  <c r="J217" i="4"/>
  <c r="K217" i="4" s="1"/>
  <c r="I217" i="4"/>
  <c r="H217" i="4"/>
  <c r="G217" i="4"/>
  <c r="F217" i="4"/>
  <c r="I216" i="4"/>
  <c r="J216" i="4" s="1"/>
  <c r="G216" i="4"/>
  <c r="H216" i="4" s="1"/>
  <c r="I215" i="4"/>
  <c r="J215" i="4" s="1"/>
  <c r="K215" i="4" s="1"/>
  <c r="G215" i="4"/>
  <c r="H215" i="4" s="1"/>
  <c r="F215" i="4"/>
  <c r="J214" i="4"/>
  <c r="K214" i="4" s="1"/>
  <c r="I214" i="4"/>
  <c r="H214" i="4"/>
  <c r="G214" i="4"/>
  <c r="F214" i="4"/>
  <c r="I213" i="4"/>
  <c r="G213" i="4"/>
  <c r="J213" i="4" s="1"/>
  <c r="F213" i="4" s="1"/>
  <c r="I212" i="4"/>
  <c r="H212" i="4"/>
  <c r="G212" i="4"/>
  <c r="J212" i="4" s="1"/>
  <c r="K212" i="4" s="1"/>
  <c r="J211" i="4"/>
  <c r="I211" i="4"/>
  <c r="H211" i="4"/>
  <c r="G211" i="4"/>
  <c r="I210" i="4"/>
  <c r="G210" i="4"/>
  <c r="J209" i="4"/>
  <c r="K209" i="4" s="1"/>
  <c r="I209" i="4"/>
  <c r="H209" i="4"/>
  <c r="G209" i="4"/>
  <c r="I208" i="4"/>
  <c r="J208" i="4" s="1"/>
  <c r="G208" i="4"/>
  <c r="H208" i="4" s="1"/>
  <c r="I207" i="4"/>
  <c r="J207" i="4" s="1"/>
  <c r="K207" i="4" s="1"/>
  <c r="G207" i="4"/>
  <c r="H207" i="4" s="1"/>
  <c r="F207" i="4"/>
  <c r="J206" i="4"/>
  <c r="K206" i="4" s="1"/>
  <c r="I206" i="4"/>
  <c r="H206" i="4"/>
  <c r="G206" i="4"/>
  <c r="K205" i="4"/>
  <c r="I205" i="4"/>
  <c r="G205" i="4"/>
  <c r="J205" i="4" s="1"/>
  <c r="F205" i="4" s="1"/>
  <c r="I204" i="4"/>
  <c r="H204" i="4"/>
  <c r="G204" i="4"/>
  <c r="J204" i="4" s="1"/>
  <c r="K204" i="4" s="1"/>
  <c r="I203" i="4"/>
  <c r="H203" i="4"/>
  <c r="G203" i="4"/>
  <c r="J203" i="4" s="1"/>
  <c r="I202" i="4"/>
  <c r="G202" i="4"/>
  <c r="J201" i="4"/>
  <c r="K201" i="4" s="1"/>
  <c r="I201" i="4"/>
  <c r="H201" i="4"/>
  <c r="G201" i="4"/>
  <c r="I200" i="4"/>
  <c r="J200" i="4" s="1"/>
  <c r="G200" i="4"/>
  <c r="H200" i="4" s="1"/>
  <c r="I199" i="4"/>
  <c r="J199" i="4" s="1"/>
  <c r="K199" i="4" s="1"/>
  <c r="G199" i="4"/>
  <c r="H199" i="4" s="1"/>
  <c r="F199" i="4"/>
  <c r="J198" i="4"/>
  <c r="K198" i="4" s="1"/>
  <c r="I198" i="4"/>
  <c r="H198" i="4"/>
  <c r="G198" i="4"/>
  <c r="F198" i="4"/>
  <c r="I197" i="4"/>
  <c r="G197" i="4"/>
  <c r="J197" i="4" s="1"/>
  <c r="F197" i="4" s="1"/>
  <c r="K196" i="4"/>
  <c r="I196" i="4"/>
  <c r="H196" i="4"/>
  <c r="G196" i="4"/>
  <c r="J196" i="4" s="1"/>
  <c r="F196" i="4" s="1"/>
  <c r="J195" i="4"/>
  <c r="I195" i="4"/>
  <c r="H195" i="4"/>
  <c r="G195" i="4"/>
  <c r="I194" i="4"/>
  <c r="G194" i="4"/>
  <c r="J194" i="4" s="1"/>
  <c r="J193" i="4"/>
  <c r="K193" i="4" s="1"/>
  <c r="I193" i="4"/>
  <c r="H193" i="4"/>
  <c r="G193" i="4"/>
  <c r="F193" i="4"/>
  <c r="I192" i="4"/>
  <c r="J192" i="4" s="1"/>
  <c r="G192" i="4"/>
  <c r="H192" i="4" s="1"/>
  <c r="I191" i="4"/>
  <c r="J191" i="4" s="1"/>
  <c r="G191" i="4"/>
  <c r="H191" i="4" s="1"/>
  <c r="J190" i="4"/>
  <c r="K190" i="4" s="1"/>
  <c r="I190" i="4"/>
  <c r="H190" i="4"/>
  <c r="G190" i="4"/>
  <c r="F190" i="4"/>
  <c r="I189" i="4"/>
  <c r="G189" i="4"/>
  <c r="J189" i="4" s="1"/>
  <c r="K189" i="4" s="1"/>
  <c r="I188" i="4"/>
  <c r="H188" i="4"/>
  <c r="G188" i="4"/>
  <c r="J188" i="4" s="1"/>
  <c r="K188" i="4" s="1"/>
  <c r="F188" i="4"/>
  <c r="I187" i="4"/>
  <c r="G187" i="4"/>
  <c r="J187" i="4" s="1"/>
  <c r="I186" i="4"/>
  <c r="H186" i="4"/>
  <c r="G186" i="4"/>
  <c r="J186" i="4" s="1"/>
  <c r="J185" i="4"/>
  <c r="K185" i="4" s="1"/>
  <c r="I185" i="4"/>
  <c r="H185" i="4"/>
  <c r="G185" i="4"/>
  <c r="I184" i="4"/>
  <c r="J184" i="4" s="1"/>
  <c r="G184" i="4"/>
  <c r="H184" i="4" s="1"/>
  <c r="J183" i="4"/>
  <c r="K183" i="4" s="1"/>
  <c r="I183" i="4"/>
  <c r="G183" i="4"/>
  <c r="H183" i="4" s="1"/>
  <c r="J182" i="4"/>
  <c r="K182" i="4" s="1"/>
  <c r="I182" i="4"/>
  <c r="H182" i="4"/>
  <c r="G182" i="4"/>
  <c r="F182" i="4"/>
  <c r="I181" i="4"/>
  <c r="G181" i="4"/>
  <c r="J181" i="4" s="1"/>
  <c r="F181" i="4" s="1"/>
  <c r="I180" i="4"/>
  <c r="H180" i="4"/>
  <c r="G180" i="4"/>
  <c r="J180" i="4" s="1"/>
  <c r="K180" i="4" s="1"/>
  <c r="I179" i="4"/>
  <c r="H179" i="4"/>
  <c r="G179" i="4"/>
  <c r="J179" i="4" s="1"/>
  <c r="I178" i="4"/>
  <c r="G178" i="4"/>
  <c r="J178" i="4" s="1"/>
  <c r="J177" i="4"/>
  <c r="K177" i="4" s="1"/>
  <c r="I177" i="4"/>
  <c r="H177" i="4"/>
  <c r="G177" i="4"/>
  <c r="J176" i="4"/>
  <c r="I176" i="4"/>
  <c r="G176" i="4"/>
  <c r="H176" i="4" s="1"/>
  <c r="I175" i="4"/>
  <c r="J175" i="4" s="1"/>
  <c r="G175" i="4"/>
  <c r="H175" i="4" s="1"/>
  <c r="J174" i="4"/>
  <c r="K174" i="4" s="1"/>
  <c r="I174" i="4"/>
  <c r="H174" i="4"/>
  <c r="G174" i="4"/>
  <c r="K173" i="4"/>
  <c r="I173" i="4"/>
  <c r="G173" i="4"/>
  <c r="J173" i="4" s="1"/>
  <c r="F173" i="4"/>
  <c r="K172" i="4"/>
  <c r="I172" i="4"/>
  <c r="H172" i="4"/>
  <c r="G172" i="4"/>
  <c r="J172" i="4" s="1"/>
  <c r="F172" i="4"/>
  <c r="I171" i="4"/>
  <c r="G171" i="4"/>
  <c r="J171" i="4" s="1"/>
  <c r="I170" i="4"/>
  <c r="H170" i="4"/>
  <c r="G170" i="4"/>
  <c r="J170" i="4" s="1"/>
  <c r="J169" i="4"/>
  <c r="K169" i="4" s="1"/>
  <c r="I169" i="4"/>
  <c r="H169" i="4"/>
  <c r="G169" i="4"/>
  <c r="I168" i="4"/>
  <c r="J168" i="4" s="1"/>
  <c r="G168" i="4"/>
  <c r="H168" i="4" s="1"/>
  <c r="J167" i="4"/>
  <c r="K167" i="4" s="1"/>
  <c r="I167" i="4"/>
  <c r="G167" i="4"/>
  <c r="H167" i="4" s="1"/>
  <c r="F167" i="4"/>
  <c r="J166" i="4"/>
  <c r="K166" i="4" s="1"/>
  <c r="I166" i="4"/>
  <c r="H166" i="4"/>
  <c r="G166" i="4"/>
  <c r="F166" i="4"/>
  <c r="K165" i="4"/>
  <c r="I165" i="4"/>
  <c r="G165" i="4"/>
  <c r="J165" i="4" s="1"/>
  <c r="F165" i="4"/>
  <c r="I164" i="4"/>
  <c r="H164" i="4"/>
  <c r="G164" i="4"/>
  <c r="J164" i="4" s="1"/>
  <c r="K164" i="4" s="1"/>
  <c r="J163" i="4"/>
  <c r="I163" i="4"/>
  <c r="H163" i="4"/>
  <c r="G163" i="4"/>
  <c r="I162" i="4"/>
  <c r="G162" i="4"/>
  <c r="J162" i="4" s="1"/>
  <c r="J161" i="4"/>
  <c r="K161" i="4" s="1"/>
  <c r="I161" i="4"/>
  <c r="H161" i="4"/>
  <c r="G161" i="4"/>
  <c r="J160" i="4"/>
  <c r="I160" i="4"/>
  <c r="G160" i="4"/>
  <c r="H160" i="4" s="1"/>
  <c r="I159" i="4"/>
  <c r="J159" i="4" s="1"/>
  <c r="G159" i="4"/>
  <c r="H159" i="4" s="1"/>
  <c r="J158" i="4"/>
  <c r="K158" i="4" s="1"/>
  <c r="I158" i="4"/>
  <c r="H158" i="4"/>
  <c r="G158" i="4"/>
  <c r="F158" i="4"/>
  <c r="I157" i="4"/>
  <c r="G157" i="4"/>
  <c r="J157" i="4" s="1"/>
  <c r="K157" i="4" s="1"/>
  <c r="K156" i="4"/>
  <c r="I156" i="4"/>
  <c r="H156" i="4"/>
  <c r="G156" i="4"/>
  <c r="J156" i="4" s="1"/>
  <c r="F156" i="4"/>
  <c r="I155" i="4"/>
  <c r="G155" i="4"/>
  <c r="J155" i="4" s="1"/>
  <c r="I154" i="4"/>
  <c r="H154" i="4"/>
  <c r="G154" i="4"/>
  <c r="J154" i="4" s="1"/>
  <c r="J153" i="4"/>
  <c r="K153" i="4" s="1"/>
  <c r="I153" i="4"/>
  <c r="H153" i="4"/>
  <c r="G153" i="4"/>
  <c r="F153" i="4"/>
  <c r="I152" i="4"/>
  <c r="J152" i="4" s="1"/>
  <c r="G152" i="4"/>
  <c r="H152" i="4" s="1"/>
  <c r="J151" i="4"/>
  <c r="K151" i="4" s="1"/>
  <c r="I151" i="4"/>
  <c r="G151" i="4"/>
  <c r="H151" i="4" s="1"/>
  <c r="J150" i="4"/>
  <c r="K150" i="4" s="1"/>
  <c r="I150" i="4"/>
  <c r="H150" i="4"/>
  <c r="G150" i="4"/>
  <c r="K149" i="4"/>
  <c r="I149" i="4"/>
  <c r="G149" i="4"/>
  <c r="J149" i="4" s="1"/>
  <c r="F149" i="4"/>
  <c r="I148" i="4"/>
  <c r="H148" i="4"/>
  <c r="G148" i="4"/>
  <c r="J148" i="4" s="1"/>
  <c r="K148" i="4" s="1"/>
  <c r="J147" i="4"/>
  <c r="I147" i="4"/>
  <c r="H147" i="4"/>
  <c r="G147" i="4"/>
  <c r="K146" i="4"/>
  <c r="I146" i="4"/>
  <c r="G146" i="4"/>
  <c r="J146" i="4" s="1"/>
  <c r="F146" i="4" s="1"/>
  <c r="J145" i="4"/>
  <c r="K145" i="4" s="1"/>
  <c r="I145" i="4"/>
  <c r="H145" i="4"/>
  <c r="G145" i="4"/>
  <c r="F145" i="4"/>
  <c r="I144" i="4"/>
  <c r="G144" i="4"/>
  <c r="H144" i="4" s="1"/>
  <c r="J143" i="4"/>
  <c r="K143" i="4" s="1"/>
  <c r="I143" i="4"/>
  <c r="G143" i="4"/>
  <c r="H143" i="4" s="1"/>
  <c r="J142" i="4"/>
  <c r="K142" i="4" s="1"/>
  <c r="I142" i="4"/>
  <c r="H142" i="4"/>
  <c r="G142" i="4"/>
  <c r="I141" i="4"/>
  <c r="G141" i="4"/>
  <c r="I140" i="4"/>
  <c r="H140" i="4"/>
  <c r="G140" i="4"/>
  <c r="J140" i="4" s="1"/>
  <c r="K140" i="4" s="1"/>
  <c r="I139" i="4"/>
  <c r="H139" i="4"/>
  <c r="G139" i="4"/>
  <c r="J139" i="4" s="1"/>
  <c r="I138" i="4"/>
  <c r="H138" i="4"/>
  <c r="G138" i="4"/>
  <c r="J138" i="4" s="1"/>
  <c r="F138" i="4" s="1"/>
  <c r="J137" i="4"/>
  <c r="K137" i="4" s="1"/>
  <c r="I137" i="4"/>
  <c r="H137" i="4"/>
  <c r="G137" i="4"/>
  <c r="F137" i="4"/>
  <c r="I136" i="4"/>
  <c r="J136" i="4" s="1"/>
  <c r="G136" i="4"/>
  <c r="H136" i="4" s="1"/>
  <c r="J135" i="4"/>
  <c r="K135" i="4" s="1"/>
  <c r="I135" i="4"/>
  <c r="G135" i="4"/>
  <c r="H135" i="4" s="1"/>
  <c r="F135" i="4"/>
  <c r="J134" i="4"/>
  <c r="K134" i="4" s="1"/>
  <c r="I134" i="4"/>
  <c r="H134" i="4"/>
  <c r="G134" i="4"/>
  <c r="F134" i="4"/>
  <c r="I133" i="4"/>
  <c r="G133" i="4"/>
  <c r="I132" i="4"/>
  <c r="H132" i="4"/>
  <c r="G132" i="4"/>
  <c r="J132" i="4" s="1"/>
  <c r="K132" i="4" s="1"/>
  <c r="J131" i="4"/>
  <c r="I131" i="4"/>
  <c r="G131" i="4"/>
  <c r="H131" i="4" s="1"/>
  <c r="K130" i="4"/>
  <c r="I130" i="4"/>
  <c r="H130" i="4"/>
  <c r="G130" i="4"/>
  <c r="J130" i="4" s="1"/>
  <c r="F130" i="4" s="1"/>
  <c r="J129" i="4"/>
  <c r="K129" i="4" s="1"/>
  <c r="I129" i="4"/>
  <c r="H129" i="4"/>
  <c r="G129" i="4"/>
  <c r="F129" i="4"/>
  <c r="I128" i="4"/>
  <c r="J128" i="4" s="1"/>
  <c r="G128" i="4"/>
  <c r="H128" i="4" s="1"/>
  <c r="J127" i="4"/>
  <c r="K127" i="4" s="1"/>
  <c r="I127" i="4"/>
  <c r="G127" i="4"/>
  <c r="H127" i="4" s="1"/>
  <c r="J126" i="4"/>
  <c r="K126" i="4" s="1"/>
  <c r="I126" i="4"/>
  <c r="H126" i="4"/>
  <c r="G126" i="4"/>
  <c r="F126" i="4"/>
  <c r="I125" i="4"/>
  <c r="G125" i="4"/>
  <c r="I124" i="4"/>
  <c r="H124" i="4"/>
  <c r="G124" i="4"/>
  <c r="J124" i="4" s="1"/>
  <c r="K124" i="4" s="1"/>
  <c r="I123" i="4"/>
  <c r="G123" i="4"/>
  <c r="J123" i="4" s="1"/>
  <c r="I122" i="4"/>
  <c r="G122" i="4"/>
  <c r="J122" i="4" s="1"/>
  <c r="F122" i="4" s="1"/>
  <c r="I121" i="4"/>
  <c r="G121" i="4"/>
  <c r="J121" i="4" s="1"/>
  <c r="K120" i="4"/>
  <c r="J120" i="4"/>
  <c r="F120" i="4" s="1"/>
  <c r="I120" i="4"/>
  <c r="G120" i="4"/>
  <c r="H120" i="4" s="1"/>
  <c r="I119" i="4"/>
  <c r="J119" i="4" s="1"/>
  <c r="G119" i="4"/>
  <c r="H119" i="4" s="1"/>
  <c r="I118" i="4"/>
  <c r="G118" i="4"/>
  <c r="J118" i="4" s="1"/>
  <c r="I117" i="4"/>
  <c r="G117" i="4"/>
  <c r="I116" i="4"/>
  <c r="H116" i="4"/>
  <c r="G116" i="4"/>
  <c r="J116" i="4" s="1"/>
  <c r="K116" i="4" s="1"/>
  <c r="F116" i="4"/>
  <c r="I115" i="4"/>
  <c r="H115" i="4"/>
  <c r="G115" i="4"/>
  <c r="J115" i="4" s="1"/>
  <c r="I114" i="4"/>
  <c r="H114" i="4"/>
  <c r="G114" i="4"/>
  <c r="J113" i="4"/>
  <c r="K113" i="4" s="1"/>
  <c r="I113" i="4"/>
  <c r="G113" i="4"/>
  <c r="H113" i="4" s="1"/>
  <c r="J112" i="4"/>
  <c r="F112" i="4" s="1"/>
  <c r="I112" i="4"/>
  <c r="G112" i="4"/>
  <c r="H112" i="4" s="1"/>
  <c r="J111" i="4"/>
  <c r="K111" i="4" s="1"/>
  <c r="I111" i="4"/>
  <c r="G111" i="4"/>
  <c r="H111" i="4" s="1"/>
  <c r="I110" i="4"/>
  <c r="H110" i="4"/>
  <c r="G110" i="4"/>
  <c r="J110" i="4" s="1"/>
  <c r="I109" i="4"/>
  <c r="G109" i="4"/>
  <c r="I108" i="4"/>
  <c r="H108" i="4"/>
  <c r="G108" i="4"/>
  <c r="J108" i="4" s="1"/>
  <c r="K108" i="4" s="1"/>
  <c r="I107" i="4"/>
  <c r="G107" i="4"/>
  <c r="J107" i="4" s="1"/>
  <c r="K106" i="4"/>
  <c r="I106" i="4"/>
  <c r="G106" i="4"/>
  <c r="J106" i="4" s="1"/>
  <c r="F106" i="4" s="1"/>
  <c r="I105" i="4"/>
  <c r="G105" i="4"/>
  <c r="J105" i="4" s="1"/>
  <c r="I104" i="4"/>
  <c r="J104" i="4" s="1"/>
  <c r="G104" i="4"/>
  <c r="H104" i="4" s="1"/>
  <c r="I103" i="4"/>
  <c r="J103" i="4" s="1"/>
  <c r="G103" i="4"/>
  <c r="H103" i="4" s="1"/>
  <c r="I102" i="4"/>
  <c r="G102" i="4"/>
  <c r="J102" i="4" s="1"/>
  <c r="I101" i="4"/>
  <c r="G101" i="4"/>
  <c r="K100" i="4"/>
  <c r="I100" i="4"/>
  <c r="H100" i="4"/>
  <c r="G100" i="4"/>
  <c r="J100" i="4" s="1"/>
  <c r="F100" i="4"/>
  <c r="I99" i="4"/>
  <c r="H99" i="4"/>
  <c r="G99" i="4"/>
  <c r="J99" i="4" s="1"/>
  <c r="I98" i="4"/>
  <c r="H98" i="4"/>
  <c r="G98" i="4"/>
  <c r="J97" i="4"/>
  <c r="K97" i="4" s="1"/>
  <c r="I97" i="4"/>
  <c r="H97" i="4"/>
  <c r="G97" i="4"/>
  <c r="F97" i="4"/>
  <c r="J96" i="4"/>
  <c r="F96" i="4" s="1"/>
  <c r="I96" i="4"/>
  <c r="G96" i="4"/>
  <c r="H96" i="4" s="1"/>
  <c r="J95" i="4"/>
  <c r="K95" i="4" s="1"/>
  <c r="I95" i="4"/>
  <c r="G95" i="4"/>
  <c r="H95" i="4" s="1"/>
  <c r="I94" i="4"/>
  <c r="H94" i="4"/>
  <c r="G94" i="4"/>
  <c r="J94" i="4" s="1"/>
  <c r="I93" i="4"/>
  <c r="G93" i="4"/>
  <c r="K92" i="4"/>
  <c r="I92" i="4"/>
  <c r="H92" i="4"/>
  <c r="G92" i="4"/>
  <c r="J92" i="4" s="1"/>
  <c r="F92" i="4" s="1"/>
  <c r="I91" i="4"/>
  <c r="G91" i="4"/>
  <c r="J91" i="4" s="1"/>
  <c r="I90" i="4"/>
  <c r="G90" i="4"/>
  <c r="J90" i="4" s="1"/>
  <c r="F90" i="4" s="1"/>
  <c r="J89" i="4"/>
  <c r="K89" i="4" s="1"/>
  <c r="I89" i="4"/>
  <c r="H89" i="4"/>
  <c r="G89" i="4"/>
  <c r="F89" i="4"/>
  <c r="I88" i="4"/>
  <c r="G88" i="4"/>
  <c r="H88" i="4" s="1"/>
  <c r="I87" i="4"/>
  <c r="J87" i="4" s="1"/>
  <c r="G87" i="4"/>
  <c r="H87" i="4" s="1"/>
  <c r="I86" i="4"/>
  <c r="H86" i="4"/>
  <c r="G86" i="4"/>
  <c r="J86" i="4" s="1"/>
  <c r="I85" i="4"/>
  <c r="G85" i="4"/>
  <c r="I84" i="4"/>
  <c r="G84" i="4"/>
  <c r="J84" i="4" s="1"/>
  <c r="K84" i="4" s="1"/>
  <c r="I83" i="4"/>
  <c r="G83" i="4"/>
  <c r="J83" i="4" s="1"/>
  <c r="K82" i="4"/>
  <c r="I82" i="4"/>
  <c r="G82" i="4"/>
  <c r="J82" i="4" s="1"/>
  <c r="F82" i="4" s="1"/>
  <c r="I81" i="4"/>
  <c r="G81" i="4"/>
  <c r="J81" i="4" s="1"/>
  <c r="I80" i="4"/>
  <c r="J80" i="4" s="1"/>
  <c r="G80" i="4"/>
  <c r="H80" i="4" s="1"/>
  <c r="I79" i="4"/>
  <c r="G79" i="4"/>
  <c r="H79" i="4" s="1"/>
  <c r="J78" i="4"/>
  <c r="K78" i="4" s="1"/>
  <c r="I78" i="4"/>
  <c r="H78" i="4"/>
  <c r="G78" i="4"/>
  <c r="I77" i="4"/>
  <c r="G77" i="4"/>
  <c r="I76" i="4"/>
  <c r="G76" i="4"/>
  <c r="J76" i="4" s="1"/>
  <c r="K76" i="4" s="1"/>
  <c r="I75" i="4"/>
  <c r="G75" i="4"/>
  <c r="J75" i="4" s="1"/>
  <c r="I74" i="4"/>
  <c r="G74" i="4"/>
  <c r="J74" i="4" s="1"/>
  <c r="F74" i="4" s="1"/>
  <c r="J73" i="4"/>
  <c r="K73" i="4" s="1"/>
  <c r="I73" i="4"/>
  <c r="H73" i="4"/>
  <c r="G73" i="4"/>
  <c r="F73" i="4"/>
  <c r="I72" i="4"/>
  <c r="G72" i="4"/>
  <c r="H72" i="4" s="1"/>
  <c r="J71" i="4"/>
  <c r="K71" i="4" s="1"/>
  <c r="I71" i="4"/>
  <c r="G71" i="4"/>
  <c r="H71" i="4" s="1"/>
  <c r="I70" i="4"/>
  <c r="G70" i="4"/>
  <c r="J70" i="4" s="1"/>
  <c r="I69" i="4"/>
  <c r="G69" i="4"/>
  <c r="K68" i="4"/>
  <c r="I68" i="4"/>
  <c r="H68" i="4"/>
  <c r="G68" i="4"/>
  <c r="J68" i="4" s="1"/>
  <c r="F68" i="4"/>
  <c r="J67" i="4"/>
  <c r="F67" i="4" s="1"/>
  <c r="I67" i="4"/>
  <c r="H67" i="4"/>
  <c r="G67" i="4"/>
  <c r="I66" i="4"/>
  <c r="H66" i="4"/>
  <c r="G66" i="4"/>
  <c r="J66" i="4" s="1"/>
  <c r="F66" i="4" s="1"/>
  <c r="I65" i="4"/>
  <c r="G65" i="4"/>
  <c r="J65" i="4" s="1"/>
  <c r="I64" i="4"/>
  <c r="G64" i="4"/>
  <c r="H64" i="4" s="1"/>
  <c r="I63" i="4"/>
  <c r="J63" i="4" s="1"/>
  <c r="G63" i="4"/>
  <c r="H63" i="4" s="1"/>
  <c r="I62" i="4"/>
  <c r="H62" i="4"/>
  <c r="G62" i="4"/>
  <c r="J62" i="4" s="1"/>
  <c r="I61" i="4"/>
  <c r="G61" i="4"/>
  <c r="I60" i="4"/>
  <c r="G60" i="4"/>
  <c r="J60" i="4" s="1"/>
  <c r="K60" i="4" s="1"/>
  <c r="K59" i="4"/>
  <c r="J59" i="4"/>
  <c r="F59" i="4" s="1"/>
  <c r="I59" i="4"/>
  <c r="G59" i="4"/>
  <c r="H59" i="4" s="1"/>
  <c r="I58" i="4"/>
  <c r="G58" i="4"/>
  <c r="J57" i="4"/>
  <c r="K57" i="4" s="1"/>
  <c r="I57" i="4"/>
  <c r="H57" i="4"/>
  <c r="G57" i="4"/>
  <c r="F57" i="4"/>
  <c r="J56" i="4"/>
  <c r="F56" i="4" s="1"/>
  <c r="I56" i="4"/>
  <c r="G56" i="4"/>
  <c r="H56" i="4" s="1"/>
  <c r="I55" i="4"/>
  <c r="G55" i="4"/>
  <c r="H55" i="4" s="1"/>
  <c r="I54" i="4"/>
  <c r="G54" i="4"/>
  <c r="J54" i="4" s="1"/>
  <c r="I53" i="4"/>
  <c r="G53" i="4"/>
  <c r="I52" i="4"/>
  <c r="H52" i="4"/>
  <c r="G52" i="4"/>
  <c r="I51" i="4"/>
  <c r="H51" i="4"/>
  <c r="G51" i="4"/>
  <c r="J51" i="4" s="1"/>
  <c r="I50" i="4"/>
  <c r="H50" i="4"/>
  <c r="G50" i="4"/>
  <c r="K49" i="4"/>
  <c r="J49" i="4"/>
  <c r="F49" i="4" s="1"/>
  <c r="I49" i="4"/>
  <c r="G49" i="4"/>
  <c r="H49" i="4" s="1"/>
  <c r="I48" i="4"/>
  <c r="J48" i="4" s="1"/>
  <c r="G48" i="4"/>
  <c r="H48" i="4" s="1"/>
  <c r="I47" i="4"/>
  <c r="J47" i="4" s="1"/>
  <c r="G47" i="4"/>
  <c r="H47" i="4" s="1"/>
  <c r="J46" i="4"/>
  <c r="F46" i="4" s="1"/>
  <c r="I46" i="4"/>
  <c r="G46" i="4"/>
  <c r="H46" i="4" s="1"/>
  <c r="I45" i="4"/>
  <c r="G45" i="4"/>
  <c r="I44" i="4"/>
  <c r="G44" i="4"/>
  <c r="J44" i="4" s="1"/>
  <c r="K44" i="4" s="1"/>
  <c r="I43" i="4"/>
  <c r="J43" i="4" s="1"/>
  <c r="H43" i="4"/>
  <c r="G43" i="4"/>
  <c r="I42" i="4"/>
  <c r="G42" i="4"/>
  <c r="J42" i="4" s="1"/>
  <c r="F42" i="4" s="1"/>
  <c r="I41" i="4"/>
  <c r="H41" i="4"/>
  <c r="G41" i="4"/>
  <c r="J41" i="4" s="1"/>
  <c r="I40" i="4"/>
  <c r="G40" i="4"/>
  <c r="H40" i="4" s="1"/>
  <c r="I39" i="4"/>
  <c r="G39" i="4"/>
  <c r="H39" i="4" s="1"/>
  <c r="I38" i="4"/>
  <c r="G38" i="4"/>
  <c r="J38" i="4" s="1"/>
  <c r="I37" i="4"/>
  <c r="G37" i="4"/>
  <c r="I36" i="4"/>
  <c r="G36" i="4"/>
  <c r="J35" i="4"/>
  <c r="F35" i="4" s="1"/>
  <c r="I35" i="4"/>
  <c r="H35" i="4"/>
  <c r="G35" i="4"/>
  <c r="I34" i="4"/>
  <c r="H34" i="4"/>
  <c r="G34" i="4"/>
  <c r="I33" i="4"/>
  <c r="J33" i="4" s="1"/>
  <c r="H33" i="4"/>
  <c r="G33" i="4"/>
  <c r="I32" i="4"/>
  <c r="G32" i="4"/>
  <c r="H32" i="4" s="1"/>
  <c r="I31" i="4"/>
  <c r="G31" i="4"/>
  <c r="H31" i="4" s="1"/>
  <c r="I30" i="4"/>
  <c r="J30" i="4" s="1"/>
  <c r="H30" i="4"/>
  <c r="G30" i="4"/>
  <c r="K29" i="4"/>
  <c r="I29" i="4"/>
  <c r="H29" i="4"/>
  <c r="G29" i="4"/>
  <c r="J29" i="4" s="1"/>
  <c r="F29" i="4"/>
  <c r="I28" i="4"/>
  <c r="G28" i="4"/>
  <c r="J28" i="4" s="1"/>
  <c r="K28" i="4" s="1"/>
  <c r="I27" i="4"/>
  <c r="J27" i="4" s="1"/>
  <c r="H27" i="4"/>
  <c r="G27" i="4"/>
  <c r="J26" i="4"/>
  <c r="F26" i="4" s="1"/>
  <c r="I26" i="4"/>
  <c r="H26" i="4"/>
  <c r="G26" i="4"/>
  <c r="I25" i="4"/>
  <c r="G25" i="4"/>
  <c r="J25" i="4" s="1"/>
  <c r="I24" i="4"/>
  <c r="J24" i="4" s="1"/>
  <c r="H24" i="4"/>
  <c r="G24" i="4"/>
  <c r="I23" i="4"/>
  <c r="G23" i="4"/>
  <c r="H23" i="4" s="1"/>
  <c r="J22" i="4"/>
  <c r="K22" i="4" s="1"/>
  <c r="I22" i="4"/>
  <c r="H22" i="4"/>
  <c r="G22" i="4"/>
  <c r="F22" i="4"/>
  <c r="J21" i="4"/>
  <c r="F21" i="4" s="1"/>
  <c r="I21" i="4"/>
  <c r="G21" i="4"/>
  <c r="H21" i="4" s="1"/>
  <c r="J20" i="4"/>
  <c r="K20" i="4" s="1"/>
  <c r="I20" i="4"/>
  <c r="H20" i="4"/>
  <c r="G20" i="4"/>
  <c r="F20" i="4"/>
  <c r="J19" i="4"/>
  <c r="K19" i="4" s="1"/>
  <c r="I19" i="4"/>
  <c r="H19" i="4"/>
  <c r="G19" i="4"/>
  <c r="F19" i="4"/>
  <c r="I18" i="4"/>
  <c r="H18" i="4"/>
  <c r="G18" i="4"/>
  <c r="J18" i="4" s="1"/>
  <c r="I17" i="4"/>
  <c r="H17" i="4"/>
  <c r="G17" i="4"/>
  <c r="J17" i="4" s="1"/>
  <c r="I16" i="4"/>
  <c r="H16" i="4"/>
  <c r="G16" i="4"/>
  <c r="J16" i="4" s="1"/>
  <c r="J15" i="4"/>
  <c r="K15" i="4" s="1"/>
  <c r="I15" i="4"/>
  <c r="H15" i="4"/>
  <c r="G15" i="4"/>
  <c r="J14" i="4"/>
  <c r="K14" i="4" s="1"/>
  <c r="I14" i="4"/>
  <c r="H14" i="4"/>
  <c r="G14" i="4"/>
  <c r="F14" i="4"/>
  <c r="J13" i="4"/>
  <c r="F13" i="4" s="1"/>
  <c r="I13" i="4"/>
  <c r="G13" i="4"/>
  <c r="H13" i="4" s="1"/>
  <c r="J12" i="4"/>
  <c r="K12" i="4" s="1"/>
  <c r="I12" i="4"/>
  <c r="H12" i="4"/>
  <c r="G12" i="4"/>
  <c r="F12" i="4"/>
  <c r="J11" i="4"/>
  <c r="K11" i="4" s="1"/>
  <c r="I11" i="4"/>
  <c r="H11" i="4"/>
  <c r="G11" i="4"/>
  <c r="F11" i="4"/>
  <c r="I10" i="4"/>
  <c r="H10" i="4"/>
  <c r="G10" i="4"/>
  <c r="J10" i="4" s="1"/>
  <c r="I9" i="4"/>
  <c r="H9" i="4"/>
  <c r="G9" i="4"/>
  <c r="J9" i="4" s="1"/>
  <c r="B9" i="4"/>
  <c r="I8" i="4"/>
  <c r="J8" i="4" s="1"/>
  <c r="H8" i="4"/>
  <c r="G8" i="4"/>
  <c r="B8" i="4"/>
  <c r="J7" i="4"/>
  <c r="K7" i="4" s="1"/>
  <c r="I7" i="4"/>
  <c r="H7" i="4"/>
  <c r="G7" i="4"/>
  <c r="F7" i="4"/>
  <c r="J6" i="4"/>
  <c r="K6" i="4" s="1"/>
  <c r="I6" i="4"/>
  <c r="H6" i="4"/>
  <c r="G6" i="4"/>
  <c r="F6" i="4"/>
  <c r="I5" i="4"/>
  <c r="H5" i="4"/>
  <c r="G5" i="4"/>
  <c r="J5" i="4" s="1"/>
  <c r="G88" i="3"/>
  <c r="F88" i="3"/>
  <c r="G87" i="3"/>
  <c r="G86" i="3"/>
  <c r="F86" i="3"/>
  <c r="G85" i="3"/>
  <c r="F85" i="3"/>
  <c r="G84" i="3"/>
  <c r="F84" i="3"/>
  <c r="G83" i="3"/>
  <c r="G82" i="3"/>
  <c r="F82" i="3"/>
  <c r="G81" i="3"/>
  <c r="G80" i="3"/>
  <c r="F80" i="3" s="1"/>
  <c r="G79" i="3"/>
  <c r="G78" i="3"/>
  <c r="F78" i="3"/>
  <c r="G77" i="3"/>
  <c r="G76" i="3"/>
  <c r="F76" i="3"/>
  <c r="G75" i="3"/>
  <c r="G74" i="3"/>
  <c r="F74" i="3"/>
  <c r="G73" i="3"/>
  <c r="G72" i="3"/>
  <c r="F72" i="3"/>
  <c r="G71" i="3"/>
  <c r="G70" i="3"/>
  <c r="F70" i="3"/>
  <c r="G69" i="3"/>
  <c r="F69" i="3"/>
  <c r="G68" i="3"/>
  <c r="F68" i="3"/>
  <c r="G67" i="3"/>
  <c r="G66" i="3"/>
  <c r="F66" i="3"/>
  <c r="G65" i="3"/>
  <c r="G64" i="3"/>
  <c r="F64" i="3" s="1"/>
  <c r="G63" i="3"/>
  <c r="G62" i="3"/>
  <c r="F62" i="3"/>
  <c r="G61" i="3"/>
  <c r="G60" i="3"/>
  <c r="F60" i="3"/>
  <c r="G59" i="3"/>
  <c r="G58" i="3"/>
  <c r="F58" i="3"/>
  <c r="G57" i="3"/>
  <c r="G56" i="3"/>
  <c r="F56" i="3"/>
  <c r="G55" i="3"/>
  <c r="G54" i="3"/>
  <c r="F54" i="3"/>
  <c r="G53" i="3"/>
  <c r="F53" i="3"/>
  <c r="G52" i="3"/>
  <c r="F52" i="3"/>
  <c r="G51" i="3"/>
  <c r="G50" i="3"/>
  <c r="F50" i="3"/>
  <c r="G49" i="3"/>
  <c r="G48" i="3"/>
  <c r="F48" i="3" s="1"/>
  <c r="G47" i="3"/>
  <c r="G46" i="3"/>
  <c r="F46" i="3"/>
  <c r="G45" i="3"/>
  <c r="G44" i="3"/>
  <c r="F44" i="3"/>
  <c r="G43" i="3"/>
  <c r="G42" i="3"/>
  <c r="F42" i="3"/>
  <c r="G41" i="3"/>
  <c r="G40" i="3"/>
  <c r="F40" i="3"/>
  <c r="G39" i="3"/>
  <c r="G38" i="3"/>
  <c r="F38" i="3"/>
  <c r="G37" i="3"/>
  <c r="F37" i="3"/>
  <c r="G36" i="3"/>
  <c r="F36" i="3"/>
  <c r="G35" i="3"/>
  <c r="G34" i="3"/>
  <c r="F34" i="3"/>
  <c r="G33" i="3"/>
  <c r="G32" i="3"/>
  <c r="F32" i="3" s="1"/>
  <c r="G31" i="3"/>
  <c r="G30" i="3"/>
  <c r="F30" i="3"/>
  <c r="G29" i="3"/>
  <c r="G28" i="3"/>
  <c r="F28" i="3"/>
  <c r="G27" i="3"/>
  <c r="G26" i="3"/>
  <c r="F26" i="3"/>
  <c r="G25" i="3"/>
  <c r="G24" i="3"/>
  <c r="F24" i="3"/>
  <c r="G23" i="3"/>
  <c r="G22" i="3"/>
  <c r="F22" i="3"/>
  <c r="G21" i="3"/>
  <c r="F21" i="3"/>
  <c r="G20" i="3"/>
  <c r="F20" i="3"/>
  <c r="G19" i="3"/>
  <c r="G18" i="3"/>
  <c r="F18" i="3"/>
  <c r="G17" i="3"/>
  <c r="G16" i="3"/>
  <c r="F16" i="3" s="1"/>
  <c r="G15" i="3"/>
  <c r="G14" i="3"/>
  <c r="F14" i="3"/>
  <c r="G13" i="3"/>
  <c r="G12" i="3"/>
  <c r="F12" i="3"/>
  <c r="G11" i="3"/>
  <c r="G10" i="3"/>
  <c r="F10" i="3"/>
  <c r="G9" i="3"/>
  <c r="B9" i="3"/>
  <c r="G8" i="3"/>
  <c r="B8" i="3"/>
  <c r="G7" i="3"/>
  <c r="G6" i="3"/>
  <c r="F6" i="3" s="1"/>
  <c r="G5" i="3"/>
  <c r="H5" i="3" s="1"/>
  <c r="B9" i="2"/>
  <c r="B8" i="2"/>
  <c r="G26" i="1"/>
  <c r="G25" i="1"/>
  <c r="G24" i="1"/>
  <c r="G23" i="1"/>
  <c r="M64" i="5" l="1"/>
  <c r="F64" i="5" s="1"/>
  <c r="F18" i="4"/>
  <c r="K18" i="4"/>
  <c r="K81" i="4"/>
  <c r="F81" i="4"/>
  <c r="F200" i="4"/>
  <c r="K200" i="4"/>
  <c r="F328" i="4"/>
  <c r="K328" i="4"/>
  <c r="F10" i="4"/>
  <c r="K10" i="4"/>
  <c r="K63" i="4"/>
  <c r="F63" i="4"/>
  <c r="K94" i="4"/>
  <c r="F94" i="4"/>
  <c r="F104" i="4"/>
  <c r="K104" i="4"/>
  <c r="F216" i="4"/>
  <c r="K216" i="4"/>
  <c r="K38" i="4"/>
  <c r="F38" i="4"/>
  <c r="F33" i="4"/>
  <c r="K33" i="4"/>
  <c r="F152" i="4"/>
  <c r="K152" i="4"/>
  <c r="K191" i="4"/>
  <c r="F191" i="4"/>
  <c r="F51" i="4"/>
  <c r="K51" i="4"/>
  <c r="F99" i="4"/>
  <c r="K99" i="4"/>
  <c r="F232" i="4"/>
  <c r="K232" i="4"/>
  <c r="K65" i="4"/>
  <c r="F65" i="4"/>
  <c r="K70" i="4"/>
  <c r="F70" i="4"/>
  <c r="F315" i="4"/>
  <c r="K315" i="4"/>
  <c r="F345" i="4"/>
  <c r="K345" i="4"/>
  <c r="K87" i="4"/>
  <c r="F87" i="4"/>
  <c r="F128" i="4"/>
  <c r="K128" i="4"/>
  <c r="J35" i="1"/>
  <c r="J27" i="1"/>
  <c r="J26" i="1"/>
  <c r="J24" i="1"/>
  <c r="J32" i="1"/>
  <c r="J31" i="1"/>
  <c r="J25" i="1"/>
  <c r="J30" i="1"/>
  <c r="J29" i="1"/>
  <c r="J40" i="1"/>
  <c r="J37" i="1"/>
  <c r="J28" i="1"/>
  <c r="K47" i="4"/>
  <c r="F47" i="4"/>
  <c r="F83" i="4"/>
  <c r="K83" i="4"/>
  <c r="F187" i="4"/>
  <c r="K187" i="4"/>
  <c r="F192" i="4"/>
  <c r="K192" i="4"/>
  <c r="F288" i="4"/>
  <c r="K288" i="4"/>
  <c r="F304" i="4"/>
  <c r="K304" i="4"/>
  <c r="M48" i="5"/>
  <c r="F48" i="5" s="1"/>
  <c r="K41" i="4"/>
  <c r="F41" i="4"/>
  <c r="K118" i="4"/>
  <c r="F118" i="4"/>
  <c r="F356" i="4"/>
  <c r="K356" i="4"/>
  <c r="F103" i="4"/>
  <c r="K103" i="4"/>
  <c r="F75" i="4"/>
  <c r="K75" i="4"/>
  <c r="F123" i="4"/>
  <c r="K123" i="4"/>
  <c r="F171" i="4"/>
  <c r="K171" i="4"/>
  <c r="F248" i="4"/>
  <c r="K248" i="4"/>
  <c r="F48" i="4"/>
  <c r="K48" i="4"/>
  <c r="K54" i="4"/>
  <c r="F54" i="4"/>
  <c r="F107" i="4"/>
  <c r="K107" i="4"/>
  <c r="F139" i="4"/>
  <c r="K139" i="4"/>
  <c r="F203" i="4"/>
  <c r="K203" i="4"/>
  <c r="F208" i="4"/>
  <c r="K208" i="4"/>
  <c r="F264" i="4"/>
  <c r="K264" i="4"/>
  <c r="K175" i="4"/>
  <c r="F175" i="4"/>
  <c r="F24" i="4"/>
  <c r="K24" i="4"/>
  <c r="F91" i="4"/>
  <c r="K91" i="4"/>
  <c r="K119" i="4"/>
  <c r="F119" i="4"/>
  <c r="F16" i="4"/>
  <c r="K16" i="4"/>
  <c r="F168" i="4"/>
  <c r="K168" i="4"/>
  <c r="F224" i="4"/>
  <c r="K224" i="4"/>
  <c r="F240" i="4"/>
  <c r="K240" i="4"/>
  <c r="F251" i="4"/>
  <c r="K251" i="4"/>
  <c r="F267" i="4"/>
  <c r="K267" i="4"/>
  <c r="F243" i="4"/>
  <c r="K243" i="4"/>
  <c r="K25" i="4"/>
  <c r="F25" i="4"/>
  <c r="F86" i="4"/>
  <c r="K86" i="4"/>
  <c r="K159" i="4"/>
  <c r="F159" i="4"/>
  <c r="F280" i="4"/>
  <c r="K280" i="4"/>
  <c r="F80" i="4"/>
  <c r="K80" i="4"/>
  <c r="K105" i="4"/>
  <c r="F105" i="4"/>
  <c r="F5" i="4"/>
  <c r="F8" i="4"/>
  <c r="K8" i="4"/>
  <c r="F30" i="4"/>
  <c r="K30" i="4"/>
  <c r="F43" i="4"/>
  <c r="K43" i="4"/>
  <c r="K102" i="4"/>
  <c r="F102" i="4"/>
  <c r="F155" i="4"/>
  <c r="K155" i="4"/>
  <c r="F179" i="4"/>
  <c r="K179" i="4"/>
  <c r="F312" i="4"/>
  <c r="K312" i="4"/>
  <c r="F27" i="4"/>
  <c r="K27" i="4"/>
  <c r="F227" i="4"/>
  <c r="K227" i="4"/>
  <c r="K17" i="4"/>
  <c r="F17" i="4"/>
  <c r="F62" i="4"/>
  <c r="K62" i="4"/>
  <c r="F115" i="4"/>
  <c r="K115" i="4"/>
  <c r="F184" i="4"/>
  <c r="K184" i="4"/>
  <c r="F291" i="4"/>
  <c r="K291" i="4"/>
  <c r="F296" i="4"/>
  <c r="K296" i="4"/>
  <c r="F307" i="4"/>
  <c r="K307" i="4"/>
  <c r="F323" i="4"/>
  <c r="K323" i="4"/>
  <c r="K9" i="4"/>
  <c r="F9" i="4"/>
  <c r="K110" i="4"/>
  <c r="F110" i="4"/>
  <c r="K121" i="4"/>
  <c r="F121" i="4"/>
  <c r="F136" i="4"/>
  <c r="K136" i="4"/>
  <c r="F353" i="4"/>
  <c r="K353" i="4"/>
  <c r="F11" i="3"/>
  <c r="F27" i="3"/>
  <c r="F43" i="3"/>
  <c r="F59" i="3"/>
  <c r="F75" i="3"/>
  <c r="F76" i="4"/>
  <c r="F124" i="4"/>
  <c r="K154" i="4"/>
  <c r="F154" i="4"/>
  <c r="F189" i="4"/>
  <c r="J218" i="4"/>
  <c r="H218" i="4"/>
  <c r="F244" i="4"/>
  <c r="F256" i="4"/>
  <c r="K256" i="4"/>
  <c r="J282" i="4"/>
  <c r="H282" i="4"/>
  <c r="F308" i="4"/>
  <c r="F320" i="4"/>
  <c r="K320" i="4"/>
  <c r="J347" i="4"/>
  <c r="H347" i="4"/>
  <c r="M18" i="5"/>
  <c r="F18" i="5" s="1"/>
  <c r="M49" i="5"/>
  <c r="F49" i="5" s="1"/>
  <c r="M76" i="5"/>
  <c r="F76" i="5" s="1"/>
  <c r="J98" i="5"/>
  <c r="M163" i="5"/>
  <c r="F163" i="5" s="1"/>
  <c r="J224" i="5"/>
  <c r="J53" i="4"/>
  <c r="H53" i="4"/>
  <c r="J117" i="4"/>
  <c r="H117" i="4"/>
  <c r="F131" i="4"/>
  <c r="K131" i="4"/>
  <c r="K162" i="4"/>
  <c r="F162" i="4"/>
  <c r="F235" i="4"/>
  <c r="K235" i="4"/>
  <c r="F299" i="4"/>
  <c r="K299" i="4"/>
  <c r="J11" i="5"/>
  <c r="M42" i="5"/>
  <c r="F42" i="5" s="1"/>
  <c r="M65" i="5"/>
  <c r="F65" i="5" s="1"/>
  <c r="M101" i="5"/>
  <c r="F101" i="5" s="1"/>
  <c r="F7" i="3"/>
  <c r="F17" i="3"/>
  <c r="F33" i="3"/>
  <c r="F49" i="3"/>
  <c r="F65" i="3"/>
  <c r="F81" i="3"/>
  <c r="K13" i="4"/>
  <c r="K21" i="4"/>
  <c r="K46" i="4"/>
  <c r="J50" i="4"/>
  <c r="K56" i="4"/>
  <c r="F60" i="4"/>
  <c r="H76" i="4"/>
  <c r="J79" i="4"/>
  <c r="H83" i="4"/>
  <c r="J93" i="4"/>
  <c r="H93" i="4"/>
  <c r="K96" i="4"/>
  <c r="H107" i="4"/>
  <c r="J114" i="4"/>
  <c r="F132" i="4"/>
  <c r="F143" i="4"/>
  <c r="H162" i="4"/>
  <c r="K170" i="4"/>
  <c r="F170" i="4"/>
  <c r="F174" i="4"/>
  <c r="K181" i="4"/>
  <c r="F206" i="4"/>
  <c r="J210" i="4"/>
  <c r="H210" i="4"/>
  <c r="F236" i="4"/>
  <c r="F270" i="4"/>
  <c r="J274" i="4"/>
  <c r="H274" i="4"/>
  <c r="F300" i="4"/>
  <c r="F334" i="4"/>
  <c r="J338" i="4"/>
  <c r="H338" i="4"/>
  <c r="M5" i="5"/>
  <c r="F5" i="5" s="1"/>
  <c r="M8" i="5"/>
  <c r="F8" i="5" s="1"/>
  <c r="M46" i="5"/>
  <c r="F46" i="5" s="1"/>
  <c r="M58" i="5"/>
  <c r="F58" i="5" s="1"/>
  <c r="M117" i="5"/>
  <c r="F117" i="5" s="1"/>
  <c r="M139" i="5"/>
  <c r="F139" i="5" s="1"/>
  <c r="J37" i="4"/>
  <c r="H37" i="4"/>
  <c r="J40" i="4"/>
  <c r="K66" i="4"/>
  <c r="K178" i="4"/>
  <c r="F178" i="4"/>
  <c r="K197" i="4"/>
  <c r="K261" i="4"/>
  <c r="K325" i="4"/>
  <c r="M15" i="5"/>
  <c r="F15" i="5" s="1"/>
  <c r="M24" i="5"/>
  <c r="F24" i="5" s="1"/>
  <c r="J27" i="5"/>
  <c r="M34" i="5"/>
  <c r="F34" i="5" s="1"/>
  <c r="M80" i="5"/>
  <c r="F80" i="5" s="1"/>
  <c r="J89" i="5"/>
  <c r="M287" i="5"/>
  <c r="F287" i="5" s="1"/>
  <c r="M315" i="5"/>
  <c r="F315" i="5" s="1"/>
  <c r="M345" i="5"/>
  <c r="F345" i="5" s="1"/>
  <c r="F23" i="3"/>
  <c r="F39" i="3"/>
  <c r="F55" i="3"/>
  <c r="F71" i="3"/>
  <c r="F87" i="3"/>
  <c r="F28" i="4"/>
  <c r="J34" i="4"/>
  <c r="F44" i="4"/>
  <c r="H60" i="4"/>
  <c r="H70" i="4"/>
  <c r="H90" i="4"/>
  <c r="F111" i="4"/>
  <c r="H121" i="4"/>
  <c r="F140" i="4"/>
  <c r="F151" i="4"/>
  <c r="H155" i="4"/>
  <c r="H178" i="4"/>
  <c r="K186" i="4"/>
  <c r="F186" i="4"/>
  <c r="J202" i="4"/>
  <c r="H202" i="4"/>
  <c r="F228" i="4"/>
  <c r="J266" i="4"/>
  <c r="H266" i="4"/>
  <c r="F292" i="4"/>
  <c r="J330" i="4"/>
  <c r="H330" i="4"/>
  <c r="M21" i="5"/>
  <c r="F21" i="5" s="1"/>
  <c r="M50" i="5"/>
  <c r="F50" i="5" s="1"/>
  <c r="M83" i="5"/>
  <c r="F83" i="5" s="1"/>
  <c r="J158" i="5"/>
  <c r="F147" i="4"/>
  <c r="K147" i="4"/>
  <c r="K194" i="4"/>
  <c r="F194" i="4"/>
  <c r="F219" i="4"/>
  <c r="K219" i="4"/>
  <c r="K253" i="4"/>
  <c r="F283" i="4"/>
  <c r="K283" i="4"/>
  <c r="K317" i="4"/>
  <c r="F348" i="4"/>
  <c r="K348" i="4"/>
  <c r="J43" i="5"/>
  <c r="M66" i="5"/>
  <c r="F66" i="5" s="1"/>
  <c r="M213" i="5"/>
  <c r="F213" i="5" s="1"/>
  <c r="M268" i="5"/>
  <c r="F268" i="5" s="1"/>
  <c r="F8" i="3"/>
  <c r="F13" i="3"/>
  <c r="F29" i="3"/>
  <c r="F45" i="3"/>
  <c r="F61" i="3"/>
  <c r="F77" i="3"/>
  <c r="H25" i="4"/>
  <c r="K26" i="1" s="1"/>
  <c r="H28" i="4"/>
  <c r="H44" i="4"/>
  <c r="H54" i="4"/>
  <c r="J77" i="4"/>
  <c r="H77" i="4"/>
  <c r="F84" i="4"/>
  <c r="K90" i="4"/>
  <c r="F108" i="4"/>
  <c r="H118" i="4"/>
  <c r="J125" i="4"/>
  <c r="F148" i="4"/>
  <c r="H171" i="4"/>
  <c r="H194" i="4"/>
  <c r="F220" i="4"/>
  <c r="J258" i="4"/>
  <c r="H258" i="4"/>
  <c r="F284" i="4"/>
  <c r="J322" i="4"/>
  <c r="H322" i="4"/>
  <c r="F349" i="4"/>
  <c r="M31" i="5"/>
  <c r="F31" i="5" s="1"/>
  <c r="M40" i="5"/>
  <c r="F40" i="5" s="1"/>
  <c r="J59" i="5"/>
  <c r="M180" i="5"/>
  <c r="F180" i="5" s="1"/>
  <c r="M259" i="5"/>
  <c r="F259" i="5" s="1"/>
  <c r="M272" i="5"/>
  <c r="F272" i="5" s="1"/>
  <c r="J31" i="4"/>
  <c r="J101" i="4"/>
  <c r="H101" i="4"/>
  <c r="F163" i="4"/>
  <c r="K163" i="4"/>
  <c r="F211" i="4"/>
  <c r="K211" i="4"/>
  <c r="K245" i="4"/>
  <c r="F275" i="4"/>
  <c r="K275" i="4"/>
  <c r="K309" i="4"/>
  <c r="F339" i="4"/>
  <c r="K339" i="4"/>
  <c r="M19" i="5"/>
  <c r="F19" i="5" s="1"/>
  <c r="M37" i="5"/>
  <c r="F37" i="5" s="1"/>
  <c r="M47" i="5"/>
  <c r="F47" i="5" s="1"/>
  <c r="M56" i="5"/>
  <c r="F56" i="5" s="1"/>
  <c r="J174" i="5"/>
  <c r="F19" i="3"/>
  <c r="F35" i="3"/>
  <c r="F51" i="3"/>
  <c r="F67" i="3"/>
  <c r="F83" i="3"/>
  <c r="H38" i="4"/>
  <c r="J61" i="4"/>
  <c r="H61" i="4"/>
  <c r="J64" i="4"/>
  <c r="K67" i="4"/>
  <c r="F71" i="4"/>
  <c r="H74" i="4"/>
  <c r="H84" i="4"/>
  <c r="H91" i="4"/>
  <c r="J98" i="4"/>
  <c r="H122" i="4"/>
  <c r="J133" i="4"/>
  <c r="J144" i="4"/>
  <c r="F164" i="4"/>
  <c r="F183" i="4"/>
  <c r="H187" i="4"/>
  <c r="F212" i="4"/>
  <c r="F246" i="4"/>
  <c r="J250" i="4"/>
  <c r="H250" i="4"/>
  <c r="F276" i="4"/>
  <c r="F310" i="4"/>
  <c r="J314" i="4"/>
  <c r="H314" i="4"/>
  <c r="F340" i="4"/>
  <c r="M12" i="5"/>
  <c r="F12" i="5" s="1"/>
  <c r="M53" i="5"/>
  <c r="F53" i="5" s="1"/>
  <c r="M63" i="5"/>
  <c r="F63" i="5" s="1"/>
  <c r="M93" i="5"/>
  <c r="F93" i="5" s="1"/>
  <c r="M134" i="5"/>
  <c r="F134" i="5" s="1"/>
  <c r="M253" i="5"/>
  <c r="F253" i="5" s="1"/>
  <c r="F15" i="4"/>
  <c r="J58" i="4"/>
  <c r="F78" i="4"/>
  <c r="K237" i="4"/>
  <c r="K301" i="4"/>
  <c r="F331" i="4"/>
  <c r="K331" i="4"/>
  <c r="M9" i="5"/>
  <c r="F9" i="5" s="1"/>
  <c r="M16" i="5"/>
  <c r="F16" i="5" s="1"/>
  <c r="M199" i="5"/>
  <c r="F199" i="5" s="1"/>
  <c r="F9" i="3"/>
  <c r="F25" i="3"/>
  <c r="F41" i="3"/>
  <c r="F57" i="3"/>
  <c r="F73" i="3"/>
  <c r="J45" i="4"/>
  <c r="H45" i="4"/>
  <c r="K24" i="1" s="1"/>
  <c r="H58" i="4"/>
  <c r="K74" i="4"/>
  <c r="H81" i="4"/>
  <c r="F95" i="4"/>
  <c r="H105" i="4"/>
  <c r="K122" i="4"/>
  <c r="J141" i="4"/>
  <c r="F180" i="4"/>
  <c r="F204" i="4"/>
  <c r="J242" i="4"/>
  <c r="H242" i="4"/>
  <c r="J306" i="4"/>
  <c r="H306" i="4"/>
  <c r="M13" i="5"/>
  <c r="F13" i="5" s="1"/>
  <c r="M25" i="5"/>
  <c r="F25" i="5" s="1"/>
  <c r="M35" i="5"/>
  <c r="F35" i="5" s="1"/>
  <c r="M78" i="5"/>
  <c r="F78" i="5" s="1"/>
  <c r="M247" i="5"/>
  <c r="F247" i="5" s="1"/>
  <c r="F160" i="4"/>
  <c r="K160" i="4"/>
  <c r="F195" i="4"/>
  <c r="K195" i="4"/>
  <c r="K229" i="4"/>
  <c r="H251" i="4"/>
  <c r="F259" i="4"/>
  <c r="K259" i="4"/>
  <c r="K293" i="4"/>
  <c r="H315" i="4"/>
  <c r="F319" i="4"/>
  <c r="M28" i="5"/>
  <c r="F28" i="5" s="1"/>
  <c r="M51" i="5"/>
  <c r="F51" i="5" s="1"/>
  <c r="M69" i="5"/>
  <c r="F69" i="5" s="1"/>
  <c r="M87" i="5"/>
  <c r="F87" i="5" s="1"/>
  <c r="F5" i="3"/>
  <c r="J3" i="3" s="1"/>
  <c r="F15" i="3"/>
  <c r="F31" i="3"/>
  <c r="F47" i="3"/>
  <c r="F63" i="3"/>
  <c r="F79" i="3"/>
  <c r="J23" i="4"/>
  <c r="J32" i="4"/>
  <c r="K35" i="4"/>
  <c r="H42" i="4"/>
  <c r="J52" i="4"/>
  <c r="H65" i="4"/>
  <c r="H75" i="4"/>
  <c r="J85" i="4"/>
  <c r="H85" i="4"/>
  <c r="J88" i="4"/>
  <c r="H102" i="4"/>
  <c r="J109" i="4"/>
  <c r="H109" i="4"/>
  <c r="K112" i="4"/>
  <c r="H123" i="4"/>
  <c r="F157" i="4"/>
  <c r="F161" i="4"/>
  <c r="F230" i="4"/>
  <c r="J234" i="4"/>
  <c r="H234" i="4"/>
  <c r="F272" i="4"/>
  <c r="K272" i="4"/>
  <c r="F294" i="4"/>
  <c r="J298" i="4"/>
  <c r="H298" i="4"/>
  <c r="F336" i="4"/>
  <c r="K336" i="4"/>
  <c r="M17" i="5"/>
  <c r="F17" i="5" s="1"/>
  <c r="M32" i="5"/>
  <c r="F32" i="5" s="1"/>
  <c r="M44" i="5"/>
  <c r="F44" i="5" s="1"/>
  <c r="M91" i="5"/>
  <c r="F91" i="5" s="1"/>
  <c r="M147" i="5"/>
  <c r="F147" i="5" s="1"/>
  <c r="J55" i="4"/>
  <c r="F113" i="4"/>
  <c r="F142" i="4"/>
  <c r="F169" i="4"/>
  <c r="F176" i="4"/>
  <c r="K176" i="4"/>
  <c r="F209" i="4"/>
  <c r="K221" i="4"/>
  <c r="F273" i="4"/>
  <c r="H307" i="4"/>
  <c r="F337" i="4"/>
  <c r="M10" i="5"/>
  <c r="F10" i="5" s="1"/>
  <c r="M29" i="5"/>
  <c r="F29" i="5" s="1"/>
  <c r="M41" i="5"/>
  <c r="F41" i="5" s="1"/>
  <c r="M60" i="5"/>
  <c r="F60" i="5" s="1"/>
  <c r="K26" i="4"/>
  <c r="J36" i="4"/>
  <c r="K42" i="4"/>
  <c r="H82" i="4"/>
  <c r="H106" i="4"/>
  <c r="F127" i="4"/>
  <c r="F177" i="4"/>
  <c r="F222" i="4"/>
  <c r="J226" i="4"/>
  <c r="H226" i="4"/>
  <c r="F286" i="4"/>
  <c r="J290" i="4"/>
  <c r="H290" i="4"/>
  <c r="F351" i="4"/>
  <c r="J355" i="4"/>
  <c r="H355" i="4"/>
  <c r="M14" i="5"/>
  <c r="F14" i="5" s="1"/>
  <c r="M45" i="5"/>
  <c r="F45" i="5" s="1"/>
  <c r="M57" i="5"/>
  <c r="F57" i="5" s="1"/>
  <c r="J110" i="5"/>
  <c r="M188" i="5"/>
  <c r="F188" i="5" s="1"/>
  <c r="H36" i="4"/>
  <c r="J39" i="4"/>
  <c r="J69" i="4"/>
  <c r="H69" i="4"/>
  <c r="J72" i="4"/>
  <c r="K138" i="4"/>
  <c r="H146" i="4"/>
  <c r="F150" i="4"/>
  <c r="F185" i="4"/>
  <c r="F201" i="4"/>
  <c r="K213" i="4"/>
  <c r="F239" i="4"/>
  <c r="F265" i="4"/>
  <c r="K277" i="4"/>
  <c r="F303" i="4"/>
  <c r="F329" i="4"/>
  <c r="K342" i="4"/>
  <c r="M7" i="5"/>
  <c r="F7" i="5" s="1"/>
  <c r="M33" i="5"/>
  <c r="F33" i="5" s="1"/>
  <c r="M61" i="5"/>
  <c r="F61" i="5" s="1"/>
  <c r="J96" i="5"/>
  <c r="M123" i="5"/>
  <c r="F123" i="5" s="1"/>
  <c r="M131" i="5"/>
  <c r="F131" i="5" s="1"/>
  <c r="J142" i="5"/>
  <c r="M177" i="5"/>
  <c r="F177" i="5" s="1"/>
  <c r="M227" i="5"/>
  <c r="F227" i="5" s="1"/>
  <c r="M329" i="5"/>
  <c r="F329" i="5" s="1"/>
  <c r="M434" i="5"/>
  <c r="F434" i="5" s="1"/>
  <c r="M513" i="5"/>
  <c r="F513" i="5" s="1"/>
  <c r="M105" i="5"/>
  <c r="F105" i="5" s="1"/>
  <c r="J108" i="5"/>
  <c r="M115" i="5"/>
  <c r="F115" i="5" s="1"/>
  <c r="J126" i="5"/>
  <c r="J194" i="5"/>
  <c r="M214" i="5"/>
  <c r="F214" i="5" s="1"/>
  <c r="M219" i="5"/>
  <c r="F219" i="5" s="1"/>
  <c r="J242" i="5"/>
  <c r="M260" i="5"/>
  <c r="F260" i="5" s="1"/>
  <c r="M377" i="5"/>
  <c r="F377" i="5" s="1"/>
  <c r="M467" i="5"/>
  <c r="F467" i="5" s="1"/>
  <c r="J148" i="5"/>
  <c r="M197" i="5"/>
  <c r="F197" i="5" s="1"/>
  <c r="J208" i="5"/>
  <c r="J222" i="5"/>
  <c r="M239" i="5"/>
  <c r="F239" i="5" s="1"/>
  <c r="M245" i="5"/>
  <c r="F245" i="5" s="1"/>
  <c r="M285" i="5"/>
  <c r="F285" i="5" s="1"/>
  <c r="M297" i="5"/>
  <c r="F297" i="5" s="1"/>
  <c r="M361" i="5"/>
  <c r="F361" i="5" s="1"/>
  <c r="M393" i="5"/>
  <c r="F393" i="5" s="1"/>
  <c r="M409" i="5"/>
  <c r="F409" i="5" s="1"/>
  <c r="J132" i="5"/>
  <c r="M153" i="5"/>
  <c r="F153" i="5" s="1"/>
  <c r="J186" i="5"/>
  <c r="M228" i="5"/>
  <c r="F228" i="5" s="1"/>
  <c r="J254" i="5"/>
  <c r="M269" i="5"/>
  <c r="F269" i="5" s="1"/>
  <c r="M279" i="5"/>
  <c r="F279" i="5" s="1"/>
  <c r="J458" i="5"/>
  <c r="J72" i="5"/>
  <c r="J94" i="5"/>
  <c r="M103" i="5"/>
  <c r="F103" i="5" s="1"/>
  <c r="J116" i="5"/>
  <c r="M137" i="5"/>
  <c r="F137" i="5" s="1"/>
  <c r="J178" i="5"/>
  <c r="M183" i="5"/>
  <c r="F183" i="5" s="1"/>
  <c r="M200" i="5"/>
  <c r="F200" i="5" s="1"/>
  <c r="M211" i="5"/>
  <c r="F211" i="5" s="1"/>
  <c r="M248" i="5"/>
  <c r="F248" i="5" s="1"/>
  <c r="M251" i="5"/>
  <c r="F251" i="5" s="1"/>
  <c r="M301" i="5"/>
  <c r="F301" i="5" s="1"/>
  <c r="M313" i="5"/>
  <c r="F313" i="5" s="1"/>
  <c r="M390" i="5"/>
  <c r="F390" i="5" s="1"/>
  <c r="M164" i="5"/>
  <c r="F164" i="5" s="1"/>
  <c r="M198" i="5"/>
  <c r="F198" i="5" s="1"/>
  <c r="M203" i="5"/>
  <c r="F203" i="5" s="1"/>
  <c r="M246" i="5"/>
  <c r="F246" i="5" s="1"/>
  <c r="M306" i="5"/>
  <c r="F306" i="5" s="1"/>
  <c r="J106" i="5"/>
  <c r="M121" i="5"/>
  <c r="F121" i="5" s="1"/>
  <c r="J154" i="5"/>
  <c r="J170" i="5"/>
  <c r="M175" i="5"/>
  <c r="F175" i="5" s="1"/>
  <c r="J192" i="5"/>
  <c r="J206" i="5"/>
  <c r="J220" i="5"/>
  <c r="M231" i="5"/>
  <c r="F231" i="5" s="1"/>
  <c r="J240" i="5"/>
  <c r="J280" i="5"/>
  <c r="J298" i="5"/>
  <c r="M449" i="5"/>
  <c r="F449" i="5" s="1"/>
  <c r="M462" i="5"/>
  <c r="F462" i="5" s="1"/>
  <c r="M478" i="5"/>
  <c r="F478" i="5" s="1"/>
  <c r="J104" i="5"/>
  <c r="J138" i="5"/>
  <c r="J146" i="5"/>
  <c r="M151" i="5"/>
  <c r="F151" i="5" s="1"/>
  <c r="J162" i="5"/>
  <c r="M167" i="5"/>
  <c r="F167" i="5" s="1"/>
  <c r="M181" i="5"/>
  <c r="F181" i="5" s="1"/>
  <c r="J184" i="5"/>
  <c r="M212" i="5"/>
  <c r="F212" i="5" s="1"/>
  <c r="J258" i="5"/>
  <c r="J270" i="5"/>
  <c r="M343" i="5"/>
  <c r="F343" i="5" s="1"/>
  <c r="J88" i="5"/>
  <c r="M99" i="5"/>
  <c r="F99" i="5" s="1"/>
  <c r="J130" i="5"/>
  <c r="M135" i="5"/>
  <c r="F135" i="5" s="1"/>
  <c r="M143" i="5"/>
  <c r="F143" i="5" s="1"/>
  <c r="M159" i="5"/>
  <c r="F159" i="5" s="1"/>
  <c r="M195" i="5"/>
  <c r="F195" i="5" s="1"/>
  <c r="M243" i="5"/>
  <c r="F243" i="5" s="1"/>
  <c r="M255" i="5"/>
  <c r="F255" i="5" s="1"/>
  <c r="J114" i="5"/>
  <c r="J122" i="5"/>
  <c r="J176" i="5"/>
  <c r="J226" i="5"/>
  <c r="M237" i="5"/>
  <c r="F237" i="5" s="1"/>
  <c r="M267" i="5"/>
  <c r="F267" i="5" s="1"/>
  <c r="M336" i="5"/>
  <c r="F336" i="5" s="1"/>
  <c r="M381" i="5"/>
  <c r="F381" i="5" s="1"/>
  <c r="M391" i="5"/>
  <c r="F391" i="5" s="1"/>
  <c r="M111" i="5"/>
  <c r="F111" i="5" s="1"/>
  <c r="M119" i="5"/>
  <c r="F119" i="5" s="1"/>
  <c r="M127" i="5"/>
  <c r="F127" i="5" s="1"/>
  <c r="M149" i="5"/>
  <c r="F149" i="5" s="1"/>
  <c r="M165" i="5"/>
  <c r="F165" i="5" s="1"/>
  <c r="M187" i="5"/>
  <c r="F187" i="5" s="1"/>
  <c r="M215" i="5"/>
  <c r="F215" i="5" s="1"/>
  <c r="M229" i="5"/>
  <c r="F229" i="5" s="1"/>
  <c r="M264" i="5"/>
  <c r="F264" i="5" s="1"/>
  <c r="M281" i="5"/>
  <c r="F281" i="5" s="1"/>
  <c r="M299" i="5"/>
  <c r="F299" i="5" s="1"/>
  <c r="J340" i="5"/>
  <c r="M352" i="5"/>
  <c r="F352" i="5" s="1"/>
  <c r="M375" i="5"/>
  <c r="F375" i="5" s="1"/>
  <c r="H125" i="4"/>
  <c r="H133" i="4"/>
  <c r="H141" i="4"/>
  <c r="H149" i="4"/>
  <c r="H157" i="4"/>
  <c r="H165" i="4"/>
  <c r="H173" i="4"/>
  <c r="H181" i="4"/>
  <c r="H189" i="4"/>
  <c r="H197" i="4"/>
  <c r="H205" i="4"/>
  <c r="H213" i="4"/>
  <c r="H221" i="4"/>
  <c r="H229" i="4"/>
  <c r="H237" i="4"/>
  <c r="H245" i="4"/>
  <c r="H253" i="4"/>
  <c r="H261" i="4"/>
  <c r="H269" i="4"/>
  <c r="H277" i="4"/>
  <c r="H285" i="4"/>
  <c r="H293" i="4"/>
  <c r="H301" i="4"/>
  <c r="H309" i="4"/>
  <c r="H317" i="4"/>
  <c r="H325" i="4"/>
  <c r="H333" i="4"/>
  <c r="H342" i="4"/>
  <c r="H350" i="4"/>
  <c r="H358" i="4"/>
  <c r="J75" i="5"/>
  <c r="M109" i="5"/>
  <c r="F109" i="5" s="1"/>
  <c r="M133" i="5"/>
  <c r="F133" i="5" s="1"/>
  <c r="J136" i="5"/>
  <c r="J144" i="5"/>
  <c r="J160" i="5"/>
  <c r="M173" i="5"/>
  <c r="F173" i="5" s="1"/>
  <c r="J190" i="5"/>
  <c r="M196" i="5"/>
  <c r="F196" i="5" s="1"/>
  <c r="M244" i="5"/>
  <c r="F244" i="5" s="1"/>
  <c r="M262" i="5"/>
  <c r="F262" i="5" s="1"/>
  <c r="M271" i="5"/>
  <c r="F271" i="5" s="1"/>
  <c r="M295" i="5"/>
  <c r="F295" i="5" s="1"/>
  <c r="J77" i="5"/>
  <c r="M79" i="5"/>
  <c r="F79" i="5" s="1"/>
  <c r="J84" i="5"/>
  <c r="M107" i="5"/>
  <c r="F107" i="5" s="1"/>
  <c r="J112" i="5"/>
  <c r="M179" i="5"/>
  <c r="F179" i="5" s="1"/>
  <c r="M232" i="5"/>
  <c r="F232" i="5" s="1"/>
  <c r="M256" i="5"/>
  <c r="F256" i="5" s="1"/>
  <c r="J82" i="5"/>
  <c r="J120" i="5"/>
  <c r="J128" i="5"/>
  <c r="M141" i="5"/>
  <c r="F141" i="5" s="1"/>
  <c r="M152" i="5"/>
  <c r="F152" i="5" s="1"/>
  <c r="M155" i="5"/>
  <c r="F155" i="5" s="1"/>
  <c r="M168" i="5"/>
  <c r="F168" i="5" s="1"/>
  <c r="M171" i="5"/>
  <c r="F171" i="5" s="1"/>
  <c r="M193" i="5"/>
  <c r="F193" i="5" s="1"/>
  <c r="J210" i="5"/>
  <c r="M230" i="5"/>
  <c r="F230" i="5" s="1"/>
  <c r="M235" i="5"/>
  <c r="F235" i="5" s="1"/>
  <c r="J238" i="5"/>
  <c r="M241" i="5"/>
  <c r="F241" i="5" s="1"/>
  <c r="M252" i="5"/>
  <c r="F252" i="5" s="1"/>
  <c r="J404" i="5"/>
  <c r="M191" i="5"/>
  <c r="F191" i="5" s="1"/>
  <c r="M282" i="5"/>
  <c r="F282" i="5" s="1"/>
  <c r="M330" i="5"/>
  <c r="F330" i="5" s="1"/>
  <c r="M353" i="5"/>
  <c r="F353" i="5" s="1"/>
  <c r="M407" i="5"/>
  <c r="F407" i="5" s="1"/>
  <c r="M422" i="5"/>
  <c r="F422" i="5" s="1"/>
  <c r="M425" i="5"/>
  <c r="F425" i="5" s="1"/>
  <c r="M442" i="5"/>
  <c r="F442" i="5" s="1"/>
  <c r="M492" i="5"/>
  <c r="F492" i="5" s="1"/>
  <c r="J476" i="5"/>
  <c r="M479" i="5"/>
  <c r="F479" i="5" s="1"/>
  <c r="M499" i="5"/>
  <c r="F499" i="5" s="1"/>
  <c r="M612" i="5"/>
  <c r="F612" i="5" s="1"/>
  <c r="M917" i="5"/>
  <c r="F917" i="5" s="1"/>
  <c r="M300" i="5"/>
  <c r="F300" i="5" s="1"/>
  <c r="M314" i="5"/>
  <c r="F314" i="5" s="1"/>
  <c r="J325" i="5"/>
  <c r="M346" i="5"/>
  <c r="F346" i="5" s="1"/>
  <c r="J356" i="5"/>
  <c r="J376" i="5"/>
  <c r="M379" i="5"/>
  <c r="F379" i="5" s="1"/>
  <c r="M401" i="5"/>
  <c r="F401" i="5" s="1"/>
  <c r="M464" i="5"/>
  <c r="F464" i="5" s="1"/>
  <c r="M534" i="5"/>
  <c r="F534" i="5" s="1"/>
  <c r="M547" i="5"/>
  <c r="F547" i="5" s="1"/>
  <c r="M563" i="5"/>
  <c r="F563" i="5" s="1"/>
  <c r="M620" i="5"/>
  <c r="F620" i="5" s="1"/>
  <c r="J293" i="5"/>
  <c r="J309" i="5"/>
  <c r="M333" i="5"/>
  <c r="F333" i="5" s="1"/>
  <c r="M408" i="5"/>
  <c r="F408" i="5" s="1"/>
  <c r="M411" i="5"/>
  <c r="F411" i="5" s="1"/>
  <c r="M440" i="5"/>
  <c r="F440" i="5" s="1"/>
  <c r="J446" i="5"/>
  <c r="M482" i="5"/>
  <c r="F482" i="5" s="1"/>
  <c r="M493" i="5"/>
  <c r="F493" i="5" s="1"/>
  <c r="M630" i="5"/>
  <c r="F630" i="5" s="1"/>
  <c r="J328" i="5"/>
  <c r="M331" i="5"/>
  <c r="F331" i="5" s="1"/>
  <c r="M373" i="5"/>
  <c r="F373" i="5" s="1"/>
  <c r="M525" i="5"/>
  <c r="F525" i="5" s="1"/>
  <c r="J597" i="5"/>
  <c r="J312" i="5"/>
  <c r="M349" i="5"/>
  <c r="F349" i="5" s="1"/>
  <c r="J370" i="5"/>
  <c r="M419" i="5"/>
  <c r="F419" i="5" s="1"/>
  <c r="M594" i="5"/>
  <c r="F594" i="5" s="1"/>
  <c r="M627" i="5"/>
  <c r="F627" i="5" s="1"/>
  <c r="J296" i="5"/>
  <c r="J307" i="5"/>
  <c r="J341" i="5"/>
  <c r="J344" i="5"/>
  <c r="M347" i="5"/>
  <c r="F347" i="5" s="1"/>
  <c r="M365" i="5"/>
  <c r="F365" i="5" s="1"/>
  <c r="M387" i="5"/>
  <c r="F387" i="5" s="1"/>
  <c r="M423" i="5"/>
  <c r="F423" i="5" s="1"/>
  <c r="M431" i="5"/>
  <c r="F431" i="5" s="1"/>
  <c r="J450" i="5"/>
  <c r="M577" i="5"/>
  <c r="F577" i="5" s="1"/>
  <c r="M591" i="5"/>
  <c r="F591" i="5" s="1"/>
  <c r="M696" i="5"/>
  <c r="F696" i="5" s="1"/>
  <c r="M709" i="5"/>
  <c r="F709" i="5" s="1"/>
  <c r="M317" i="5"/>
  <c r="F317" i="5" s="1"/>
  <c r="J360" i="5"/>
  <c r="M363" i="5"/>
  <c r="F363" i="5" s="1"/>
  <c r="J420" i="5"/>
  <c r="M456" i="5"/>
  <c r="F456" i="5" s="1"/>
  <c r="M483" i="5"/>
  <c r="F483" i="5" s="1"/>
  <c r="M494" i="5"/>
  <c r="F494" i="5" s="1"/>
  <c r="M706" i="5"/>
  <c r="F706" i="5" s="1"/>
  <c r="J388" i="5"/>
  <c r="J402" i="5"/>
  <c r="J487" i="5"/>
  <c r="M497" i="5"/>
  <c r="F497" i="5" s="1"/>
  <c r="J558" i="5"/>
  <c r="M670" i="5"/>
  <c r="F670" i="5" s="1"/>
  <c r="M677" i="5"/>
  <c r="F677" i="5" s="1"/>
  <c r="J326" i="5"/>
  <c r="M338" i="5"/>
  <c r="F338" i="5" s="1"/>
  <c r="J374" i="5"/>
  <c r="M385" i="5"/>
  <c r="F385" i="5" s="1"/>
  <c r="M417" i="5"/>
  <c r="F417" i="5" s="1"/>
  <c r="M424" i="5"/>
  <c r="F424" i="5" s="1"/>
  <c r="M435" i="5"/>
  <c r="F435" i="5" s="1"/>
  <c r="M447" i="5"/>
  <c r="F447" i="5" s="1"/>
  <c r="J294" i="5"/>
  <c r="M303" i="5"/>
  <c r="F303" i="5" s="1"/>
  <c r="J310" i="5"/>
  <c r="M354" i="5"/>
  <c r="F354" i="5" s="1"/>
  <c r="M392" i="5"/>
  <c r="F392" i="5" s="1"/>
  <c r="M395" i="5"/>
  <c r="F395" i="5" s="1"/>
  <c r="M406" i="5"/>
  <c r="F406" i="5" s="1"/>
  <c r="M427" i="5"/>
  <c r="F427" i="5" s="1"/>
  <c r="J444" i="5"/>
  <c r="M453" i="5"/>
  <c r="F453" i="5" s="1"/>
  <c r="M481" i="5"/>
  <c r="F481" i="5" s="1"/>
  <c r="M545" i="5"/>
  <c r="F545" i="5" s="1"/>
  <c r="M581" i="5"/>
  <c r="F581" i="5" s="1"/>
  <c r="M595" i="5"/>
  <c r="F595" i="5" s="1"/>
  <c r="J618" i="5"/>
  <c r="M438" i="5"/>
  <c r="F438" i="5" s="1"/>
  <c r="M668" i="5"/>
  <c r="F668" i="5" s="1"/>
  <c r="J273" i="5"/>
  <c r="J277" i="5"/>
  <c r="J292" i="5"/>
  <c r="J342" i="5"/>
  <c r="M389" i="5"/>
  <c r="F389" i="5" s="1"/>
  <c r="J275" i="5"/>
  <c r="J308" i="5"/>
  <c r="J358" i="5"/>
  <c r="M371" i="5"/>
  <c r="F371" i="5" s="1"/>
  <c r="J448" i="5"/>
  <c r="M454" i="5"/>
  <c r="F454" i="5" s="1"/>
  <c r="M488" i="5"/>
  <c r="F488" i="5" s="1"/>
  <c r="M546" i="5"/>
  <c r="F546" i="5" s="1"/>
  <c r="M611" i="5"/>
  <c r="F611" i="5" s="1"/>
  <c r="M339" i="5"/>
  <c r="F339" i="5" s="1"/>
  <c r="M415" i="5"/>
  <c r="F415" i="5" s="1"/>
  <c r="J418" i="5"/>
  <c r="M436" i="5"/>
  <c r="F436" i="5" s="1"/>
  <c r="M466" i="5"/>
  <c r="F466" i="5" s="1"/>
  <c r="J579" i="5"/>
  <c r="M369" i="5"/>
  <c r="F369" i="5" s="1"/>
  <c r="J372" i="5"/>
  <c r="J386" i="5"/>
  <c r="M433" i="5"/>
  <c r="F433" i="5" s="1"/>
  <c r="M650" i="5"/>
  <c r="F650" i="5" s="1"/>
  <c r="J473" i="5"/>
  <c r="M498" i="5"/>
  <c r="F498" i="5" s="1"/>
  <c r="J505" i="5"/>
  <c r="M519" i="5"/>
  <c r="F519" i="5" s="1"/>
  <c r="M531" i="5"/>
  <c r="F531" i="5" s="1"/>
  <c r="J540" i="5"/>
  <c r="M858" i="5"/>
  <c r="F858" i="5" s="1"/>
  <c r="M500" i="5"/>
  <c r="F500" i="5" s="1"/>
  <c r="M537" i="5"/>
  <c r="F537" i="5" s="1"/>
  <c r="M555" i="5"/>
  <c r="F555" i="5" s="1"/>
  <c r="M561" i="5"/>
  <c r="F561" i="5" s="1"/>
  <c r="M609" i="5"/>
  <c r="F609" i="5" s="1"/>
  <c r="M615" i="5"/>
  <c r="F615" i="5" s="1"/>
  <c r="M624" i="5"/>
  <c r="F624" i="5" s="1"/>
  <c r="M631" i="5"/>
  <c r="F631" i="5" s="1"/>
  <c r="M637" i="5"/>
  <c r="F637" i="5" s="1"/>
  <c r="J644" i="5"/>
  <c r="M690" i="5"/>
  <c r="F690" i="5" s="1"/>
  <c r="M779" i="5"/>
  <c r="F779" i="5" s="1"/>
  <c r="M788" i="5"/>
  <c r="F788" i="5" s="1"/>
  <c r="J845" i="5"/>
  <c r="M514" i="5"/>
  <c r="F514" i="5" s="1"/>
  <c r="M549" i="5"/>
  <c r="F549" i="5" s="1"/>
  <c r="M567" i="5"/>
  <c r="F567" i="5" s="1"/>
  <c r="J588" i="5"/>
  <c r="M634" i="5"/>
  <c r="F634" i="5" s="1"/>
  <c r="M785" i="5"/>
  <c r="F785" i="5" s="1"/>
  <c r="J503" i="5"/>
  <c r="J508" i="5"/>
  <c r="J526" i="5"/>
  <c r="M573" i="5"/>
  <c r="F573" i="5" s="1"/>
  <c r="M585" i="5"/>
  <c r="F585" i="5" s="1"/>
  <c r="J628" i="5"/>
  <c r="M659" i="5"/>
  <c r="F659" i="5" s="1"/>
  <c r="M776" i="5"/>
  <c r="F776" i="5" s="1"/>
  <c r="J471" i="5"/>
  <c r="J485" i="5"/>
  <c r="M562" i="5"/>
  <c r="F562" i="5" s="1"/>
  <c r="M592" i="5"/>
  <c r="F592" i="5" s="1"/>
  <c r="M619" i="5"/>
  <c r="F619" i="5" s="1"/>
  <c r="J638" i="5"/>
  <c r="M653" i="5"/>
  <c r="F653" i="5" s="1"/>
  <c r="M684" i="5"/>
  <c r="F684" i="5" s="1"/>
  <c r="M700" i="5"/>
  <c r="F700" i="5" s="1"/>
  <c r="M729" i="5"/>
  <c r="F729" i="5" s="1"/>
  <c r="J766" i="5"/>
  <c r="M496" i="5"/>
  <c r="F496" i="5" s="1"/>
  <c r="M523" i="5"/>
  <c r="F523" i="5" s="1"/>
  <c r="M529" i="5"/>
  <c r="F529" i="5" s="1"/>
  <c r="J574" i="5"/>
  <c r="M582" i="5"/>
  <c r="F582" i="5" s="1"/>
  <c r="M606" i="5"/>
  <c r="F606" i="5" s="1"/>
  <c r="M645" i="5"/>
  <c r="F645" i="5" s="1"/>
  <c r="J704" i="5"/>
  <c r="M716" i="5"/>
  <c r="F716" i="5" s="1"/>
  <c r="J461" i="5"/>
  <c r="J491" i="5"/>
  <c r="M517" i="5"/>
  <c r="F517" i="5" s="1"/>
  <c r="M535" i="5"/>
  <c r="F535" i="5" s="1"/>
  <c r="J556" i="5"/>
  <c r="M565" i="5"/>
  <c r="F565" i="5" s="1"/>
  <c r="M601" i="5"/>
  <c r="F601" i="5" s="1"/>
  <c r="J622" i="5"/>
  <c r="M666" i="5"/>
  <c r="F666" i="5" s="1"/>
  <c r="M758" i="5"/>
  <c r="F758" i="5" s="1"/>
  <c r="J459" i="5"/>
  <c r="M527" i="5"/>
  <c r="F527" i="5" s="1"/>
  <c r="M541" i="5"/>
  <c r="F541" i="5" s="1"/>
  <c r="M553" i="5"/>
  <c r="F553" i="5" s="1"/>
  <c r="M571" i="5"/>
  <c r="F571" i="5" s="1"/>
  <c r="M613" i="5"/>
  <c r="F613" i="5" s="1"/>
  <c r="M663" i="5"/>
  <c r="F663" i="5" s="1"/>
  <c r="M691" i="5"/>
  <c r="F691" i="5" s="1"/>
  <c r="J720" i="5"/>
  <c r="M813" i="5"/>
  <c r="F813" i="5" s="1"/>
  <c r="M474" i="5"/>
  <c r="F474" i="5" s="1"/>
  <c r="M530" i="5"/>
  <c r="F530" i="5" s="1"/>
  <c r="M583" i="5"/>
  <c r="F583" i="5" s="1"/>
  <c r="M607" i="5"/>
  <c r="F607" i="5" s="1"/>
  <c r="M635" i="5"/>
  <c r="F635" i="5" s="1"/>
  <c r="M739" i="5"/>
  <c r="F739" i="5" s="1"/>
  <c r="J443" i="5"/>
  <c r="J445" i="5"/>
  <c r="J457" i="5"/>
  <c r="J477" i="5"/>
  <c r="M509" i="5"/>
  <c r="F509" i="5" s="1"/>
  <c r="J542" i="5"/>
  <c r="M550" i="5"/>
  <c r="F550" i="5" s="1"/>
  <c r="M589" i="5"/>
  <c r="F589" i="5" s="1"/>
  <c r="M604" i="5"/>
  <c r="F604" i="5" s="1"/>
  <c r="J626" i="5"/>
  <c r="J646" i="5"/>
  <c r="M685" i="5"/>
  <c r="F685" i="5" s="1"/>
  <c r="M701" i="5"/>
  <c r="F701" i="5" s="1"/>
  <c r="M723" i="5"/>
  <c r="F723" i="5" s="1"/>
  <c r="M777" i="5"/>
  <c r="F777" i="5" s="1"/>
  <c r="M810" i="5"/>
  <c r="F810" i="5" s="1"/>
  <c r="M819" i="5"/>
  <c r="F819" i="5" s="1"/>
  <c r="M515" i="5"/>
  <c r="F515" i="5" s="1"/>
  <c r="J524" i="5"/>
  <c r="M578" i="5"/>
  <c r="F578" i="5" s="1"/>
  <c r="M623" i="5"/>
  <c r="F623" i="5" s="1"/>
  <c r="M676" i="5"/>
  <c r="F676" i="5" s="1"/>
  <c r="M743" i="5"/>
  <c r="F743" i="5" s="1"/>
  <c r="J752" i="5"/>
  <c r="M755" i="5"/>
  <c r="F755" i="5" s="1"/>
  <c r="J489" i="5"/>
  <c r="J507" i="5"/>
  <c r="M510" i="5"/>
  <c r="F510" i="5" s="1"/>
  <c r="M521" i="5"/>
  <c r="F521" i="5" s="1"/>
  <c r="M539" i="5"/>
  <c r="F539" i="5" s="1"/>
  <c r="J590" i="5"/>
  <c r="M617" i="5"/>
  <c r="F617" i="5" s="1"/>
  <c r="J475" i="5"/>
  <c r="J495" i="5"/>
  <c r="M533" i="5"/>
  <c r="F533" i="5" s="1"/>
  <c r="M551" i="5"/>
  <c r="F551" i="5" s="1"/>
  <c r="J572" i="5"/>
  <c r="M593" i="5"/>
  <c r="F593" i="5" s="1"/>
  <c r="M599" i="5"/>
  <c r="F599" i="5" s="1"/>
  <c r="M633" i="5"/>
  <c r="F633" i="5" s="1"/>
  <c r="M636" i="5"/>
  <c r="F636" i="5" s="1"/>
  <c r="M686" i="5"/>
  <c r="F686" i="5" s="1"/>
  <c r="M702" i="5"/>
  <c r="F702" i="5" s="1"/>
  <c r="M543" i="5"/>
  <c r="F543" i="5" s="1"/>
  <c r="M557" i="5"/>
  <c r="F557" i="5" s="1"/>
  <c r="M569" i="5"/>
  <c r="F569" i="5" s="1"/>
  <c r="M587" i="5"/>
  <c r="F587" i="5" s="1"/>
  <c r="J640" i="5"/>
  <c r="M712" i="5"/>
  <c r="F712" i="5" s="1"/>
  <c r="M717" i="5"/>
  <c r="F717" i="5" s="1"/>
  <c r="M726" i="5"/>
  <c r="F726" i="5" s="1"/>
  <c r="J734" i="5"/>
  <c r="M862" i="5"/>
  <c r="F862" i="5" s="1"/>
  <c r="M914" i="5"/>
  <c r="F914" i="5" s="1"/>
  <c r="J664" i="5"/>
  <c r="M678" i="5"/>
  <c r="F678" i="5" s="1"/>
  <c r="M770" i="5"/>
  <c r="F770" i="5" s="1"/>
  <c r="J795" i="5"/>
  <c r="M801" i="5"/>
  <c r="F801" i="5" s="1"/>
  <c r="J875" i="5"/>
  <c r="M738" i="5"/>
  <c r="F738" i="5" s="1"/>
  <c r="M767" i="5"/>
  <c r="F767" i="5" s="1"/>
  <c r="J789" i="5"/>
  <c r="M834" i="5"/>
  <c r="F834" i="5" s="1"/>
  <c r="M846" i="5"/>
  <c r="F846" i="5" s="1"/>
  <c r="M1004" i="5"/>
  <c r="F1004" i="5" s="1"/>
  <c r="J1053" i="5"/>
  <c r="J671" i="5"/>
  <c r="J681" i="5"/>
  <c r="M710" i="5"/>
  <c r="F710" i="5" s="1"/>
  <c r="M718" i="5"/>
  <c r="F718" i="5" s="1"/>
  <c r="M749" i="5"/>
  <c r="F749" i="5" s="1"/>
  <c r="M764" i="5"/>
  <c r="F764" i="5" s="1"/>
  <c r="M783" i="5"/>
  <c r="F783" i="5" s="1"/>
  <c r="M988" i="5"/>
  <c r="F988" i="5" s="1"/>
  <c r="M713" i="5"/>
  <c r="F713" i="5" s="1"/>
  <c r="M741" i="5"/>
  <c r="F741" i="5" s="1"/>
  <c r="M759" i="5"/>
  <c r="F759" i="5" s="1"/>
  <c r="M774" i="5"/>
  <c r="F774" i="5" s="1"/>
  <c r="M804" i="5"/>
  <c r="F804" i="5" s="1"/>
  <c r="M811" i="5"/>
  <c r="F811" i="5" s="1"/>
  <c r="J823" i="5"/>
  <c r="M826" i="5"/>
  <c r="F826" i="5" s="1"/>
  <c r="M956" i="5"/>
  <c r="F956" i="5" s="1"/>
  <c r="M963" i="5"/>
  <c r="F963" i="5" s="1"/>
  <c r="M969" i="5"/>
  <c r="F969" i="5" s="1"/>
  <c r="M655" i="5"/>
  <c r="F655" i="5" s="1"/>
  <c r="M727" i="5"/>
  <c r="F727" i="5" s="1"/>
  <c r="M744" i="5"/>
  <c r="F744" i="5" s="1"/>
  <c r="M799" i="5"/>
  <c r="F799" i="5" s="1"/>
  <c r="M820" i="5"/>
  <c r="F820" i="5" s="1"/>
  <c r="M853" i="5"/>
  <c r="F853" i="5" s="1"/>
  <c r="M937" i="5"/>
  <c r="F937" i="5" s="1"/>
  <c r="M946" i="5"/>
  <c r="F946" i="5" s="1"/>
  <c r="J960" i="5"/>
  <c r="M651" i="5"/>
  <c r="F651" i="5" s="1"/>
  <c r="M694" i="5"/>
  <c r="F694" i="5" s="1"/>
  <c r="J697" i="5"/>
  <c r="M735" i="5"/>
  <c r="F735" i="5" s="1"/>
  <c r="M771" i="5"/>
  <c r="F771" i="5" s="1"/>
  <c r="M805" i="5"/>
  <c r="F805" i="5" s="1"/>
  <c r="M832" i="5"/>
  <c r="F832" i="5" s="1"/>
  <c r="J600" i="5"/>
  <c r="J658" i="5"/>
  <c r="M662" i="5"/>
  <c r="F662" i="5" s="1"/>
  <c r="M669" i="5"/>
  <c r="F669" i="5" s="1"/>
  <c r="J674" i="5"/>
  <c r="M679" i="5"/>
  <c r="F679" i="5" s="1"/>
  <c r="M742" i="5"/>
  <c r="F742" i="5" s="1"/>
  <c r="J750" i="5"/>
  <c r="M781" i="5"/>
  <c r="F781" i="5" s="1"/>
  <c r="M787" i="5"/>
  <c r="F787" i="5" s="1"/>
  <c r="M793" i="5"/>
  <c r="F793" i="5" s="1"/>
  <c r="M817" i="5"/>
  <c r="F817" i="5" s="1"/>
  <c r="J596" i="5"/>
  <c r="J736" i="5"/>
  <c r="M745" i="5"/>
  <c r="F745" i="5" s="1"/>
  <c r="M812" i="5"/>
  <c r="F812" i="5" s="1"/>
  <c r="J828" i="5"/>
  <c r="M916" i="5"/>
  <c r="F916" i="5" s="1"/>
  <c r="M647" i="5"/>
  <c r="F647" i="5" s="1"/>
  <c r="M649" i="5"/>
  <c r="F649" i="5" s="1"/>
  <c r="J687" i="5"/>
  <c r="M711" i="5"/>
  <c r="F711" i="5" s="1"/>
  <c r="M722" i="5"/>
  <c r="F722" i="5" s="1"/>
  <c r="M757" i="5"/>
  <c r="F757" i="5" s="1"/>
  <c r="M934" i="5"/>
  <c r="F934" i="5" s="1"/>
  <c r="J625" i="5"/>
  <c r="M754" i="5"/>
  <c r="F754" i="5" s="1"/>
  <c r="M765" i="5"/>
  <c r="F765" i="5" s="1"/>
  <c r="M772" i="5"/>
  <c r="F772" i="5" s="1"/>
  <c r="M833" i="5"/>
  <c r="F833" i="5" s="1"/>
  <c r="M836" i="5"/>
  <c r="F836" i="5" s="1"/>
  <c r="M848" i="5"/>
  <c r="F848" i="5" s="1"/>
  <c r="M864" i="5"/>
  <c r="F864" i="5" s="1"/>
  <c r="J610" i="5"/>
  <c r="J641" i="5"/>
  <c r="J695" i="5"/>
  <c r="M719" i="5"/>
  <c r="F719" i="5" s="1"/>
  <c r="M733" i="5"/>
  <c r="F733" i="5" s="1"/>
  <c r="M809" i="5"/>
  <c r="F809" i="5" s="1"/>
  <c r="M656" i="5"/>
  <c r="F656" i="5" s="1"/>
  <c r="M665" i="5"/>
  <c r="F665" i="5" s="1"/>
  <c r="M692" i="5"/>
  <c r="F692" i="5" s="1"/>
  <c r="M725" i="5"/>
  <c r="F725" i="5" s="1"/>
  <c r="J791" i="5"/>
  <c r="J797" i="5"/>
  <c r="M803" i="5"/>
  <c r="F803" i="5" s="1"/>
  <c r="M830" i="5"/>
  <c r="F830" i="5" s="1"/>
  <c r="M841" i="5"/>
  <c r="F841" i="5" s="1"/>
  <c r="M896" i="5"/>
  <c r="F896" i="5" s="1"/>
  <c r="M850" i="5"/>
  <c r="F850" i="5" s="1"/>
  <c r="J861" i="5"/>
  <c r="M878" i="5"/>
  <c r="F878" i="5" s="1"/>
  <c r="M884" i="5"/>
  <c r="F884" i="5" s="1"/>
  <c r="M926" i="5"/>
  <c r="F926" i="5" s="1"/>
  <c r="M952" i="5"/>
  <c r="F952" i="5" s="1"/>
  <c r="M976" i="5"/>
  <c r="F976" i="5" s="1"/>
  <c r="M1000" i="5"/>
  <c r="F1000" i="5" s="1"/>
  <c r="M1158" i="5"/>
  <c r="F1158" i="5" s="1"/>
  <c r="J821" i="5"/>
  <c r="M872" i="5"/>
  <c r="F872" i="5" s="1"/>
  <c r="M930" i="5"/>
  <c r="F930" i="5" s="1"/>
  <c r="M940" i="5"/>
  <c r="F940" i="5" s="1"/>
  <c r="M1010" i="5"/>
  <c r="F1010" i="5" s="1"/>
  <c r="J1275" i="5"/>
  <c r="M895" i="5"/>
  <c r="F895" i="5" s="1"/>
  <c r="J902" i="5"/>
  <c r="J911" i="5"/>
  <c r="M918" i="5"/>
  <c r="F918" i="5" s="1"/>
  <c r="M977" i="5"/>
  <c r="F977" i="5" s="1"/>
  <c r="M994" i="5"/>
  <c r="F994" i="5" s="1"/>
  <c r="M1007" i="5"/>
  <c r="F1007" i="5" s="1"/>
  <c r="J768" i="5"/>
  <c r="J865" i="5"/>
  <c r="M879" i="5"/>
  <c r="F879" i="5" s="1"/>
  <c r="M953" i="5"/>
  <c r="F953" i="5" s="1"/>
  <c r="M957" i="5"/>
  <c r="F957" i="5" s="1"/>
  <c r="M964" i="5"/>
  <c r="F964" i="5" s="1"/>
  <c r="M970" i="5"/>
  <c r="F970" i="5" s="1"/>
  <c r="M980" i="5"/>
  <c r="F980" i="5" s="1"/>
  <c r="M1043" i="5"/>
  <c r="F1043" i="5" s="1"/>
  <c r="J859" i="5"/>
  <c r="M906" i="5"/>
  <c r="F906" i="5" s="1"/>
  <c r="M915" i="5"/>
  <c r="F915" i="5" s="1"/>
  <c r="J927" i="5"/>
  <c r="M943" i="5"/>
  <c r="F943" i="5" s="1"/>
  <c r="M947" i="5"/>
  <c r="F947" i="5" s="1"/>
  <c r="M961" i="5"/>
  <c r="F961" i="5" s="1"/>
  <c r="M1040" i="5"/>
  <c r="F1040" i="5" s="1"/>
  <c r="M1066" i="5"/>
  <c r="F1066" i="5" s="1"/>
  <c r="M1080" i="5"/>
  <c r="F1080" i="5" s="1"/>
  <c r="M851" i="5"/>
  <c r="F851" i="5" s="1"/>
  <c r="M856" i="5"/>
  <c r="F856" i="5" s="1"/>
  <c r="M868" i="5"/>
  <c r="F868" i="5" s="1"/>
  <c r="M870" i="5"/>
  <c r="F870" i="5" s="1"/>
  <c r="J873" i="5"/>
  <c r="M986" i="5"/>
  <c r="F986" i="5" s="1"/>
  <c r="J1018" i="5"/>
  <c r="M1027" i="5"/>
  <c r="F1027" i="5" s="1"/>
  <c r="M1115" i="5"/>
  <c r="F1115" i="5" s="1"/>
  <c r="M1119" i="5"/>
  <c r="F1119" i="5" s="1"/>
  <c r="M1202" i="5"/>
  <c r="F1202" i="5" s="1"/>
  <c r="J782" i="5"/>
  <c r="J824" i="5"/>
  <c r="M843" i="5"/>
  <c r="F843" i="5" s="1"/>
  <c r="M892" i="5"/>
  <c r="F892" i="5" s="1"/>
  <c r="M921" i="5"/>
  <c r="F921" i="5" s="1"/>
  <c r="M931" i="5"/>
  <c r="F931" i="5" s="1"/>
  <c r="M1011" i="5"/>
  <c r="F1011" i="5" s="1"/>
  <c r="M1050" i="5"/>
  <c r="F1050" i="5" s="1"/>
  <c r="M1193" i="5"/>
  <c r="F1193" i="5" s="1"/>
  <c r="J849" i="5"/>
  <c r="M919" i="5"/>
  <c r="F919" i="5" s="1"/>
  <c r="M944" i="5"/>
  <c r="F944" i="5" s="1"/>
  <c r="M958" i="5"/>
  <c r="F958" i="5" s="1"/>
  <c r="M992" i="5"/>
  <c r="F992" i="5" s="1"/>
  <c r="M1002" i="5"/>
  <c r="F1002" i="5" s="1"/>
  <c r="M1008" i="5"/>
  <c r="F1008" i="5" s="1"/>
  <c r="M1034" i="5"/>
  <c r="F1034" i="5" s="1"/>
  <c r="J844" i="5"/>
  <c r="M852" i="5"/>
  <c r="F852" i="5" s="1"/>
  <c r="M877" i="5"/>
  <c r="F877" i="5" s="1"/>
  <c r="M888" i="5"/>
  <c r="F888" i="5" s="1"/>
  <c r="M922" i="5"/>
  <c r="F922" i="5" s="1"/>
  <c r="M935" i="5"/>
  <c r="F935" i="5" s="1"/>
  <c r="M948" i="5"/>
  <c r="F948" i="5" s="1"/>
  <c r="M954" i="5"/>
  <c r="F954" i="5" s="1"/>
  <c r="J971" i="5"/>
  <c r="M974" i="5"/>
  <c r="F974" i="5" s="1"/>
  <c r="M1099" i="5"/>
  <c r="F1099" i="5" s="1"/>
  <c r="M854" i="5"/>
  <c r="F854" i="5" s="1"/>
  <c r="J857" i="5"/>
  <c r="M880" i="5"/>
  <c r="F880" i="5" s="1"/>
  <c r="M1041" i="5"/>
  <c r="F1041" i="5" s="1"/>
  <c r="J1180" i="5"/>
  <c r="J792" i="5"/>
  <c r="J800" i="5"/>
  <c r="M863" i="5"/>
  <c r="F863" i="5" s="1"/>
  <c r="M897" i="5"/>
  <c r="F897" i="5" s="1"/>
  <c r="J900" i="5"/>
  <c r="J904" i="5"/>
  <c r="M984" i="5"/>
  <c r="F984" i="5" s="1"/>
  <c r="M1084" i="5"/>
  <c r="F1084" i="5" s="1"/>
  <c r="M866" i="5"/>
  <c r="F866" i="5" s="1"/>
  <c r="M913" i="5"/>
  <c r="F913" i="5" s="1"/>
  <c r="M925" i="5"/>
  <c r="F925" i="5" s="1"/>
  <c r="M928" i="5"/>
  <c r="F928" i="5" s="1"/>
  <c r="M936" i="5"/>
  <c r="F936" i="5" s="1"/>
  <c r="M955" i="5"/>
  <c r="F955" i="5" s="1"/>
  <c r="M965" i="5"/>
  <c r="F965" i="5" s="1"/>
  <c r="J1003" i="5"/>
  <c r="M1048" i="5"/>
  <c r="F1048" i="5" s="1"/>
  <c r="M1174" i="5"/>
  <c r="F1174" i="5" s="1"/>
  <c r="M798" i="5"/>
  <c r="F798" i="5" s="1"/>
  <c r="J808" i="5"/>
  <c r="M822" i="5"/>
  <c r="F822" i="5" s="1"/>
  <c r="M835" i="5"/>
  <c r="F835" i="5" s="1"/>
  <c r="J842" i="5"/>
  <c r="M847" i="5"/>
  <c r="F847" i="5" s="1"/>
  <c r="M881" i="5"/>
  <c r="F881" i="5" s="1"/>
  <c r="M893" i="5"/>
  <c r="F893" i="5" s="1"/>
  <c r="M910" i="5"/>
  <c r="F910" i="5" s="1"/>
  <c r="J945" i="5"/>
  <c r="M949" i="5"/>
  <c r="F949" i="5" s="1"/>
  <c r="M972" i="5"/>
  <c r="F972" i="5" s="1"/>
  <c r="M1009" i="5"/>
  <c r="F1009" i="5" s="1"/>
  <c r="M1052" i="5"/>
  <c r="F1052" i="5" s="1"/>
  <c r="J1164" i="5"/>
  <c r="M874" i="5"/>
  <c r="F874" i="5" s="1"/>
  <c r="M929" i="5"/>
  <c r="F929" i="5" s="1"/>
  <c r="M933" i="5"/>
  <c r="F933" i="5" s="1"/>
  <c r="M966" i="5"/>
  <c r="F966" i="5" s="1"/>
  <c r="M979" i="5"/>
  <c r="F979" i="5" s="1"/>
  <c r="M1016" i="5"/>
  <c r="F1016" i="5" s="1"/>
  <c r="M1035" i="5"/>
  <c r="F1035" i="5" s="1"/>
  <c r="M1068" i="5"/>
  <c r="F1068" i="5" s="1"/>
  <c r="M1074" i="5"/>
  <c r="F1074" i="5" s="1"/>
  <c r="J1077" i="5"/>
  <c r="M1082" i="5"/>
  <c r="F1082" i="5" s="1"/>
  <c r="M1109" i="5"/>
  <c r="F1109" i="5" s="1"/>
  <c r="M1131" i="5"/>
  <c r="F1131" i="5" s="1"/>
  <c r="M1135" i="5"/>
  <c r="F1135" i="5" s="1"/>
  <c r="J1224" i="5"/>
  <c r="J1103" i="5"/>
  <c r="J1148" i="5"/>
  <c r="M1168" i="5"/>
  <c r="F1168" i="5" s="1"/>
  <c r="M1171" i="5"/>
  <c r="F1171" i="5" s="1"/>
  <c r="J1046" i="5"/>
  <c r="M1056" i="5"/>
  <c r="F1056" i="5" s="1"/>
  <c r="J1069" i="5"/>
  <c r="M1072" i="5"/>
  <c r="F1072" i="5" s="1"/>
  <c r="J1132" i="5"/>
  <c r="M1152" i="5"/>
  <c r="F1152" i="5" s="1"/>
  <c r="M1155" i="5"/>
  <c r="F1155" i="5" s="1"/>
  <c r="M1184" i="5"/>
  <c r="F1184" i="5" s="1"/>
  <c r="M1187" i="5"/>
  <c r="F1187" i="5" s="1"/>
  <c r="M1005" i="5"/>
  <c r="F1005" i="5" s="1"/>
  <c r="J1030" i="5"/>
  <c r="M1058" i="5"/>
  <c r="F1058" i="5" s="1"/>
  <c r="J1061" i="5"/>
  <c r="M1086" i="5"/>
  <c r="F1086" i="5" s="1"/>
  <c r="J1116" i="5"/>
  <c r="M1136" i="5"/>
  <c r="F1136" i="5" s="1"/>
  <c r="M1139" i="5"/>
  <c r="F1139" i="5" s="1"/>
  <c r="J1256" i="5"/>
  <c r="J999" i="5"/>
  <c r="J1014" i="5"/>
  <c r="J1064" i="5"/>
  <c r="J1100" i="5"/>
  <c r="M1120" i="5"/>
  <c r="F1120" i="5" s="1"/>
  <c r="M1123" i="5"/>
  <c r="F1123" i="5" s="1"/>
  <c r="M1165" i="5"/>
  <c r="F1165" i="5" s="1"/>
  <c r="M1181" i="5"/>
  <c r="F1181" i="5" s="1"/>
  <c r="J975" i="5"/>
  <c r="J981" i="5"/>
  <c r="J989" i="5"/>
  <c r="J1028" i="5"/>
  <c r="M1051" i="5"/>
  <c r="F1051" i="5" s="1"/>
  <c r="M1094" i="5"/>
  <c r="F1094" i="5" s="1"/>
  <c r="M1104" i="5"/>
  <c r="F1104" i="5" s="1"/>
  <c r="M1107" i="5"/>
  <c r="F1107" i="5" s="1"/>
  <c r="M1142" i="5"/>
  <c r="F1142" i="5" s="1"/>
  <c r="M1149" i="5"/>
  <c r="F1149" i="5" s="1"/>
  <c r="M1190" i="5"/>
  <c r="F1190" i="5" s="1"/>
  <c r="J1012" i="5"/>
  <c r="M1054" i="5"/>
  <c r="F1054" i="5" s="1"/>
  <c r="M1126" i="5"/>
  <c r="F1126" i="5" s="1"/>
  <c r="M1133" i="5"/>
  <c r="F1133" i="5" s="1"/>
  <c r="M1159" i="5"/>
  <c r="F1159" i="5" s="1"/>
  <c r="M1175" i="5"/>
  <c r="F1175" i="5" s="1"/>
  <c r="M1194" i="5"/>
  <c r="F1194" i="5" s="1"/>
  <c r="M1197" i="5"/>
  <c r="F1197" i="5" s="1"/>
  <c r="M1037" i="5"/>
  <c r="F1037" i="5" s="1"/>
  <c r="M1070" i="5"/>
  <c r="F1070" i="5" s="1"/>
  <c r="J1095" i="5"/>
  <c r="M1110" i="5"/>
  <c r="F1110" i="5" s="1"/>
  <c r="M1117" i="5"/>
  <c r="F1117" i="5" s="1"/>
  <c r="M1143" i="5"/>
  <c r="F1143" i="5" s="1"/>
  <c r="M1169" i="5"/>
  <c r="F1169" i="5" s="1"/>
  <c r="M1191" i="5"/>
  <c r="F1191" i="5" s="1"/>
  <c r="M997" i="5"/>
  <c r="F997" i="5" s="1"/>
  <c r="M1021" i="5"/>
  <c r="F1021" i="5" s="1"/>
  <c r="M1044" i="5"/>
  <c r="F1044" i="5" s="1"/>
  <c r="M1078" i="5"/>
  <c r="F1078" i="5" s="1"/>
  <c r="J1087" i="5"/>
  <c r="M1092" i="5"/>
  <c r="F1092" i="5" s="1"/>
  <c r="M1101" i="5"/>
  <c r="F1101" i="5" s="1"/>
  <c r="M1127" i="5"/>
  <c r="F1127" i="5" s="1"/>
  <c r="M1153" i="5"/>
  <c r="F1153" i="5" s="1"/>
  <c r="M1162" i="5"/>
  <c r="F1162" i="5" s="1"/>
  <c r="M1166" i="5"/>
  <c r="F1166" i="5" s="1"/>
  <c r="M1178" i="5"/>
  <c r="F1178" i="5" s="1"/>
  <c r="M1182" i="5"/>
  <c r="F1182" i="5" s="1"/>
  <c r="M1185" i="5"/>
  <c r="F1185" i="5" s="1"/>
  <c r="M1204" i="5"/>
  <c r="F1204" i="5" s="1"/>
  <c r="M1222" i="5"/>
  <c r="F1222" i="5" s="1"/>
  <c r="M1111" i="5"/>
  <c r="F1111" i="5" s="1"/>
  <c r="M1137" i="5"/>
  <c r="F1137" i="5" s="1"/>
  <c r="M1146" i="5"/>
  <c r="F1146" i="5" s="1"/>
  <c r="M1150" i="5"/>
  <c r="F1150" i="5" s="1"/>
  <c r="M1229" i="5"/>
  <c r="F1229" i="5" s="1"/>
  <c r="J959" i="5"/>
  <c r="J1019" i="5"/>
  <c r="J1038" i="5"/>
  <c r="J1079" i="5"/>
  <c r="M1121" i="5"/>
  <c r="F1121" i="5" s="1"/>
  <c r="M1130" i="5"/>
  <c r="F1130" i="5" s="1"/>
  <c r="M1134" i="5"/>
  <c r="F1134" i="5" s="1"/>
  <c r="J998" i="5"/>
  <c r="J1022" i="5"/>
  <c r="M1076" i="5"/>
  <c r="F1076" i="5" s="1"/>
  <c r="M1098" i="5"/>
  <c r="F1098" i="5" s="1"/>
  <c r="M1105" i="5"/>
  <c r="F1105" i="5" s="1"/>
  <c r="M1114" i="5"/>
  <c r="F1114" i="5" s="1"/>
  <c r="M1118" i="5"/>
  <c r="F1118" i="5" s="1"/>
  <c r="M1062" i="5"/>
  <c r="F1062" i="5" s="1"/>
  <c r="J1071" i="5"/>
  <c r="M1090" i="5"/>
  <c r="F1090" i="5" s="1"/>
  <c r="J1093" i="5"/>
  <c r="M1102" i="5"/>
  <c r="F1102" i="5" s="1"/>
  <c r="M1157" i="5"/>
  <c r="F1157" i="5" s="1"/>
  <c r="M1173" i="5"/>
  <c r="F1173" i="5" s="1"/>
  <c r="M1236" i="5"/>
  <c r="F1236" i="5" s="1"/>
  <c r="M1254" i="5"/>
  <c r="F1254" i="5" s="1"/>
  <c r="J996" i="5"/>
  <c r="J1013" i="5"/>
  <c r="J1015" i="5"/>
  <c r="M1024" i="5"/>
  <c r="F1024" i="5" s="1"/>
  <c r="J1036" i="5"/>
  <c r="M1141" i="5"/>
  <c r="F1141" i="5" s="1"/>
  <c r="M1163" i="5"/>
  <c r="F1163" i="5" s="1"/>
  <c r="M1167" i="5"/>
  <c r="F1167" i="5" s="1"/>
  <c r="M1179" i="5"/>
  <c r="F1179" i="5" s="1"/>
  <c r="M1183" i="5"/>
  <c r="F1183" i="5" s="1"/>
  <c r="M1189" i="5"/>
  <c r="F1189" i="5" s="1"/>
  <c r="M1261" i="5"/>
  <c r="F1261" i="5" s="1"/>
  <c r="J1020" i="5"/>
  <c r="J1063" i="5"/>
  <c r="J1085" i="5"/>
  <c r="M1088" i="5"/>
  <c r="F1088" i="5" s="1"/>
  <c r="M1125" i="5"/>
  <c r="F1125" i="5" s="1"/>
  <c r="M1147" i="5"/>
  <c r="F1147" i="5" s="1"/>
  <c r="M1151" i="5"/>
  <c r="F1151" i="5" s="1"/>
  <c r="M1214" i="5"/>
  <c r="F1214" i="5" s="1"/>
  <c r="J1219" i="5"/>
  <c r="M1246" i="5"/>
  <c r="F1246" i="5" s="1"/>
  <c r="J1251" i="5"/>
  <c r="M1266" i="5"/>
  <c r="F1266" i="5" s="1"/>
  <c r="J1284" i="5"/>
  <c r="J1288" i="5"/>
  <c r="J1292" i="5"/>
  <c r="J1296" i="5"/>
  <c r="J1207" i="5"/>
  <c r="J1227" i="5"/>
  <c r="J1239" i="5"/>
  <c r="J1259" i="5"/>
  <c r="J1281" i="5"/>
  <c r="M1212" i="5"/>
  <c r="F1212" i="5" s="1"/>
  <c r="J1217" i="5"/>
  <c r="M1244" i="5"/>
  <c r="F1244" i="5" s="1"/>
  <c r="J1249" i="5"/>
  <c r="M1272" i="5"/>
  <c r="F1272" i="5" s="1"/>
  <c r="J1267" i="5"/>
  <c r="M1278" i="5"/>
  <c r="F1278" i="5" s="1"/>
  <c r="M1300" i="5"/>
  <c r="F1300" i="5" s="1"/>
  <c r="M1304" i="5"/>
  <c r="F1304" i="5" s="1"/>
  <c r="M1308" i="5"/>
  <c r="F1308" i="5" s="1"/>
  <c r="M1312" i="5"/>
  <c r="F1312" i="5" s="1"/>
  <c r="M1316" i="5"/>
  <c r="F1316" i="5" s="1"/>
  <c r="M1320" i="5"/>
  <c r="F1320" i="5" s="1"/>
  <c r="M1324" i="5"/>
  <c r="F1324" i="5" s="1"/>
  <c r="M1328" i="5"/>
  <c r="F1328" i="5" s="1"/>
  <c r="M1332" i="5"/>
  <c r="F1332" i="5" s="1"/>
  <c r="M1336" i="5"/>
  <c r="F1336" i="5" s="1"/>
  <c r="M1340" i="5"/>
  <c r="F1340" i="5" s="1"/>
  <c r="M1344" i="5"/>
  <c r="F1344" i="5" s="1"/>
  <c r="M1348" i="5"/>
  <c r="F1348" i="5" s="1"/>
  <c r="M1352" i="5"/>
  <c r="F1352" i="5" s="1"/>
  <c r="M1356" i="5"/>
  <c r="F1356" i="5" s="1"/>
  <c r="M1360" i="5"/>
  <c r="F1360" i="5" s="1"/>
  <c r="M1264" i="5"/>
  <c r="F1264" i="5" s="1"/>
  <c r="J1285" i="5"/>
  <c r="J1289" i="5"/>
  <c r="J1293" i="5"/>
  <c r="J1297" i="5"/>
  <c r="J1301" i="5"/>
  <c r="J1305" i="5"/>
  <c r="J1309" i="5"/>
  <c r="J1313" i="5"/>
  <c r="J1317" i="5"/>
  <c r="J1321" i="5"/>
  <c r="J1325" i="5"/>
  <c r="J1329" i="5"/>
  <c r="J1333" i="5"/>
  <c r="J1337" i="5"/>
  <c r="J1341" i="5"/>
  <c r="J1345" i="5"/>
  <c r="J1349" i="5"/>
  <c r="J1353" i="5"/>
  <c r="J1357" i="5"/>
  <c r="J1361" i="5"/>
  <c r="J1205" i="5"/>
  <c r="J1225" i="5"/>
  <c r="J1237" i="5"/>
  <c r="J1257" i="5"/>
  <c r="J1273" i="5"/>
  <c r="M1210" i="5"/>
  <c r="F1210" i="5" s="1"/>
  <c r="M1232" i="5"/>
  <c r="F1232" i="5" s="1"/>
  <c r="M1234" i="5"/>
  <c r="F1234" i="5" s="1"/>
  <c r="M1242" i="5"/>
  <c r="F1242" i="5" s="1"/>
  <c r="J1279" i="5"/>
  <c r="M1220" i="5"/>
  <c r="F1220" i="5" s="1"/>
  <c r="M1252" i="5"/>
  <c r="F1252" i="5" s="1"/>
  <c r="M1262" i="5"/>
  <c r="F1262" i="5" s="1"/>
  <c r="J1265" i="5"/>
  <c r="M1270" i="5"/>
  <c r="F1270" i="5" s="1"/>
  <c r="M1276" i="5"/>
  <c r="F1276" i="5" s="1"/>
  <c r="J1203" i="5"/>
  <c r="M1230" i="5"/>
  <c r="F1230" i="5" s="1"/>
  <c r="J1235" i="5"/>
  <c r="J1286" i="5"/>
  <c r="J1290" i="5"/>
  <c r="J1294" i="5"/>
  <c r="M1362" i="5"/>
  <c r="F1362" i="5" s="1"/>
  <c r="J1201" i="5"/>
  <c r="J1211" i="5"/>
  <c r="J1223" i="5"/>
  <c r="J1243" i="5"/>
  <c r="J1255" i="5"/>
  <c r="M1208" i="5"/>
  <c r="F1208" i="5" s="1"/>
  <c r="M1228" i="5"/>
  <c r="F1228" i="5" s="1"/>
  <c r="J1233" i="5"/>
  <c r="M1240" i="5"/>
  <c r="F1240" i="5" s="1"/>
  <c r="M1260" i="5"/>
  <c r="F1260" i="5" s="1"/>
  <c r="J1271" i="5"/>
  <c r="M1268" i="5"/>
  <c r="F1268" i="5" s="1"/>
  <c r="M1274" i="5"/>
  <c r="F1274" i="5" s="1"/>
  <c r="J1283" i="5"/>
  <c r="J1287" i="5"/>
  <c r="J1291" i="5"/>
  <c r="J1295" i="5"/>
  <c r="J1299" i="5"/>
  <c r="J1303" i="5"/>
  <c r="J1307" i="5"/>
  <c r="J1311" i="5"/>
  <c r="J1315" i="5"/>
  <c r="J1319" i="5"/>
  <c r="J1323" i="5"/>
  <c r="J1327" i="5"/>
  <c r="J1331" i="5"/>
  <c r="J1335" i="5"/>
  <c r="J1339" i="5"/>
  <c r="J1343" i="5"/>
  <c r="J1347" i="5"/>
  <c r="J1351" i="5"/>
  <c r="J1355" i="5"/>
  <c r="J1359" i="5"/>
  <c r="J1209" i="5"/>
  <c r="J1221" i="5"/>
  <c r="J1241" i="5"/>
  <c r="J1253" i="5"/>
  <c r="M1363" i="5"/>
  <c r="F1363" i="5" s="1"/>
  <c r="M1206" i="5"/>
  <c r="F1206" i="5" s="1"/>
  <c r="M1216" i="5"/>
  <c r="F1216" i="5" s="1"/>
  <c r="M1218" i="5"/>
  <c r="F1218" i="5" s="1"/>
  <c r="M1226" i="5"/>
  <c r="F1226" i="5" s="1"/>
  <c r="M1238" i="5"/>
  <c r="F1238" i="5" s="1"/>
  <c r="M1248" i="5"/>
  <c r="F1248" i="5" s="1"/>
  <c r="M1250" i="5"/>
  <c r="F1250" i="5" s="1"/>
  <c r="M1258" i="5"/>
  <c r="F1258" i="5" s="1"/>
  <c r="M1280" i="5"/>
  <c r="F1280" i="5" s="1"/>
  <c r="J1364" i="5"/>
  <c r="J1269" i="5"/>
  <c r="M1299" i="5" l="1"/>
  <c r="F1299" i="5" s="1"/>
  <c r="M1325" i="5"/>
  <c r="F1325" i="5" s="1"/>
  <c r="M1256" i="5"/>
  <c r="F1256" i="5" s="1"/>
  <c r="M824" i="5"/>
  <c r="F824" i="5" s="1"/>
  <c r="M1275" i="5"/>
  <c r="F1275" i="5" s="1"/>
  <c r="M126" i="5"/>
  <c r="F126" i="5" s="1"/>
  <c r="M1295" i="5"/>
  <c r="F1295" i="5" s="1"/>
  <c r="M1211" i="5"/>
  <c r="F1211" i="5" s="1"/>
  <c r="M1251" i="5"/>
  <c r="F1251" i="5" s="1"/>
  <c r="M461" i="5"/>
  <c r="F461" i="5" s="1"/>
  <c r="M471" i="5"/>
  <c r="F471" i="5" s="1"/>
  <c r="M558" i="5"/>
  <c r="F558" i="5" s="1"/>
  <c r="M309" i="5"/>
  <c r="F309" i="5" s="1"/>
  <c r="M120" i="5"/>
  <c r="F120" i="5" s="1"/>
  <c r="M136" i="5"/>
  <c r="F136" i="5" s="1"/>
  <c r="M340" i="5"/>
  <c r="F340" i="5" s="1"/>
  <c r="K141" i="4"/>
  <c r="F141" i="4"/>
  <c r="F50" i="4"/>
  <c r="K50" i="4"/>
  <c r="K282" i="4"/>
  <c r="F282" i="4"/>
  <c r="K32" i="1"/>
  <c r="M1209" i="5"/>
  <c r="F1209" i="5" s="1"/>
  <c r="M1293" i="5"/>
  <c r="F1293" i="5" s="1"/>
  <c r="M1013" i="5"/>
  <c r="F1013" i="5" s="1"/>
  <c r="M849" i="5"/>
  <c r="F849" i="5" s="1"/>
  <c r="M768" i="5"/>
  <c r="F768" i="5" s="1"/>
  <c r="M590" i="5"/>
  <c r="F590" i="5" s="1"/>
  <c r="M644" i="5"/>
  <c r="F644" i="5" s="1"/>
  <c r="M597" i="5"/>
  <c r="F597" i="5" s="1"/>
  <c r="M142" i="5"/>
  <c r="F142" i="5" s="1"/>
  <c r="M1359" i="5"/>
  <c r="F1359" i="5" s="1"/>
  <c r="M1321" i="5"/>
  <c r="F1321" i="5" s="1"/>
  <c r="M1269" i="5"/>
  <c r="F1269" i="5" s="1"/>
  <c r="M1273" i="5"/>
  <c r="F1273" i="5" s="1"/>
  <c r="M1217" i="5"/>
  <c r="F1217" i="5" s="1"/>
  <c r="M975" i="5"/>
  <c r="F975" i="5" s="1"/>
  <c r="M1069" i="5"/>
  <c r="F1069" i="5" s="1"/>
  <c r="M842" i="5"/>
  <c r="F842" i="5" s="1"/>
  <c r="M1180" i="5"/>
  <c r="F1180" i="5" s="1"/>
  <c r="M750" i="5"/>
  <c r="F750" i="5" s="1"/>
  <c r="M664" i="5"/>
  <c r="F664" i="5" s="1"/>
  <c r="M574" i="5"/>
  <c r="F574" i="5" s="1"/>
  <c r="M418" i="5"/>
  <c r="F418" i="5" s="1"/>
  <c r="M358" i="5"/>
  <c r="F358" i="5" s="1"/>
  <c r="M170" i="5"/>
  <c r="F170" i="5" s="1"/>
  <c r="M108" i="5"/>
  <c r="F108" i="5" s="1"/>
  <c r="F36" i="4"/>
  <c r="K36" i="4"/>
  <c r="K298" i="4"/>
  <c r="F298" i="4"/>
  <c r="K85" i="4"/>
  <c r="F85" i="4"/>
  <c r="F144" i="4"/>
  <c r="K144" i="4"/>
  <c r="K125" i="4"/>
  <c r="F125" i="4"/>
  <c r="M11" i="5"/>
  <c r="F11" i="5" s="1"/>
  <c r="M1271" i="5"/>
  <c r="F1271" i="5" s="1"/>
  <c r="M1053" i="5"/>
  <c r="F1053" i="5" s="1"/>
  <c r="M448" i="5"/>
  <c r="F448" i="5" s="1"/>
  <c r="M238" i="5"/>
  <c r="F238" i="5" s="1"/>
  <c r="M186" i="5"/>
  <c r="F186" i="5" s="1"/>
  <c r="M1327" i="5"/>
  <c r="F1327" i="5" s="1"/>
  <c r="M1353" i="5"/>
  <c r="F1353" i="5" s="1"/>
  <c r="M1289" i="5"/>
  <c r="F1289" i="5" s="1"/>
  <c r="M1085" i="5"/>
  <c r="F1085" i="5" s="1"/>
  <c r="M1071" i="5"/>
  <c r="F1071" i="5" s="1"/>
  <c r="M1355" i="5"/>
  <c r="F1355" i="5" s="1"/>
  <c r="M1323" i="5"/>
  <c r="F1323" i="5" s="1"/>
  <c r="M1291" i="5"/>
  <c r="F1291" i="5" s="1"/>
  <c r="M1201" i="5"/>
  <c r="F1201" i="5" s="1"/>
  <c r="M1349" i="5"/>
  <c r="F1349" i="5" s="1"/>
  <c r="M1317" i="5"/>
  <c r="F1317" i="5" s="1"/>
  <c r="M1285" i="5"/>
  <c r="F1285" i="5" s="1"/>
  <c r="M1267" i="5"/>
  <c r="F1267" i="5" s="1"/>
  <c r="M800" i="5"/>
  <c r="F800" i="5" s="1"/>
  <c r="M859" i="5"/>
  <c r="F859" i="5" s="1"/>
  <c r="M797" i="5"/>
  <c r="F797" i="5" s="1"/>
  <c r="M477" i="5"/>
  <c r="F477" i="5" s="1"/>
  <c r="M308" i="5"/>
  <c r="F308" i="5" s="1"/>
  <c r="M374" i="5"/>
  <c r="F374" i="5" s="1"/>
  <c r="M293" i="5"/>
  <c r="F293" i="5" s="1"/>
  <c r="M376" i="5"/>
  <c r="F376" i="5" s="1"/>
  <c r="M82" i="5"/>
  <c r="F82" i="5" s="1"/>
  <c r="M162" i="5"/>
  <c r="F162" i="5" s="1"/>
  <c r="M298" i="5"/>
  <c r="F298" i="5" s="1"/>
  <c r="M222" i="5"/>
  <c r="F222" i="5" s="1"/>
  <c r="K133" i="4"/>
  <c r="F133" i="4"/>
  <c r="M59" i="5"/>
  <c r="F59" i="5" s="1"/>
  <c r="K330" i="4"/>
  <c r="F330" i="4"/>
  <c r="K5" i="5"/>
  <c r="M98" i="5"/>
  <c r="F98" i="5" s="1"/>
  <c r="M1063" i="5"/>
  <c r="F1063" i="5" s="1"/>
  <c r="M1079" i="5"/>
  <c r="F1079" i="5" s="1"/>
  <c r="M695" i="5"/>
  <c r="F695" i="5" s="1"/>
  <c r="M572" i="5"/>
  <c r="F572" i="5" s="1"/>
  <c r="M310" i="5"/>
  <c r="F310" i="5" s="1"/>
  <c r="M154" i="5"/>
  <c r="F154" i="5" s="1"/>
  <c r="M116" i="5"/>
  <c r="F116" i="5" s="1"/>
  <c r="M1351" i="5"/>
  <c r="F1351" i="5" s="1"/>
  <c r="M1319" i="5"/>
  <c r="F1319" i="5" s="1"/>
  <c r="M1287" i="5"/>
  <c r="F1287" i="5" s="1"/>
  <c r="M1233" i="5"/>
  <c r="F1233" i="5" s="1"/>
  <c r="M1237" i="5"/>
  <c r="F1237" i="5" s="1"/>
  <c r="M1345" i="5"/>
  <c r="F1345" i="5" s="1"/>
  <c r="M1313" i="5"/>
  <c r="F1313" i="5" s="1"/>
  <c r="M1219" i="5"/>
  <c r="F1219" i="5" s="1"/>
  <c r="M1116" i="5"/>
  <c r="F1116" i="5" s="1"/>
  <c r="M791" i="5"/>
  <c r="F791" i="5" s="1"/>
  <c r="M641" i="5"/>
  <c r="F641" i="5" s="1"/>
  <c r="M524" i="5"/>
  <c r="F524" i="5" s="1"/>
  <c r="M459" i="5"/>
  <c r="F459" i="5" s="1"/>
  <c r="M508" i="5"/>
  <c r="F508" i="5" s="1"/>
  <c r="M275" i="5"/>
  <c r="F275" i="5" s="1"/>
  <c r="M487" i="5"/>
  <c r="F487" i="5" s="1"/>
  <c r="M356" i="5"/>
  <c r="F356" i="5" s="1"/>
  <c r="M210" i="5"/>
  <c r="F210" i="5" s="1"/>
  <c r="M280" i="5"/>
  <c r="F280" i="5" s="1"/>
  <c r="M208" i="5"/>
  <c r="F208" i="5" s="1"/>
  <c r="K355" i="4"/>
  <c r="F355" i="4"/>
  <c r="K55" i="4"/>
  <c r="F55" i="4"/>
  <c r="K52" i="4"/>
  <c r="F52" i="4"/>
  <c r="F98" i="4"/>
  <c r="K98" i="4"/>
  <c r="M174" i="5"/>
  <c r="F174" i="5" s="1"/>
  <c r="M1364" i="5"/>
  <c r="F1364" i="5" s="1"/>
  <c r="M792" i="5"/>
  <c r="F792" i="5" s="1"/>
  <c r="M736" i="5"/>
  <c r="F736" i="5" s="1"/>
  <c r="M720" i="5"/>
  <c r="F720" i="5" s="1"/>
  <c r="M526" i="5"/>
  <c r="F526" i="5" s="1"/>
  <c r="M1290" i="5"/>
  <c r="F1290" i="5" s="1"/>
  <c r="M1281" i="5"/>
  <c r="F1281" i="5" s="1"/>
  <c r="M1020" i="5"/>
  <c r="F1020" i="5" s="1"/>
  <c r="M1046" i="5"/>
  <c r="F1046" i="5" s="1"/>
  <c r="M808" i="5"/>
  <c r="F808" i="5" s="1"/>
  <c r="M610" i="5"/>
  <c r="F610" i="5" s="1"/>
  <c r="M687" i="5"/>
  <c r="F687" i="5" s="1"/>
  <c r="M457" i="5"/>
  <c r="F457" i="5" s="1"/>
  <c r="M540" i="5"/>
  <c r="F540" i="5" s="1"/>
  <c r="M386" i="5"/>
  <c r="F386" i="5" s="1"/>
  <c r="M476" i="5"/>
  <c r="F476" i="5" s="1"/>
  <c r="M458" i="5"/>
  <c r="F458" i="5" s="1"/>
  <c r="F72" i="4"/>
  <c r="K72" i="4"/>
  <c r="K266" i="4"/>
  <c r="F266" i="4"/>
  <c r="F34" i="4"/>
  <c r="K34" i="4"/>
  <c r="F40" i="4"/>
  <c r="K40" i="4"/>
  <c r="K338" i="4"/>
  <c r="F338" i="4"/>
  <c r="K218" i="4"/>
  <c r="F218" i="4"/>
  <c r="M638" i="5"/>
  <c r="F638" i="5" s="1"/>
  <c r="M88" i="5"/>
  <c r="F88" i="5" s="1"/>
  <c r="M132" i="5"/>
  <c r="F132" i="5" s="1"/>
  <c r="M96" i="5"/>
  <c r="F96" i="5" s="1"/>
  <c r="M89" i="5"/>
  <c r="F89" i="5" s="1"/>
  <c r="M1347" i="5"/>
  <c r="F1347" i="5" s="1"/>
  <c r="M1315" i="5"/>
  <c r="F1315" i="5" s="1"/>
  <c r="M1283" i="5"/>
  <c r="F1283" i="5" s="1"/>
  <c r="M1341" i="5"/>
  <c r="F1341" i="5" s="1"/>
  <c r="M1309" i="5"/>
  <c r="F1309" i="5" s="1"/>
  <c r="M1296" i="5"/>
  <c r="F1296" i="5" s="1"/>
  <c r="M821" i="5"/>
  <c r="F821" i="5" s="1"/>
  <c r="M861" i="5"/>
  <c r="F861" i="5" s="1"/>
  <c r="M646" i="5"/>
  <c r="F646" i="5" s="1"/>
  <c r="M556" i="5"/>
  <c r="F556" i="5" s="1"/>
  <c r="M503" i="5"/>
  <c r="F503" i="5" s="1"/>
  <c r="M294" i="5"/>
  <c r="F294" i="5" s="1"/>
  <c r="M326" i="5"/>
  <c r="F326" i="5" s="1"/>
  <c r="M446" i="5"/>
  <c r="F446" i="5" s="1"/>
  <c r="M226" i="5"/>
  <c r="F226" i="5" s="1"/>
  <c r="M146" i="5"/>
  <c r="F146" i="5" s="1"/>
  <c r="M242" i="5"/>
  <c r="F242" i="5" s="1"/>
  <c r="K234" i="4"/>
  <c r="F234" i="4"/>
  <c r="F114" i="4"/>
  <c r="K114" i="4"/>
  <c r="K5" i="4"/>
  <c r="M1257" i="5"/>
  <c r="F1257" i="5" s="1"/>
  <c r="M1259" i="5"/>
  <c r="F1259" i="5" s="1"/>
  <c r="M1038" i="5"/>
  <c r="F1038" i="5" s="1"/>
  <c r="M945" i="5"/>
  <c r="F945" i="5" s="1"/>
  <c r="M865" i="5"/>
  <c r="F865" i="5" s="1"/>
  <c r="M734" i="5"/>
  <c r="F734" i="5" s="1"/>
  <c r="M507" i="5"/>
  <c r="F507" i="5" s="1"/>
  <c r="M845" i="5"/>
  <c r="F845" i="5" s="1"/>
  <c r="M372" i="5"/>
  <c r="F372" i="5" s="1"/>
  <c r="M240" i="5"/>
  <c r="F240" i="5" s="1"/>
  <c r="K32" i="4"/>
  <c r="F32" i="4"/>
  <c r="K77" i="4"/>
  <c r="F77" i="4"/>
  <c r="K37" i="4"/>
  <c r="F37" i="4"/>
  <c r="M1343" i="5"/>
  <c r="F1343" i="5" s="1"/>
  <c r="M1311" i="5"/>
  <c r="F1311" i="5" s="1"/>
  <c r="M1279" i="5"/>
  <c r="F1279" i="5" s="1"/>
  <c r="M1205" i="5"/>
  <c r="F1205" i="5" s="1"/>
  <c r="M1337" i="5"/>
  <c r="F1337" i="5" s="1"/>
  <c r="M1305" i="5"/>
  <c r="F1305" i="5" s="1"/>
  <c r="M1292" i="5"/>
  <c r="F1292" i="5" s="1"/>
  <c r="M1061" i="5"/>
  <c r="F1061" i="5" s="1"/>
  <c r="M911" i="5"/>
  <c r="F911" i="5" s="1"/>
  <c r="M626" i="5"/>
  <c r="F626" i="5" s="1"/>
  <c r="M420" i="5"/>
  <c r="F420" i="5" s="1"/>
  <c r="M344" i="5"/>
  <c r="F344" i="5" s="1"/>
  <c r="M370" i="5"/>
  <c r="F370" i="5" s="1"/>
  <c r="M328" i="5"/>
  <c r="F328" i="5" s="1"/>
  <c r="M325" i="5"/>
  <c r="F325" i="5" s="1"/>
  <c r="M176" i="5"/>
  <c r="F176" i="5" s="1"/>
  <c r="M148" i="5"/>
  <c r="F148" i="5" s="1"/>
  <c r="F39" i="4"/>
  <c r="K39" i="4"/>
  <c r="K23" i="4"/>
  <c r="F23" i="4"/>
  <c r="M3" i="4" s="1"/>
  <c r="K45" i="4"/>
  <c r="F45" i="4"/>
  <c r="K101" i="4"/>
  <c r="F101" i="4"/>
  <c r="M158" i="5"/>
  <c r="F158" i="5" s="1"/>
  <c r="K202" i="4"/>
  <c r="F202" i="4"/>
  <c r="K27" i="1"/>
  <c r="M1225" i="5"/>
  <c r="F1225" i="5" s="1"/>
  <c r="M789" i="5"/>
  <c r="F789" i="5" s="1"/>
  <c r="K290" i="4"/>
  <c r="F290" i="4"/>
  <c r="M1235" i="5"/>
  <c r="F1235" i="5" s="1"/>
  <c r="M1239" i="5"/>
  <c r="F1239" i="5" s="1"/>
  <c r="M1036" i="5"/>
  <c r="F1036" i="5" s="1"/>
  <c r="M1022" i="5"/>
  <c r="F1022" i="5" s="1"/>
  <c r="M1019" i="5"/>
  <c r="F1019" i="5" s="1"/>
  <c r="M1095" i="5"/>
  <c r="F1095" i="5" s="1"/>
  <c r="M1064" i="5"/>
  <c r="F1064" i="5" s="1"/>
  <c r="M1077" i="5"/>
  <c r="F1077" i="5" s="1"/>
  <c r="M904" i="5"/>
  <c r="F904" i="5" s="1"/>
  <c r="M1018" i="5"/>
  <c r="F1018" i="5" s="1"/>
  <c r="M697" i="5"/>
  <c r="F697" i="5" s="1"/>
  <c r="M495" i="5"/>
  <c r="F495" i="5" s="1"/>
  <c r="M489" i="5"/>
  <c r="F489" i="5" s="1"/>
  <c r="M443" i="5"/>
  <c r="F443" i="5" s="1"/>
  <c r="M766" i="5"/>
  <c r="F766" i="5" s="1"/>
  <c r="M342" i="5"/>
  <c r="F342" i="5" s="1"/>
  <c r="M388" i="5"/>
  <c r="F388" i="5" s="1"/>
  <c r="M112" i="5"/>
  <c r="F112" i="5" s="1"/>
  <c r="M122" i="5"/>
  <c r="F122" i="5" s="1"/>
  <c r="M258" i="5"/>
  <c r="F258" i="5" s="1"/>
  <c r="M106" i="5"/>
  <c r="F106" i="5" s="1"/>
  <c r="M72" i="5"/>
  <c r="F72" i="5" s="1"/>
  <c r="F58" i="4"/>
  <c r="K58" i="4"/>
  <c r="K31" i="4"/>
  <c r="F31" i="4"/>
  <c r="K322" i="4"/>
  <c r="F322" i="4"/>
  <c r="K274" i="4"/>
  <c r="F274" i="4"/>
  <c r="K35" i="1"/>
  <c r="M1331" i="5"/>
  <c r="F1331" i="5" s="1"/>
  <c r="M1294" i="5"/>
  <c r="F1294" i="5" s="1"/>
  <c r="M823" i="5"/>
  <c r="F823" i="5" s="1"/>
  <c r="M1288" i="5"/>
  <c r="F1288" i="5" s="1"/>
  <c r="M1087" i="5"/>
  <c r="F1087" i="5" s="1"/>
  <c r="M1028" i="5"/>
  <c r="F1028" i="5" s="1"/>
  <c r="M902" i="5"/>
  <c r="F902" i="5" s="1"/>
  <c r="M625" i="5"/>
  <c r="F625" i="5" s="1"/>
  <c r="M475" i="5"/>
  <c r="F475" i="5" s="1"/>
  <c r="M752" i="5"/>
  <c r="F752" i="5" s="1"/>
  <c r="M505" i="5"/>
  <c r="F505" i="5" s="1"/>
  <c r="M292" i="5"/>
  <c r="F292" i="5" s="1"/>
  <c r="M618" i="5"/>
  <c r="F618" i="5" s="1"/>
  <c r="M341" i="5"/>
  <c r="F341" i="5" s="1"/>
  <c r="M404" i="5"/>
  <c r="F404" i="5" s="1"/>
  <c r="M190" i="5"/>
  <c r="F190" i="5" s="1"/>
  <c r="L32" i="1"/>
  <c r="L26" i="1"/>
  <c r="L28" i="1"/>
  <c r="L31" i="1"/>
  <c r="L25" i="1"/>
  <c r="L24" i="1"/>
  <c r="L30" i="1"/>
  <c r="L40" i="1"/>
  <c r="L35" i="1"/>
  <c r="L27" i="1"/>
  <c r="M220" i="5"/>
  <c r="F220" i="5" s="1"/>
  <c r="K226" i="4"/>
  <c r="F226" i="4"/>
  <c r="F64" i="4"/>
  <c r="K64" i="4"/>
  <c r="M43" i="5"/>
  <c r="F43" i="5" s="1"/>
  <c r="M27" i="5"/>
  <c r="F27" i="5" s="1"/>
  <c r="P3" i="5" s="1"/>
  <c r="K93" i="4"/>
  <c r="F93" i="4"/>
  <c r="K28" i="1"/>
  <c r="M1265" i="5"/>
  <c r="F1265" i="5" s="1"/>
  <c r="M875" i="5"/>
  <c r="F875" i="5" s="1"/>
  <c r="M75" i="5"/>
  <c r="F75" i="5" s="1"/>
  <c r="M1241" i="5"/>
  <c r="F1241" i="5" s="1"/>
  <c r="M1221" i="5"/>
  <c r="F1221" i="5" s="1"/>
  <c r="M1227" i="5"/>
  <c r="F1227" i="5" s="1"/>
  <c r="M998" i="5"/>
  <c r="F998" i="5" s="1"/>
  <c r="M1012" i="5"/>
  <c r="F1012" i="5" s="1"/>
  <c r="M1014" i="5"/>
  <c r="F1014" i="5" s="1"/>
  <c r="M1148" i="5"/>
  <c r="F1148" i="5" s="1"/>
  <c r="M900" i="5"/>
  <c r="F900" i="5" s="1"/>
  <c r="M681" i="5"/>
  <c r="F681" i="5" s="1"/>
  <c r="M795" i="5"/>
  <c r="F795" i="5" s="1"/>
  <c r="M704" i="5"/>
  <c r="F704" i="5" s="1"/>
  <c r="M579" i="5"/>
  <c r="F579" i="5" s="1"/>
  <c r="M450" i="5"/>
  <c r="F450" i="5" s="1"/>
  <c r="M104" i="5"/>
  <c r="F104" i="5" s="1"/>
  <c r="M254" i="5"/>
  <c r="F254" i="5" s="1"/>
  <c r="K306" i="4"/>
  <c r="F306" i="4"/>
  <c r="K250" i="4"/>
  <c r="F250" i="4"/>
  <c r="K117" i="4"/>
  <c r="F117" i="4"/>
  <c r="K347" i="4"/>
  <c r="F347" i="4"/>
  <c r="K40" i="1"/>
  <c r="M857" i="5"/>
  <c r="F857" i="5" s="1"/>
  <c r="M674" i="5"/>
  <c r="F674" i="5" s="1"/>
  <c r="M445" i="5"/>
  <c r="F445" i="5" s="1"/>
  <c r="M444" i="5"/>
  <c r="F444" i="5" s="1"/>
  <c r="M138" i="5"/>
  <c r="F138" i="5" s="1"/>
  <c r="M94" i="5"/>
  <c r="F94" i="5" s="1"/>
  <c r="M1307" i="5"/>
  <c r="F1307" i="5" s="1"/>
  <c r="M1301" i="5"/>
  <c r="F1301" i="5" s="1"/>
  <c r="M1335" i="5"/>
  <c r="F1335" i="5" s="1"/>
  <c r="M1303" i="5"/>
  <c r="F1303" i="5" s="1"/>
  <c r="M1243" i="5"/>
  <c r="F1243" i="5" s="1"/>
  <c r="M1361" i="5"/>
  <c r="F1361" i="5" s="1"/>
  <c r="M1329" i="5"/>
  <c r="F1329" i="5" s="1"/>
  <c r="M1297" i="5"/>
  <c r="F1297" i="5" s="1"/>
  <c r="M1284" i="5"/>
  <c r="F1284" i="5" s="1"/>
  <c r="M959" i="5"/>
  <c r="F959" i="5" s="1"/>
  <c r="M999" i="5"/>
  <c r="F999" i="5" s="1"/>
  <c r="M1030" i="5"/>
  <c r="F1030" i="5" s="1"/>
  <c r="M927" i="5"/>
  <c r="F927" i="5" s="1"/>
  <c r="M828" i="5"/>
  <c r="F828" i="5" s="1"/>
  <c r="M658" i="5"/>
  <c r="F658" i="5" s="1"/>
  <c r="M960" i="5"/>
  <c r="F960" i="5" s="1"/>
  <c r="M277" i="5"/>
  <c r="F277" i="5" s="1"/>
  <c r="M307" i="5"/>
  <c r="F307" i="5" s="1"/>
  <c r="M312" i="5"/>
  <c r="F312" i="5" s="1"/>
  <c r="M84" i="5"/>
  <c r="F84" i="5" s="1"/>
  <c r="M114" i="5"/>
  <c r="F114" i="5" s="1"/>
  <c r="M184" i="5"/>
  <c r="F184" i="5" s="1"/>
  <c r="M206" i="5"/>
  <c r="F206" i="5" s="1"/>
  <c r="M194" i="5"/>
  <c r="F194" i="5" s="1"/>
  <c r="K61" i="4"/>
  <c r="F61" i="4"/>
  <c r="K258" i="4"/>
  <c r="F258" i="4"/>
  <c r="F79" i="4"/>
  <c r="K79" i="4"/>
  <c r="K30" i="1"/>
  <c r="M1223" i="5"/>
  <c r="F1223" i="5" s="1"/>
  <c r="M1253" i="5"/>
  <c r="F1253" i="5" s="1"/>
  <c r="M1286" i="5"/>
  <c r="F1286" i="5" s="1"/>
  <c r="M1100" i="5"/>
  <c r="F1100" i="5" s="1"/>
  <c r="M402" i="5"/>
  <c r="F402" i="5" s="1"/>
  <c r="M270" i="5"/>
  <c r="F270" i="5" s="1"/>
  <c r="F69" i="4"/>
  <c r="K69" i="4"/>
  <c r="K314" i="4"/>
  <c r="F314" i="4"/>
  <c r="M1339" i="5"/>
  <c r="F1339" i="5" s="1"/>
  <c r="M1255" i="5"/>
  <c r="F1255" i="5" s="1"/>
  <c r="M1333" i="5"/>
  <c r="F1333" i="5" s="1"/>
  <c r="M1203" i="5"/>
  <c r="F1203" i="5" s="1"/>
  <c r="M1249" i="5"/>
  <c r="F1249" i="5" s="1"/>
  <c r="M1207" i="5"/>
  <c r="F1207" i="5" s="1"/>
  <c r="M1015" i="5"/>
  <c r="F1015" i="5" s="1"/>
  <c r="M1093" i="5"/>
  <c r="F1093" i="5" s="1"/>
  <c r="M1132" i="5"/>
  <c r="F1132" i="5" s="1"/>
  <c r="M1103" i="5"/>
  <c r="F1103" i="5" s="1"/>
  <c r="M1164" i="5"/>
  <c r="F1164" i="5" s="1"/>
  <c r="M1003" i="5"/>
  <c r="F1003" i="5" s="1"/>
  <c r="M600" i="5"/>
  <c r="F600" i="5" s="1"/>
  <c r="M671" i="5"/>
  <c r="F671" i="5" s="1"/>
  <c r="M491" i="5"/>
  <c r="F491" i="5" s="1"/>
  <c r="M485" i="5"/>
  <c r="F485" i="5" s="1"/>
  <c r="M628" i="5"/>
  <c r="F628" i="5" s="1"/>
  <c r="M588" i="5"/>
  <c r="F588" i="5" s="1"/>
  <c r="M273" i="5"/>
  <c r="F273" i="5" s="1"/>
  <c r="M360" i="5"/>
  <c r="F360" i="5" s="1"/>
  <c r="M160" i="5"/>
  <c r="F160" i="5" s="1"/>
  <c r="M110" i="5"/>
  <c r="F110" i="5" s="1"/>
  <c r="K109" i="4"/>
  <c r="F109" i="4"/>
  <c r="K242" i="4"/>
  <c r="F242" i="4"/>
  <c r="K210" i="4"/>
  <c r="F210" i="4"/>
  <c r="K53" i="4"/>
  <c r="F53" i="4"/>
  <c r="K25" i="1"/>
  <c r="K42" i="1" s="1"/>
  <c r="K31" i="1"/>
  <c r="J42" i="1"/>
  <c r="M1357" i="5"/>
  <c r="F1357" i="5" s="1"/>
  <c r="M989" i="5"/>
  <c r="F989" i="5" s="1"/>
  <c r="M596" i="5"/>
  <c r="F596" i="5" s="1"/>
  <c r="M473" i="5"/>
  <c r="F473" i="5" s="1"/>
  <c r="M77" i="5"/>
  <c r="F77" i="5" s="1"/>
  <c r="M192" i="5"/>
  <c r="F192" i="5" s="1"/>
  <c r="M996" i="5"/>
  <c r="F996" i="5" s="1"/>
  <c r="M981" i="5"/>
  <c r="F981" i="5" s="1"/>
  <c r="M1224" i="5"/>
  <c r="F1224" i="5" s="1"/>
  <c r="M971" i="5"/>
  <c r="F971" i="5" s="1"/>
  <c r="M844" i="5"/>
  <c r="F844" i="5" s="1"/>
  <c r="M782" i="5"/>
  <c r="F782" i="5" s="1"/>
  <c r="M873" i="5"/>
  <c r="F873" i="5" s="1"/>
  <c r="M640" i="5"/>
  <c r="F640" i="5" s="1"/>
  <c r="M542" i="5"/>
  <c r="F542" i="5" s="1"/>
  <c r="M622" i="5"/>
  <c r="F622" i="5" s="1"/>
  <c r="M296" i="5"/>
  <c r="F296" i="5" s="1"/>
  <c r="M128" i="5"/>
  <c r="F128" i="5" s="1"/>
  <c r="M144" i="5"/>
  <c r="F144" i="5" s="1"/>
  <c r="M130" i="5"/>
  <c r="F130" i="5" s="1"/>
  <c r="M178" i="5"/>
  <c r="F178" i="5" s="1"/>
  <c r="F88" i="4"/>
  <c r="K88" i="4"/>
  <c r="M224" i="5"/>
  <c r="F224" i="5" s="1"/>
  <c r="L42" i="1" l="1"/>
</calcChain>
</file>

<file path=xl/connections.xml><?xml version="1.0" encoding="utf-8"?>
<connections xmlns="http://schemas.openxmlformats.org/spreadsheetml/2006/main">
  <connection id="1" sourceFile="C:\Users\COURTS LAE\Documents\0_2023\ICT office\5. Application Development Services\district_database 16.3.11v8.xlsm" odcFile="C:\Users\COURTS LAE\Documents\My Data Sources\district_database 16 Paris$.odc" keepAlive="1" name="district_database 16 Paris$" type="5" refreshedVersion="0">
    <dbPr connection="Provider=Microsoft.ACE.OLEDB.12.0;User ID=Admin;Data Source=C:\Users\COURTS LAE\Documents\0_2023\ICT office\5. Application Development Services\district_database 16.3.11v8.xlsm;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Paris$" commandType="3"/>
  </connection>
</connections>
</file>

<file path=xl/sharedStrings.xml><?xml version="1.0" encoding="utf-8"?>
<sst xmlns="http://schemas.openxmlformats.org/spreadsheetml/2006/main" count="3999" uniqueCount="1884">
  <si>
    <t>Welcome to the District Code Record</t>
  </si>
  <si>
    <t>Welcome to the raw district coding system</t>
  </si>
  <si>
    <t>The purpose of this project is to consolidate codes for all district, parish, seket and congregation of ELCPNG</t>
  </si>
  <si>
    <t>District Code Records</t>
  </si>
  <si>
    <t>The coding per district, seket, parish and congregation are respectively arraged in three alphanumeric character as follows:</t>
  </si>
  <si>
    <t>as of March 2023</t>
  </si>
  <si>
    <t xml:space="preserve">District code </t>
  </si>
  <si>
    <t>Dxx</t>
  </si>
  <si>
    <t>Distict codes begin with the alphabet "D" and folled by two digit number. Example, D01, D03 etc…</t>
  </si>
  <si>
    <t>Seket Code</t>
  </si>
  <si>
    <t>Dxx-Sxx</t>
  </si>
  <si>
    <t>Seket code is a combination of its respective district code followed by a three alphanumeric character beginning with the letter "S"</t>
  </si>
  <si>
    <t>for example: D01-S04 which represent Seket 4 in District 1</t>
  </si>
  <si>
    <t>District</t>
  </si>
  <si>
    <t>Parish Code</t>
  </si>
  <si>
    <t>Dxx-Sxx-Pxx</t>
  </si>
  <si>
    <t>The Parish code captures the district and seket code where it is under followed by its respective pCode wich is a three alphanumeric beginning with the letter "P"</t>
  </si>
  <si>
    <t>for example: D04-S05-P02</t>
  </si>
  <si>
    <t>Congregation Code</t>
  </si>
  <si>
    <t>Dxx-Sxx-Pxx-Kxx</t>
  </si>
  <si>
    <t>The Congregation code captures the parish code of its respective parish then followed by its kCode which is a alphanumeric of three characters beginning with "K"</t>
  </si>
  <si>
    <t>Seket</t>
  </si>
  <si>
    <t>for example: D08-S05-P-04-K03</t>
  </si>
  <si>
    <t>sCode, pCode, kCode</t>
  </si>
  <si>
    <t>you would see this header sCode in Seket, pCode in Parish and kCode in Congregation. These are the intermediate codes that are entered inorder to generate the respective</t>
  </si>
  <si>
    <t>seketCode, parishCode and congCode</t>
  </si>
  <si>
    <t>Parish</t>
  </si>
  <si>
    <t>Summary</t>
  </si>
  <si>
    <t>These are the summary of the table listings. You will realise that is not fully updated yet per the summary totals. The updating is still in progress as of the date this system was set up</t>
  </si>
  <si>
    <t>Congregation</t>
  </si>
  <si>
    <t>1. Overall Total</t>
  </si>
  <si>
    <t>2. Total per districts</t>
  </si>
  <si>
    <t>3. List Sekets per districts</t>
  </si>
  <si>
    <t>Disticts</t>
  </si>
  <si>
    <t>tot Seket</t>
  </si>
  <si>
    <t>tot Parish</t>
  </si>
  <si>
    <t>tot Cong</t>
  </si>
  <si>
    <t>number of seket</t>
  </si>
  <si>
    <t>Circuits</t>
  </si>
  <si>
    <t>Kâte</t>
  </si>
  <si>
    <t>Parishes</t>
  </si>
  <si>
    <t>Jabem</t>
  </si>
  <si>
    <t>Congregations</t>
  </si>
  <si>
    <t>Madang</t>
  </si>
  <si>
    <t>Karkar</t>
  </si>
  <si>
    <t>Siassi</t>
  </si>
  <si>
    <t>Ukata</t>
  </si>
  <si>
    <t>Boana</t>
  </si>
  <si>
    <t>Mumeng</t>
  </si>
  <si>
    <t>NGI</t>
  </si>
  <si>
    <t>Papua</t>
  </si>
  <si>
    <t>NA</t>
  </si>
  <si>
    <t>Goroka</t>
  </si>
  <si>
    <t>Kainantu</t>
  </si>
  <si>
    <t>Simbu</t>
  </si>
  <si>
    <t>Grand Total</t>
  </si>
  <si>
    <t>East Simbu</t>
  </si>
  <si>
    <t>Jiwaka</t>
  </si>
  <si>
    <t>Hagen</t>
  </si>
  <si>
    <t>Emmanuel</t>
  </si>
  <si>
    <t>total</t>
  </si>
  <si>
    <t>4.List and number of congregation, per district, seket, parish</t>
  </si>
  <si>
    <t>5. List and number of Parishes per district, seket</t>
  </si>
  <si>
    <t>Dist/Seket/Parish</t>
  </si>
  <si>
    <t>number of cong</t>
  </si>
  <si>
    <t>Districts</t>
  </si>
  <si>
    <t>number of Parish</t>
  </si>
  <si>
    <t>District Codes</t>
  </si>
  <si>
    <t>DistCode</t>
  </si>
  <si>
    <t>Dist Name</t>
  </si>
  <si>
    <t>D01</t>
  </si>
  <si>
    <t>D02</t>
  </si>
  <si>
    <t>D03</t>
  </si>
  <si>
    <t>D04</t>
  </si>
  <si>
    <t>D05</t>
  </si>
  <si>
    <t>D06</t>
  </si>
  <si>
    <t>D07</t>
  </si>
  <si>
    <t>D08</t>
  </si>
  <si>
    <t>D09</t>
  </si>
  <si>
    <t>D10</t>
  </si>
  <si>
    <t>D11</t>
  </si>
  <si>
    <t>D12</t>
  </si>
  <si>
    <t>D13</t>
  </si>
  <si>
    <t>Is Simbu</t>
  </si>
  <si>
    <t>D14</t>
  </si>
  <si>
    <t>D15</t>
  </si>
  <si>
    <t>D16</t>
  </si>
  <si>
    <t>D17</t>
  </si>
  <si>
    <t>Imanuel</t>
  </si>
  <si>
    <t>Seket Codes</t>
  </si>
  <si>
    <t>Seket Information</t>
  </si>
  <si>
    <t>total rows</t>
  </si>
  <si>
    <t>SeketCode</t>
  </si>
  <si>
    <t>distName</t>
  </si>
  <si>
    <t>scode</t>
  </si>
  <si>
    <t>SeketName</t>
  </si>
  <si>
    <t>S01</t>
  </si>
  <si>
    <t>Kalasa</t>
  </si>
  <si>
    <t>S02</t>
  </si>
  <si>
    <t>Dedua</t>
  </si>
  <si>
    <t>S03</t>
  </si>
  <si>
    <t>Sattelberg</t>
  </si>
  <si>
    <t>S04</t>
  </si>
  <si>
    <t>Qembung</t>
  </si>
  <si>
    <t>S05</t>
  </si>
  <si>
    <t>Hube</t>
  </si>
  <si>
    <t>S06</t>
  </si>
  <si>
    <t>Somba</t>
  </si>
  <si>
    <t>S07</t>
  </si>
  <si>
    <t>Zaka</t>
  </si>
  <si>
    <t>S08</t>
  </si>
  <si>
    <t>Garaina</t>
  </si>
  <si>
    <t>Aseki</t>
  </si>
  <si>
    <t>Deka</t>
  </si>
  <si>
    <t>Buang</t>
  </si>
  <si>
    <t>Kaiapit</t>
  </si>
  <si>
    <t>Kainantiba</t>
  </si>
  <si>
    <t>Lae City</t>
  </si>
  <si>
    <t xml:space="preserve">Lae </t>
  </si>
  <si>
    <t>Laulu</t>
  </si>
  <si>
    <t>S09</t>
  </si>
  <si>
    <t>Malalo</t>
  </si>
  <si>
    <t>S10</t>
  </si>
  <si>
    <t>Menyamya</t>
  </si>
  <si>
    <t>S11</t>
  </si>
  <si>
    <t>Sangang</t>
  </si>
  <si>
    <t>S12</t>
  </si>
  <si>
    <t>Wampar</t>
  </si>
  <si>
    <t>S13</t>
  </si>
  <si>
    <t>Wantoat</t>
  </si>
  <si>
    <t>S14</t>
  </si>
  <si>
    <t>Amele</t>
  </si>
  <si>
    <t>Bongu</t>
  </si>
  <si>
    <t>Biliau</t>
  </si>
  <si>
    <t>Begesin</t>
  </si>
  <si>
    <t>Kabak</t>
  </si>
  <si>
    <t>Ranara</t>
  </si>
  <si>
    <t>Madang Taun</t>
  </si>
  <si>
    <t>Wanuma</t>
  </si>
  <si>
    <t>Samoan</t>
  </si>
  <si>
    <t>Bumsol</t>
  </si>
  <si>
    <t>Kulubob</t>
  </si>
  <si>
    <t>Bagiai</t>
  </si>
  <si>
    <t>Tagub</t>
  </si>
  <si>
    <t>Bagabag</t>
  </si>
  <si>
    <t>Zone 1: Molap</t>
  </si>
  <si>
    <t>Zone 2: Bula</t>
  </si>
  <si>
    <t>Komba</t>
  </si>
  <si>
    <t>Kabwum</t>
  </si>
  <si>
    <t>Timbe</t>
  </si>
  <si>
    <t>Yalumet</t>
  </si>
  <si>
    <t>Sio-Stolz</t>
  </si>
  <si>
    <t>Ulap</t>
  </si>
  <si>
    <t>Wewebo</t>
  </si>
  <si>
    <t>Tapen</t>
  </si>
  <si>
    <t>Teptep</t>
  </si>
  <si>
    <t>Nankina</t>
  </si>
  <si>
    <t>Zone 1: Erap</t>
  </si>
  <si>
    <t>Zone 2: Wain</t>
  </si>
  <si>
    <t>Zone 3: Nabak</t>
  </si>
  <si>
    <t>Zone 1</t>
  </si>
  <si>
    <t>Zone 2</t>
  </si>
  <si>
    <t>Zone 3</t>
  </si>
  <si>
    <t>Zone 4</t>
  </si>
  <si>
    <t>Zone 5</t>
  </si>
  <si>
    <t>Kimbe</t>
  </si>
  <si>
    <t>Biala</t>
  </si>
  <si>
    <t>Rabaul</t>
  </si>
  <si>
    <t>Kevieng</t>
  </si>
  <si>
    <t>Tarabo</t>
  </si>
  <si>
    <t>Fayantina</t>
  </si>
  <si>
    <t>Rongo</t>
  </si>
  <si>
    <t>Asaroka</t>
  </si>
  <si>
    <t>Hongugo</t>
  </si>
  <si>
    <t>Goroka Taun</t>
  </si>
  <si>
    <t>Bena</t>
  </si>
  <si>
    <t>Simbru</t>
  </si>
  <si>
    <t>Kagai</t>
  </si>
  <si>
    <t>Membitamba</t>
  </si>
  <si>
    <t>Takondo</t>
  </si>
  <si>
    <t>Ega</t>
  </si>
  <si>
    <t>Mu</t>
  </si>
  <si>
    <t>Monono</t>
  </si>
  <si>
    <t>Keano</t>
  </si>
  <si>
    <t>Toandong</t>
  </si>
  <si>
    <t>Kâte/Yabem Memorial</t>
  </si>
  <si>
    <t>Nulanil</t>
  </si>
  <si>
    <t>Omkolai</t>
  </si>
  <si>
    <t>Kelepa</t>
  </si>
  <si>
    <t>S15</t>
  </si>
  <si>
    <t>Nomane</t>
  </si>
  <si>
    <t>S16</t>
  </si>
  <si>
    <t>Kundiawa Taun</t>
  </si>
  <si>
    <t>S17</t>
  </si>
  <si>
    <t>Mul</t>
  </si>
  <si>
    <t>Parish Codes</t>
  </si>
  <si>
    <t>total rows:</t>
  </si>
  <si>
    <t>parishCode</t>
  </si>
  <si>
    <t>disName</t>
  </si>
  <si>
    <t>sCode</t>
  </si>
  <si>
    <t>seketCode</t>
  </si>
  <si>
    <t>seketName</t>
  </si>
  <si>
    <t>pCode</t>
  </si>
  <si>
    <t>Paris Name</t>
  </si>
  <si>
    <t>P01</t>
  </si>
  <si>
    <t>Amugen</t>
  </si>
  <si>
    <t>P02</t>
  </si>
  <si>
    <t>Tigasu</t>
  </si>
  <si>
    <t>P03</t>
  </si>
  <si>
    <t>Kanome</t>
  </si>
  <si>
    <t>P04</t>
  </si>
  <si>
    <t>Ririwo</t>
  </si>
  <si>
    <t>P05</t>
  </si>
  <si>
    <t>Gegibo</t>
  </si>
  <si>
    <t>P06</t>
  </si>
  <si>
    <t>Gitukia</t>
  </si>
  <si>
    <t>P07</t>
  </si>
  <si>
    <t>Botara</t>
  </si>
  <si>
    <t>P08</t>
  </si>
  <si>
    <t>Tibaki</t>
  </si>
  <si>
    <t>Yumeng</t>
  </si>
  <si>
    <t>Munsel</t>
  </si>
  <si>
    <t>Masa</t>
  </si>
  <si>
    <t>Yasire</t>
  </si>
  <si>
    <t>Koyoza</t>
  </si>
  <si>
    <t>Zazozo</t>
  </si>
  <si>
    <t>Huwago</t>
  </si>
  <si>
    <t>Efa</t>
  </si>
  <si>
    <t>Bomaza</t>
  </si>
  <si>
    <t>Zukiba</t>
  </si>
  <si>
    <t>Fosama</t>
  </si>
  <si>
    <t>Agororo</t>
  </si>
  <si>
    <t>Sasibona</t>
  </si>
  <si>
    <t>Wemo</t>
  </si>
  <si>
    <t>Kitaka</t>
  </si>
  <si>
    <t>P09</t>
  </si>
  <si>
    <t>Keregia</t>
  </si>
  <si>
    <t>P10</t>
  </si>
  <si>
    <t>Wandokai</t>
  </si>
  <si>
    <t>P11</t>
  </si>
  <si>
    <t>Wareo</t>
  </si>
  <si>
    <t>P12</t>
  </si>
  <si>
    <t>Zamesa</t>
  </si>
  <si>
    <t>Guramoti</t>
  </si>
  <si>
    <t>Hamaka</t>
  </si>
  <si>
    <t>Babuso</t>
  </si>
  <si>
    <t>Kulungtufu</t>
  </si>
  <si>
    <t>Joangeng</t>
  </si>
  <si>
    <t>Kuma</t>
  </si>
  <si>
    <t>Dopi</t>
  </si>
  <si>
    <t>Foria</t>
  </si>
  <si>
    <t>Ebabang</t>
  </si>
  <si>
    <t>Jowacnuc</t>
  </si>
  <si>
    <t>Lalang</t>
  </si>
  <si>
    <t>Siri</t>
  </si>
  <si>
    <t>Tobou</t>
  </si>
  <si>
    <t>Wengai</t>
  </si>
  <si>
    <t>Gang</t>
  </si>
  <si>
    <t>Buze</t>
  </si>
  <si>
    <t>Sagiro</t>
  </si>
  <si>
    <t>Kemaip</t>
  </si>
  <si>
    <t>Batoneng</t>
  </si>
  <si>
    <t>Zamai</t>
  </si>
  <si>
    <t>Oga</t>
  </si>
  <si>
    <t>Jekora</t>
  </si>
  <si>
    <t>Kwuabaso</t>
  </si>
  <si>
    <t>Sado</t>
  </si>
  <si>
    <t>Duka</t>
  </si>
  <si>
    <t>Nange</t>
  </si>
  <si>
    <t>Biangai</t>
  </si>
  <si>
    <t>Biaru</t>
  </si>
  <si>
    <t>Waria</t>
  </si>
  <si>
    <t>Ono</t>
  </si>
  <si>
    <t>Bubu</t>
  </si>
  <si>
    <t>Guhusamane</t>
  </si>
  <si>
    <t>Di Kapu</t>
  </si>
  <si>
    <t>Kapu</t>
  </si>
  <si>
    <t>Wayona</t>
  </si>
  <si>
    <t>Kapao</t>
  </si>
  <si>
    <t>Aiya</t>
  </si>
  <si>
    <t>Pouyu</t>
  </si>
  <si>
    <t>Tawa</t>
  </si>
  <si>
    <t>Kaparkona</t>
  </si>
  <si>
    <t>Busong</t>
  </si>
  <si>
    <t>Deinzerhill</t>
  </si>
  <si>
    <t>Busini</t>
  </si>
  <si>
    <t>Manga</t>
  </si>
  <si>
    <t>Sangas</t>
  </si>
  <si>
    <t>Mapos</t>
  </si>
  <si>
    <t>Bulantem</t>
  </si>
  <si>
    <t>Gwein</t>
  </si>
  <si>
    <t>Biangkoun</t>
  </si>
  <si>
    <t>Wantun</t>
  </si>
  <si>
    <t>Afa</t>
  </si>
  <si>
    <t>Kisim Bek (Umi)</t>
  </si>
  <si>
    <t>Yangkwan</t>
  </si>
  <si>
    <t>St. Ketulam (Yawa)</t>
  </si>
  <si>
    <t>Yarus</t>
  </si>
  <si>
    <t>St. Josia</t>
  </si>
  <si>
    <t>Betel</t>
  </si>
  <si>
    <t>Yati</t>
  </si>
  <si>
    <t>Gama</t>
  </si>
  <si>
    <t>Gugurup</t>
  </si>
  <si>
    <t>Guruf</t>
  </si>
  <si>
    <t>Apataiwa</t>
  </si>
  <si>
    <t>Kawaini</t>
  </si>
  <si>
    <t>Ambuini</t>
  </si>
  <si>
    <t>Tauri</t>
  </si>
  <si>
    <t>Bethel</t>
  </si>
  <si>
    <t>Sios of Hope</t>
  </si>
  <si>
    <t>Wanbel</t>
  </si>
  <si>
    <t>Kisim Bek</t>
  </si>
  <si>
    <t>Benong</t>
  </si>
  <si>
    <t>Kaisa</t>
  </si>
  <si>
    <t>Our Saviour</t>
  </si>
  <si>
    <t>Mt. Zion</t>
  </si>
  <si>
    <t>St. Timothy</t>
  </si>
  <si>
    <t>Trinity</t>
  </si>
  <si>
    <t>Intung</t>
  </si>
  <si>
    <t>St. Barnabas</t>
  </si>
  <si>
    <t>P13</t>
  </si>
  <si>
    <t>Busu</t>
  </si>
  <si>
    <t>P14</t>
  </si>
  <si>
    <t>Redeemer</t>
  </si>
  <si>
    <t>P15</t>
  </si>
  <si>
    <t>Calvary</t>
  </si>
  <si>
    <t>P16</t>
  </si>
  <si>
    <t>Resurrection</t>
  </si>
  <si>
    <t>St. Steven</t>
  </si>
  <si>
    <t>St. Mathew</t>
  </si>
  <si>
    <t>St. Hiob</t>
  </si>
  <si>
    <t>Schmutterer</t>
  </si>
  <si>
    <t>St. Philips</t>
  </si>
  <si>
    <t>Poaba</t>
  </si>
  <si>
    <t>St. Peter</t>
  </si>
  <si>
    <t>St. Andrews</t>
  </si>
  <si>
    <t>St. Pauls</t>
  </si>
  <si>
    <t>St. Solomon</t>
  </si>
  <si>
    <t>Situm</t>
  </si>
  <si>
    <t>Apo</t>
  </si>
  <si>
    <t>Wagang</t>
  </si>
  <si>
    <t>Mesem</t>
  </si>
  <si>
    <t>Miya</t>
  </si>
  <si>
    <t>Banuya</t>
  </si>
  <si>
    <t>Ho</t>
  </si>
  <si>
    <t>Mubo</t>
  </si>
  <si>
    <t>Kamiatam</t>
  </si>
  <si>
    <t>Wabubu</t>
  </si>
  <si>
    <t>Kesiwaga</t>
  </si>
  <si>
    <t>Buakap</t>
  </si>
  <si>
    <t>Kelamu</t>
  </si>
  <si>
    <t>Kaia (Seyem)</t>
  </si>
  <si>
    <t>Bananuwe</t>
  </si>
  <si>
    <t>Bater</t>
  </si>
  <si>
    <t>Freund Memorial</t>
  </si>
  <si>
    <t>Hengiapa</t>
  </si>
  <si>
    <t>Konkodia</t>
  </si>
  <si>
    <t>Wapi</t>
  </si>
  <si>
    <t>Himaya</t>
  </si>
  <si>
    <t>Hakwange</t>
  </si>
  <si>
    <t>Watama</t>
  </si>
  <si>
    <t>St. John</t>
  </si>
  <si>
    <t>Sikong</t>
  </si>
  <si>
    <t>Kapo</t>
  </si>
  <si>
    <t>Tsewi</t>
  </si>
  <si>
    <t>Kwaplalim</t>
  </si>
  <si>
    <t>Jai</t>
  </si>
  <si>
    <t>Saking</t>
  </si>
  <si>
    <t>Daum</t>
  </si>
  <si>
    <t>Ngawasi</t>
  </si>
  <si>
    <t>St. Paul</t>
  </si>
  <si>
    <t>Waswas</t>
  </si>
  <si>
    <t>St. Ben</t>
  </si>
  <si>
    <t>St. Titus</t>
  </si>
  <si>
    <t>Erap</t>
  </si>
  <si>
    <t>Sampi</t>
  </si>
  <si>
    <t>Saga</t>
  </si>
  <si>
    <t>Awara (Kulang)</t>
  </si>
  <si>
    <t>Bumbum</t>
  </si>
  <si>
    <t>Bungam</t>
  </si>
  <si>
    <t>Waga</t>
  </si>
  <si>
    <t>Muba</t>
  </si>
  <si>
    <t>Liki</t>
  </si>
  <si>
    <t>Matap</t>
  </si>
  <si>
    <t>Gibua</t>
  </si>
  <si>
    <t>Simbang</t>
  </si>
  <si>
    <t>Gingala</t>
  </si>
  <si>
    <t>Obasiga</t>
  </si>
  <si>
    <t>Gaso</t>
  </si>
  <si>
    <t>Buma</t>
  </si>
  <si>
    <t>Malasiga</t>
  </si>
  <si>
    <t>Nobonob</t>
  </si>
  <si>
    <t>Bel</t>
  </si>
  <si>
    <t>Furumu</t>
  </si>
  <si>
    <t>Silopi</t>
  </si>
  <si>
    <t>Marik</t>
  </si>
  <si>
    <t>Banub</t>
  </si>
  <si>
    <t>Sangpat</t>
  </si>
  <si>
    <t>Mendele</t>
  </si>
  <si>
    <t>Mebu</t>
  </si>
  <si>
    <t>Kawandam</t>
  </si>
  <si>
    <t>Yamkau</t>
  </si>
  <si>
    <t>Kemeralu</t>
  </si>
  <si>
    <t>Amoya</t>
  </si>
  <si>
    <t>Kama</t>
  </si>
  <si>
    <t>Kein</t>
  </si>
  <si>
    <t>Girawa</t>
  </si>
  <si>
    <t>Garia</t>
  </si>
  <si>
    <t>Sop</t>
  </si>
  <si>
    <t>Bundi</t>
  </si>
  <si>
    <t>Badibug</t>
  </si>
  <si>
    <t>Bunabun</t>
  </si>
  <si>
    <t>Nami</t>
  </si>
  <si>
    <t>Rau 1</t>
  </si>
  <si>
    <t>Rau 2</t>
  </si>
  <si>
    <t>Nahu 1</t>
  </si>
  <si>
    <t>Nahu 2</t>
  </si>
  <si>
    <t>Amben</t>
  </si>
  <si>
    <t>Ambon</t>
  </si>
  <si>
    <t>Mokati</t>
  </si>
  <si>
    <t>Abisan</t>
  </si>
  <si>
    <t>Poya</t>
  </si>
  <si>
    <t>Aigul</t>
  </si>
  <si>
    <t>Yamai</t>
  </si>
  <si>
    <t>Iru</t>
  </si>
  <si>
    <t>Malagu</t>
  </si>
  <si>
    <t>Narer</t>
  </si>
  <si>
    <t>Kiti</t>
  </si>
  <si>
    <t>Miak</t>
  </si>
  <si>
    <t>Makitu</t>
  </si>
  <si>
    <t>Hiru</t>
  </si>
  <si>
    <t>Titiri</t>
  </si>
  <si>
    <t>Yakam</t>
  </si>
  <si>
    <t>Heba</t>
  </si>
  <si>
    <t>Miro</t>
  </si>
  <si>
    <t>Mamak</t>
  </si>
  <si>
    <t>Sabubu</t>
  </si>
  <si>
    <t>Bua</t>
  </si>
  <si>
    <t>Labuk</t>
  </si>
  <si>
    <t>Yagudun</t>
  </si>
  <si>
    <t>Lulfoi</t>
  </si>
  <si>
    <t>Mugaer</t>
  </si>
  <si>
    <t>Malbog</t>
  </si>
  <si>
    <t>Yerr</t>
  </si>
  <si>
    <t>Sililai</t>
  </si>
  <si>
    <t>Kanab</t>
  </si>
  <si>
    <t>Buroi</t>
  </si>
  <si>
    <t>Urit</t>
  </si>
  <si>
    <t>Karuru</t>
  </si>
  <si>
    <t>Makudui</t>
  </si>
  <si>
    <t>Kabong</t>
  </si>
  <si>
    <t>Yau</t>
  </si>
  <si>
    <t>Luk</t>
  </si>
  <si>
    <t>Tador</t>
  </si>
  <si>
    <t>Badilu</t>
  </si>
  <si>
    <t>Aimalu</t>
  </si>
  <si>
    <t>Samanai</t>
  </si>
  <si>
    <t>Semo</t>
  </si>
  <si>
    <t>Padamot</t>
  </si>
  <si>
    <t>Tagob</t>
  </si>
  <si>
    <t>Umgon</t>
  </si>
  <si>
    <t>Nuru</t>
  </si>
  <si>
    <t>Mormor</t>
  </si>
  <si>
    <t>Mabi</t>
  </si>
  <si>
    <t>Laplap</t>
  </si>
  <si>
    <t>Aronai</t>
  </si>
  <si>
    <t>Gun</t>
  </si>
  <si>
    <t>Malai</t>
  </si>
  <si>
    <t>Tuam</t>
  </si>
  <si>
    <t>Giam</t>
  </si>
  <si>
    <t>Tosin</t>
  </si>
  <si>
    <t>Indagen</t>
  </si>
  <si>
    <t>Lamga</t>
  </si>
  <si>
    <t>Ununu</t>
  </si>
  <si>
    <t>Goma</t>
  </si>
  <si>
    <t>Usika</t>
  </si>
  <si>
    <t>Takngawe</t>
  </si>
  <si>
    <t>Mangam</t>
  </si>
  <si>
    <t>Tipsit</t>
  </si>
  <si>
    <t>Gekut</t>
  </si>
  <si>
    <t>Inweng</t>
  </si>
  <si>
    <t>Deguso</t>
  </si>
  <si>
    <t>Koniwa</t>
  </si>
  <si>
    <t>Disaen</t>
  </si>
  <si>
    <t>Timowon</t>
  </si>
  <si>
    <t>Motu</t>
  </si>
  <si>
    <t>Songin</t>
  </si>
  <si>
    <t>Derim Stesin</t>
  </si>
  <si>
    <t>Hengune</t>
  </si>
  <si>
    <t>Yandu</t>
  </si>
  <si>
    <t>Ondakey</t>
  </si>
  <si>
    <t>Munser</t>
  </si>
  <si>
    <t>Gaptamon</t>
  </si>
  <si>
    <t>Mabogaro</t>
  </si>
  <si>
    <t>Yaseta</t>
  </si>
  <si>
    <t>Wandabong</t>
  </si>
  <si>
    <t>Isan</t>
  </si>
  <si>
    <t>Keweng</t>
  </si>
  <si>
    <t>Utaguka</t>
  </si>
  <si>
    <t>Bungawat</t>
  </si>
  <si>
    <t>Gogiok</t>
  </si>
  <si>
    <t>Dinangat</t>
  </si>
  <si>
    <t>Matamo</t>
  </si>
  <si>
    <t>Umbek</t>
  </si>
  <si>
    <t>Gwarawon</t>
  </si>
  <si>
    <t>Bambu</t>
  </si>
  <si>
    <t>?</t>
  </si>
  <si>
    <t>Namibung</t>
  </si>
  <si>
    <t>Figosa</t>
  </si>
  <si>
    <t>St. Gimafa</t>
  </si>
  <si>
    <t>Mubago</t>
  </si>
  <si>
    <t>Sugu</t>
  </si>
  <si>
    <t>Masiba</t>
  </si>
  <si>
    <t>Gaing Kusip</t>
  </si>
  <si>
    <t>Kwepunung</t>
  </si>
  <si>
    <t>Bandong</t>
  </si>
  <si>
    <t>Gamiki</t>
  </si>
  <si>
    <t>Gusi</t>
  </si>
  <si>
    <t>Gewak</t>
  </si>
  <si>
    <t>Satukimo</t>
  </si>
  <si>
    <t>Yaqamu</t>
  </si>
  <si>
    <t>Baqata</t>
  </si>
  <si>
    <t>Tuni</t>
  </si>
  <si>
    <t>Roumi</t>
  </si>
  <si>
    <t>Mamasi</t>
  </si>
  <si>
    <t>Wau Taun</t>
  </si>
  <si>
    <t>Mubuwa</t>
  </si>
  <si>
    <t>Kaindi</t>
  </si>
  <si>
    <t>Yawadibu</t>
  </si>
  <si>
    <t>Moina</t>
  </si>
  <si>
    <t>Malangta</t>
  </si>
  <si>
    <t>Waikanda</t>
  </si>
  <si>
    <t>Andarira</t>
  </si>
  <si>
    <t>St. Loplam</t>
  </si>
  <si>
    <t>Kaukesa</t>
  </si>
  <si>
    <t>Interim</t>
  </si>
  <si>
    <t>Palakris</t>
  </si>
  <si>
    <t>Tauem</t>
  </si>
  <si>
    <t>Gawapu</t>
  </si>
  <si>
    <t>Timini</t>
  </si>
  <si>
    <t>Gurakor</t>
  </si>
  <si>
    <t>Ahiu</t>
  </si>
  <si>
    <t>Holi Triniti</t>
  </si>
  <si>
    <t>Buvusi</t>
  </si>
  <si>
    <t>Nahavio</t>
  </si>
  <si>
    <t>St. Daniel</t>
  </si>
  <si>
    <t>Mt. Zaion</t>
  </si>
  <si>
    <t>Sakius</t>
  </si>
  <si>
    <t>Kisiwerol</t>
  </si>
  <si>
    <t>Beter</t>
  </si>
  <si>
    <t>Fusa</t>
  </si>
  <si>
    <t>Kunai</t>
  </si>
  <si>
    <t>Hira</t>
  </si>
  <si>
    <t>Siwili</t>
  </si>
  <si>
    <t>Gahuku</t>
  </si>
  <si>
    <t>Zomaga</t>
  </si>
  <si>
    <t>Ifiufa</t>
  </si>
  <si>
    <t>Gurupoka</t>
  </si>
  <si>
    <t>Yaukawe</t>
  </si>
  <si>
    <t>Homoka</t>
  </si>
  <si>
    <t>Ramu Wokmisin</t>
  </si>
  <si>
    <t>St. Johns</t>
  </si>
  <si>
    <t>Congregation Codes</t>
  </si>
  <si>
    <t>congCode</t>
  </si>
  <si>
    <t>distCode</t>
  </si>
  <si>
    <t>kCode</t>
  </si>
  <si>
    <t>congName</t>
  </si>
  <si>
    <t>K01</t>
  </si>
  <si>
    <t>Kip</t>
  </si>
  <si>
    <t>K02</t>
  </si>
  <si>
    <t>Kukuya</t>
  </si>
  <si>
    <t>K03</t>
  </si>
  <si>
    <t>Wetna</t>
  </si>
  <si>
    <t>K04</t>
  </si>
  <si>
    <t>Sikekea</t>
  </si>
  <si>
    <t>K05</t>
  </si>
  <si>
    <t>K06</t>
  </si>
  <si>
    <t>Orara</t>
  </si>
  <si>
    <t>K07</t>
  </si>
  <si>
    <t>Sialum</t>
  </si>
  <si>
    <t>Nama</t>
  </si>
  <si>
    <t>Qambu</t>
  </si>
  <si>
    <t>Romonga</t>
  </si>
  <si>
    <t>Station</t>
  </si>
  <si>
    <t>Nada</t>
  </si>
  <si>
    <t>Kanzarua</t>
  </si>
  <si>
    <t>Marimari</t>
  </si>
  <si>
    <t>Ga</t>
  </si>
  <si>
    <t>Sabe</t>
  </si>
  <si>
    <t>Samep</t>
  </si>
  <si>
    <t>Mineneko</t>
  </si>
  <si>
    <t>Buamgo</t>
  </si>
  <si>
    <t>Zakupep</t>
  </si>
  <si>
    <t>Zankoa</t>
  </si>
  <si>
    <t>Karako</t>
  </si>
  <si>
    <t>Qabi</t>
  </si>
  <si>
    <t>Ejango</t>
  </si>
  <si>
    <t>Kinalakna</t>
  </si>
  <si>
    <t>Gitua</t>
  </si>
  <si>
    <t>Boru</t>
  </si>
  <si>
    <t>Wenga</t>
  </si>
  <si>
    <t>Wagum</t>
  </si>
  <si>
    <t>Kolakia</t>
  </si>
  <si>
    <t>Kumukio</t>
  </si>
  <si>
    <t>Soleng</t>
  </si>
  <si>
    <t>Yunziang</t>
  </si>
  <si>
    <t>Yomeng</t>
  </si>
  <si>
    <t>Faseu</t>
  </si>
  <si>
    <t>Moracgoc</t>
  </si>
  <si>
    <t>Hoboc</t>
  </si>
  <si>
    <t>Turuo</t>
  </si>
  <si>
    <t>Zembeac</t>
  </si>
  <si>
    <t>Soseku</t>
  </si>
  <si>
    <t>Besaiba</t>
  </si>
  <si>
    <t>Banziu</t>
  </si>
  <si>
    <t>Ondeu</t>
  </si>
  <si>
    <t>Singfanic</t>
  </si>
  <si>
    <t>Yamino</t>
  </si>
  <si>
    <t>Siwea</t>
  </si>
  <si>
    <t>Rebafu</t>
  </si>
  <si>
    <t>Korongmanau</t>
  </si>
  <si>
    <t>Yomozoko</t>
  </si>
  <si>
    <t>Zangganu</t>
  </si>
  <si>
    <t>Zagehemec</t>
  </si>
  <si>
    <t>Zongefifi</t>
  </si>
  <si>
    <t>Zorogo</t>
  </si>
  <si>
    <t>Hudewa</t>
  </si>
  <si>
    <t>Waringai</t>
  </si>
  <si>
    <t>Ago</t>
  </si>
  <si>
    <t>Embewoneng</t>
  </si>
  <si>
    <t>Sofifi</t>
  </si>
  <si>
    <t>Mawoneng</t>
  </si>
  <si>
    <t>Maguecko</t>
  </si>
  <si>
    <t>Zuqong?</t>
  </si>
  <si>
    <t>Beding</t>
  </si>
  <si>
    <t>Fondengko</t>
  </si>
  <si>
    <t>Samantiki</t>
  </si>
  <si>
    <t>Maiwoneng</t>
  </si>
  <si>
    <t>Junziang</t>
  </si>
  <si>
    <t>Anung</t>
  </si>
  <si>
    <t>Nonduo</t>
  </si>
  <si>
    <t>Zozoningko</t>
  </si>
  <si>
    <t>Siririo</t>
  </si>
  <si>
    <t>Boringbongeng</t>
  </si>
  <si>
    <t>Masangko</t>
  </si>
  <si>
    <t>Fio</t>
  </si>
  <si>
    <t>Qorangko</t>
  </si>
  <si>
    <t>Qeraharuc</t>
  </si>
  <si>
    <t>Moruruo</t>
  </si>
  <si>
    <t>Dopao</t>
  </si>
  <si>
    <t>Kumowo</t>
  </si>
  <si>
    <t>K08</t>
  </si>
  <si>
    <t>Sisi</t>
  </si>
  <si>
    <t>K09</t>
  </si>
  <si>
    <t>Ziwewoneng</t>
  </si>
  <si>
    <t>K10</t>
  </si>
  <si>
    <t>Wengune</t>
  </si>
  <si>
    <t>Kiwsawa</t>
  </si>
  <si>
    <t>Qoja</t>
  </si>
  <si>
    <t>Torecko</t>
  </si>
  <si>
    <t>Gougou</t>
  </si>
  <si>
    <t>Recko</t>
  </si>
  <si>
    <t>Kurue?</t>
  </si>
  <si>
    <t>Heldsbach</t>
  </si>
  <si>
    <t>Bonga</t>
  </si>
  <si>
    <t>Rakona</t>
  </si>
  <si>
    <t>Aimora</t>
  </si>
  <si>
    <t>Tangka</t>
  </si>
  <si>
    <t>Daumbore</t>
  </si>
  <si>
    <t>Kapawa</t>
  </si>
  <si>
    <t>Butengka</t>
  </si>
  <si>
    <t>Ubecgong</t>
  </si>
  <si>
    <t>Kaungko</t>
  </si>
  <si>
    <t>Serongko</t>
  </si>
  <si>
    <t>Bâzuro</t>
  </si>
  <si>
    <t>Birangko</t>
  </si>
  <si>
    <t>Uruo</t>
  </si>
  <si>
    <t>Samunzang</t>
  </si>
  <si>
    <t>Merikio</t>
  </si>
  <si>
    <t>Zafirio</t>
  </si>
  <si>
    <t>Hompua</t>
  </si>
  <si>
    <t>Gurungko</t>
  </si>
  <si>
    <t>Moreng</t>
  </si>
  <si>
    <t>Ranizera</t>
  </si>
  <si>
    <t>Siucko</t>
  </si>
  <si>
    <t>Pongacko</t>
  </si>
  <si>
    <t>Suqang</t>
  </si>
  <si>
    <t>Hapohondong</t>
  </si>
  <si>
    <t>Magazaing</t>
  </si>
  <si>
    <t>Keta</t>
  </si>
  <si>
    <t>Kanengokoc</t>
  </si>
  <si>
    <t>Mangac</t>
  </si>
  <si>
    <t>Zingko</t>
  </si>
  <si>
    <t>Jombong</t>
  </si>
  <si>
    <t>Kiseng</t>
  </si>
  <si>
    <t>Belemu</t>
  </si>
  <si>
    <t>Mugisung</t>
  </si>
  <si>
    <t>Sialang</t>
  </si>
  <si>
    <t>Gamaheng</t>
  </si>
  <si>
    <t>Tireng</t>
  </si>
  <si>
    <t>Makiwoneng</t>
  </si>
  <si>
    <t>Wagizareng</t>
  </si>
  <si>
    <t>Kesu</t>
  </si>
  <si>
    <t>Qantumu</t>
  </si>
  <si>
    <t>Qafiu</t>
  </si>
  <si>
    <t>Kuluntufu</t>
  </si>
  <si>
    <t>Afong</t>
  </si>
  <si>
    <t>Silemana</t>
  </si>
  <si>
    <t>Yauwo</t>
  </si>
  <si>
    <t>Qiqicko</t>
  </si>
  <si>
    <t>Gaeng</t>
  </si>
  <si>
    <t>Kobao</t>
  </si>
  <si>
    <t>Zeriweri</t>
  </si>
  <si>
    <t>Beraqayu</t>
  </si>
  <si>
    <t>Lumbo</t>
  </si>
  <si>
    <t>Zengeru</t>
  </si>
  <si>
    <t>Kwezengzeng</t>
  </si>
  <si>
    <t>Tongucbo</t>
  </si>
  <si>
    <t>Sososc</t>
  </si>
  <si>
    <t>Fareng</t>
  </si>
  <si>
    <t>Zaningu</t>
  </si>
  <si>
    <t>Sanzeng</t>
  </si>
  <si>
    <t>Qesic</t>
  </si>
  <si>
    <t>Sanangac</t>
  </si>
  <si>
    <t>Masuang</t>
  </si>
  <si>
    <t>Haringkec</t>
  </si>
  <si>
    <t xml:space="preserve">Gema </t>
  </si>
  <si>
    <t>Qela</t>
  </si>
  <si>
    <t>Naijalo</t>
  </si>
  <si>
    <t>Esianda</t>
  </si>
  <si>
    <t>Bulu</t>
  </si>
  <si>
    <t>Besibong</t>
  </si>
  <si>
    <t>Gaboc</t>
  </si>
  <si>
    <t xml:space="preserve">Songong </t>
  </si>
  <si>
    <t>Muleng</t>
  </si>
  <si>
    <t>Wamukic</t>
  </si>
  <si>
    <t>Burang</t>
  </si>
  <si>
    <t>Otokae</t>
  </si>
  <si>
    <t>Tawamboc</t>
  </si>
  <si>
    <t>Marimbu</t>
  </si>
  <si>
    <t>Hamorong</t>
  </si>
  <si>
    <t>Nowong</t>
  </si>
  <si>
    <t>Namatung</t>
  </si>
  <si>
    <t>Sengararang</t>
  </si>
  <si>
    <t>Andec</t>
  </si>
  <si>
    <t>Qozorong</t>
  </si>
  <si>
    <t>bokou</t>
  </si>
  <si>
    <t>Yapung</t>
  </si>
  <si>
    <t>Sangu</t>
  </si>
  <si>
    <t>Mindik</t>
  </si>
  <si>
    <t>Tiriring</t>
  </si>
  <si>
    <t>Tumneng</t>
  </si>
  <si>
    <t>Mamus</t>
  </si>
  <si>
    <t>Namorak</t>
  </si>
  <si>
    <t>Lembati</t>
  </si>
  <si>
    <t>Awengu</t>
  </si>
  <si>
    <t>Tepmarang</t>
  </si>
  <si>
    <t>Laula</t>
  </si>
  <si>
    <t>Yapang</t>
  </si>
  <si>
    <t>Sakneng</t>
  </si>
  <si>
    <t>Sambinong</t>
  </si>
  <si>
    <t>Bu</t>
  </si>
  <si>
    <t>Diwilo</t>
  </si>
  <si>
    <t>Wageng</t>
  </si>
  <si>
    <t>Numbut</t>
  </si>
  <si>
    <t>Suwak</t>
  </si>
  <si>
    <t>Zengari</t>
  </si>
  <si>
    <t>Kotken</t>
  </si>
  <si>
    <t xml:space="preserve">Sarang </t>
  </si>
  <si>
    <t>Budmbi</t>
  </si>
  <si>
    <t>Nomaneneng</t>
  </si>
  <si>
    <t>Zemburang</t>
  </si>
  <si>
    <t>Tarap</t>
  </si>
  <si>
    <t>Songolok</t>
  </si>
  <si>
    <t>Zangom</t>
  </si>
  <si>
    <t>Bemgesing</t>
  </si>
  <si>
    <t>Qan (Ogeranang)</t>
  </si>
  <si>
    <t>Dubi</t>
  </si>
  <si>
    <t>Simbeng</t>
  </si>
  <si>
    <t>Soukopop</t>
  </si>
  <si>
    <t>Qera</t>
  </si>
  <si>
    <t>Sagaum</t>
  </si>
  <si>
    <t>Raitning</t>
  </si>
  <si>
    <t>Origenang</t>
  </si>
  <si>
    <t>Semkita</t>
  </si>
  <si>
    <t>Kombuk</t>
  </si>
  <si>
    <t>Selembeng</t>
  </si>
  <si>
    <t>Malang</t>
  </si>
  <si>
    <t>Awanding</t>
  </si>
  <si>
    <t>Ogeramnang</t>
  </si>
  <si>
    <t>Koile</t>
  </si>
  <si>
    <t>Tengbanong</t>
  </si>
  <si>
    <t>Koc</t>
  </si>
  <si>
    <t>Zamu</t>
  </si>
  <si>
    <t>Konem</t>
  </si>
  <si>
    <t>Wesap</t>
  </si>
  <si>
    <t>Nomboneng</t>
  </si>
  <si>
    <t>Mayama</t>
  </si>
  <si>
    <t>Amoa</t>
  </si>
  <si>
    <t>Zigori</t>
  </si>
  <si>
    <t>Bematu</t>
  </si>
  <si>
    <t>Kobio</t>
  </si>
  <si>
    <t>Mangoro</t>
  </si>
  <si>
    <t>Bosadi</t>
  </si>
  <si>
    <t>Mou</t>
  </si>
  <si>
    <t>Morobe Stesin</t>
  </si>
  <si>
    <t>Evare</t>
  </si>
  <si>
    <t>Anapose</t>
  </si>
  <si>
    <t>Nazi</t>
  </si>
  <si>
    <t>Sapa</t>
  </si>
  <si>
    <t>Kobo</t>
  </si>
  <si>
    <t>Waiosoduma</t>
  </si>
  <si>
    <t>Bau</t>
  </si>
  <si>
    <t>Auro</t>
  </si>
  <si>
    <t>Sowara</t>
  </si>
  <si>
    <t>Dona</t>
  </si>
  <si>
    <t>Saigara</t>
  </si>
  <si>
    <t>Zare</t>
  </si>
  <si>
    <t>Ainse</t>
  </si>
  <si>
    <t xml:space="preserve">Siu </t>
  </si>
  <si>
    <t>Putair</t>
  </si>
  <si>
    <t>Popoe</t>
  </si>
  <si>
    <t>Yae</t>
  </si>
  <si>
    <t>Gauzu</t>
  </si>
  <si>
    <t>Omazi</t>
  </si>
  <si>
    <t>Pema</t>
  </si>
  <si>
    <t>Pepeware</t>
  </si>
  <si>
    <t>Agotame</t>
  </si>
  <si>
    <t>Gobe</t>
  </si>
  <si>
    <t>Jema</t>
  </si>
  <si>
    <t>Tube</t>
  </si>
  <si>
    <t>Agiyw</t>
  </si>
  <si>
    <t>Kasangare</t>
  </si>
  <si>
    <t>Wisini</t>
  </si>
  <si>
    <t>Ilapu</t>
  </si>
  <si>
    <t>Taulins</t>
  </si>
  <si>
    <t>Nako</t>
  </si>
  <si>
    <t>Kambaka</t>
  </si>
  <si>
    <t>Toli</t>
  </si>
  <si>
    <t>Korua</t>
  </si>
  <si>
    <t>Kakolo</t>
  </si>
  <si>
    <t>Equato</t>
  </si>
  <si>
    <t>Kapu - Anga</t>
  </si>
  <si>
    <t>Hadadua</t>
  </si>
  <si>
    <t>Aweaka</t>
  </si>
  <si>
    <t>Kakiwana</t>
  </si>
  <si>
    <t>Awairi</t>
  </si>
  <si>
    <t>Mekim</t>
  </si>
  <si>
    <t>Yeke</t>
  </si>
  <si>
    <t>Quajtinge</t>
  </si>
  <si>
    <t>Keango</t>
  </si>
  <si>
    <t>Dumawa</t>
  </si>
  <si>
    <t>Papito</t>
  </si>
  <si>
    <t>Okaneiwa</t>
  </si>
  <si>
    <t>Konaweiyuy</t>
  </si>
  <si>
    <t>Quamdawati</t>
  </si>
  <si>
    <t>Kopakini</t>
  </si>
  <si>
    <t>Akewamuanga</t>
  </si>
  <si>
    <t>Yakopeiya</t>
  </si>
  <si>
    <t>Palowa</t>
  </si>
  <si>
    <t>Kokea</t>
  </si>
  <si>
    <t>Iwatimnga</t>
  </si>
  <si>
    <t>Daumnga</t>
  </si>
  <si>
    <t>Oiwa</t>
  </si>
  <si>
    <t>Hawamnga</t>
  </si>
  <si>
    <t>Widue</t>
  </si>
  <si>
    <t>Wema</t>
  </si>
  <si>
    <t>Habeawini</t>
  </si>
  <si>
    <t>Pouyu I</t>
  </si>
  <si>
    <t>Odaidawa</t>
  </si>
  <si>
    <t>Pakea</t>
  </si>
  <si>
    <t>Ayewa</t>
  </si>
  <si>
    <t>Jona-a</t>
  </si>
  <si>
    <t>Onawa</t>
  </si>
  <si>
    <t>Wopa</t>
  </si>
  <si>
    <t>Neandulo</t>
  </si>
  <si>
    <t>Hikinangowe</t>
  </si>
  <si>
    <t>Tiwata'</t>
  </si>
  <si>
    <t>Yangayu</t>
  </si>
  <si>
    <t>Aitu</t>
  </si>
  <si>
    <t>Bukawa</t>
  </si>
  <si>
    <t>Awadec</t>
  </si>
  <si>
    <t>Bocgambung</t>
  </si>
  <si>
    <t>Mundala</t>
  </si>
  <si>
    <t>Ukilim</t>
  </si>
  <si>
    <t>Yambo</t>
  </si>
  <si>
    <t>Wedilu</t>
  </si>
  <si>
    <t>Eec</t>
  </si>
  <si>
    <t>Buinggim</t>
  </si>
  <si>
    <t>Bugang</t>
  </si>
  <si>
    <t>Boac</t>
  </si>
  <si>
    <t>Taemi</t>
  </si>
  <si>
    <t>Ologedo</t>
  </si>
  <si>
    <t>Butala 1</t>
  </si>
  <si>
    <t>Butala 2</t>
  </si>
  <si>
    <t>Tigidu</t>
  </si>
  <si>
    <t>Busen</t>
  </si>
  <si>
    <t>Pepekane</t>
  </si>
  <si>
    <t>lagis</t>
  </si>
  <si>
    <t>Tokanen</t>
  </si>
  <si>
    <t>Ded</t>
  </si>
  <si>
    <t>Baiarriatus</t>
  </si>
  <si>
    <t>Kwasapg</t>
  </si>
  <si>
    <t>Zaba</t>
  </si>
  <si>
    <t>Baiyum</t>
  </si>
  <si>
    <t>Bainea</t>
  </si>
  <si>
    <t>Namba 8-1</t>
  </si>
  <si>
    <t>Anamapi</t>
  </si>
  <si>
    <t>Seunge</t>
  </si>
  <si>
    <t>Sengayo</t>
  </si>
  <si>
    <t>Simbruk</t>
  </si>
  <si>
    <t>Samge</t>
  </si>
  <si>
    <t>Banic?</t>
  </si>
  <si>
    <t>Bowowe?</t>
  </si>
  <si>
    <t>Bogong?</t>
  </si>
  <si>
    <t>Lomlem</t>
  </si>
  <si>
    <t>Dawong</t>
  </si>
  <si>
    <t>Raft</t>
  </si>
  <si>
    <t>Wuner</t>
  </si>
  <si>
    <t>Bungian</t>
  </si>
  <si>
    <t>Wangarn</t>
  </si>
  <si>
    <t>Mabula</t>
  </si>
  <si>
    <t>Moniua</t>
  </si>
  <si>
    <t>Aiejok</t>
  </si>
  <si>
    <t>Apele</t>
  </si>
  <si>
    <t>Singas</t>
  </si>
  <si>
    <t>Awan</t>
  </si>
  <si>
    <t>Onga</t>
  </si>
  <si>
    <t>Ngarubuain</t>
  </si>
  <si>
    <t>Ziaz</t>
  </si>
  <si>
    <t>Yasru</t>
  </si>
  <si>
    <t>Kapakaus</t>
  </si>
  <si>
    <t>Sianga Urint</t>
  </si>
  <si>
    <t>Imani</t>
  </si>
  <si>
    <t>Waisaram</t>
  </si>
  <si>
    <t>Tapa Kainantu</t>
  </si>
  <si>
    <t>Mitsing tari</t>
  </si>
  <si>
    <t>Marafau</t>
  </si>
  <si>
    <t>Zumara 1</t>
  </si>
  <si>
    <t>Zumara 2</t>
  </si>
  <si>
    <t>Rumpa</t>
  </si>
  <si>
    <t>Bawa</t>
  </si>
  <si>
    <t>Hingia</t>
  </si>
  <si>
    <t>Gusap</t>
  </si>
  <si>
    <t>Marabuai</t>
  </si>
  <si>
    <t>Kapra</t>
  </si>
  <si>
    <t>Rangkuian</t>
  </si>
  <si>
    <t>Numbugu</t>
  </si>
  <si>
    <t>Samura</t>
  </si>
  <si>
    <t>Benahe</t>
  </si>
  <si>
    <t>Nawantmaran</t>
  </si>
  <si>
    <t>Amari</t>
  </si>
  <si>
    <t>Samaran</t>
  </si>
  <si>
    <t>Yampua</t>
  </si>
  <si>
    <t>Da-antap</t>
  </si>
  <si>
    <t>St. Kituram</t>
  </si>
  <si>
    <t>Bio</t>
  </si>
  <si>
    <t>Banai</t>
  </si>
  <si>
    <t>Dakarawa</t>
  </si>
  <si>
    <t>Yawa</t>
  </si>
  <si>
    <t>Maiam Zariang</t>
  </si>
  <si>
    <t>Ngaruzaniang</t>
  </si>
  <si>
    <t>Gainarun</t>
  </si>
  <si>
    <t>Tauf Mura</t>
  </si>
  <si>
    <t>Guzuap</t>
  </si>
  <si>
    <t>Yanuf Bantur</t>
  </si>
  <si>
    <t>Intsi</t>
  </si>
  <si>
    <t>Wankung</t>
  </si>
  <si>
    <t>Ragian</t>
  </si>
  <si>
    <t>Ragizumang</t>
  </si>
  <si>
    <t>Ragizaria</t>
  </si>
  <si>
    <t>Watarais</t>
  </si>
  <si>
    <t>Marawasa</t>
  </si>
  <si>
    <t>Marasasa</t>
  </si>
  <si>
    <t>Mutzing Sampubangin</t>
  </si>
  <si>
    <t>Datou Mufins</t>
  </si>
  <si>
    <t>Wampua</t>
  </si>
  <si>
    <t>Sauf Arifran</t>
  </si>
  <si>
    <t>Zumin 1</t>
  </si>
  <si>
    <t>Zumn 2</t>
  </si>
  <si>
    <t>Anga Afiang</t>
  </si>
  <si>
    <t>Ufuaf</t>
  </si>
  <si>
    <t>Sauruan</t>
  </si>
  <si>
    <t>Ragidumpiat</t>
  </si>
  <si>
    <t>Yatsing</t>
  </si>
  <si>
    <t>Izingants</t>
  </si>
  <si>
    <t>Antil</t>
  </si>
  <si>
    <t xml:space="preserve">Yanuf </t>
  </si>
  <si>
    <t>Naruwain</t>
  </si>
  <si>
    <t>Yoi</t>
  </si>
  <si>
    <t>Paiya</t>
  </si>
  <si>
    <t>Imewelu</t>
  </si>
  <si>
    <t>Kamaini</t>
  </si>
  <si>
    <t>Wiawo</t>
  </si>
  <si>
    <t>Ikose</t>
  </si>
  <si>
    <t>Tembit</t>
  </si>
  <si>
    <t>Hakia</t>
  </si>
  <si>
    <t>Kaitanga</t>
  </si>
  <si>
    <t>Yambona</t>
  </si>
  <si>
    <t>Wembango</t>
  </si>
  <si>
    <t>Ambia</t>
  </si>
  <si>
    <t>Titamng</t>
  </si>
  <si>
    <t>Kaingo</t>
  </si>
  <si>
    <t>Karanao</t>
  </si>
  <si>
    <t>Hatamanoe</t>
  </si>
  <si>
    <t>Sombiawa</t>
  </si>
  <si>
    <t>Ipaya</t>
  </si>
  <si>
    <t>Umdanu</t>
  </si>
  <si>
    <t>hatapaiwa</t>
  </si>
  <si>
    <t>Nanga paiwa</t>
  </si>
  <si>
    <t>Ania</t>
  </si>
  <si>
    <t>Yandati</t>
  </si>
  <si>
    <t>Uju</t>
  </si>
  <si>
    <t>K11</t>
  </si>
  <si>
    <t>Hologe</t>
  </si>
  <si>
    <t>K12</t>
  </si>
  <si>
    <t>Kopiawo</t>
  </si>
  <si>
    <t>K13</t>
  </si>
  <si>
    <t>Naina</t>
  </si>
  <si>
    <t>K14</t>
  </si>
  <si>
    <t>Heungua</t>
  </si>
  <si>
    <t>K15</t>
  </si>
  <si>
    <t>Pau</t>
  </si>
  <si>
    <t>K16</t>
  </si>
  <si>
    <t>Imaniba</t>
  </si>
  <si>
    <t>K17</t>
  </si>
  <si>
    <t>Iwaina</t>
  </si>
  <si>
    <t>K18</t>
  </si>
  <si>
    <t>Awakawa</t>
  </si>
  <si>
    <t>Grin (Tapiok maket – Polis bareks)</t>
  </si>
  <si>
    <t>Blu (Keysser – LBM)</t>
  </si>
  <si>
    <t>Braun ( Polis Bareks – 140 Klab)</t>
  </si>
  <si>
    <t>Yello (PTC College – 140 Klab)</t>
  </si>
  <si>
    <t>Grup 1</t>
  </si>
  <si>
    <t>Grup 2</t>
  </si>
  <si>
    <t>Grup 3</t>
  </si>
  <si>
    <t>Pikinini Mumeng</t>
  </si>
  <si>
    <t>Kate</t>
  </si>
  <si>
    <t>Gidisa</t>
  </si>
  <si>
    <t>Poasang</t>
  </si>
  <si>
    <t>Tohem</t>
  </si>
  <si>
    <t>Kirap Bek</t>
  </si>
  <si>
    <t>Marham</t>
  </si>
  <si>
    <t>Komesel</t>
  </si>
  <si>
    <t>Hube Memorial</t>
  </si>
  <si>
    <t>Budabut</t>
  </si>
  <si>
    <t>Kemen</t>
  </si>
  <si>
    <t>Bambok</t>
  </si>
  <si>
    <t>Lambaip</t>
  </si>
  <si>
    <t>Kwewiling</t>
  </si>
  <si>
    <t>Yalu</t>
  </si>
  <si>
    <t>Wara Kalap</t>
  </si>
  <si>
    <t>Monakasat</t>
  </si>
  <si>
    <t>Tunam</t>
  </si>
  <si>
    <t>Gumbum</t>
  </si>
  <si>
    <t>Karau</t>
  </si>
  <si>
    <t>Nambut</t>
  </si>
  <si>
    <t>Busu Mountain</t>
  </si>
  <si>
    <t>Bumbi</t>
  </si>
  <si>
    <t>Poahom</t>
  </si>
  <si>
    <t>Musamu</t>
  </si>
  <si>
    <t>Laskunai</t>
  </si>
  <si>
    <t>Gejamalu</t>
  </si>
  <si>
    <t>Seken Seven</t>
  </si>
  <si>
    <t>Hobu</t>
  </si>
  <si>
    <t>Sios Graun</t>
  </si>
  <si>
    <t>Kamsiling</t>
  </si>
  <si>
    <t>Abong</t>
  </si>
  <si>
    <t>Bumayong</t>
  </si>
  <si>
    <t>Sembaziwaari</t>
  </si>
  <si>
    <t>Musom</t>
  </si>
  <si>
    <t>Kopsanek</t>
  </si>
  <si>
    <t>Gawam</t>
  </si>
  <si>
    <t>Goabadik</t>
  </si>
  <si>
    <t>Kamkumung</t>
  </si>
  <si>
    <t>Hengali</t>
  </si>
  <si>
    <t>Butibam</t>
  </si>
  <si>
    <t>Wakang</t>
  </si>
  <si>
    <t>Yanga</t>
  </si>
  <si>
    <t>St. Flierl (Asu)</t>
  </si>
  <si>
    <t>English Service</t>
  </si>
  <si>
    <t>Laip Lait</t>
  </si>
  <si>
    <t>Gurang?</t>
  </si>
  <si>
    <t>Kaisia</t>
  </si>
  <si>
    <t>Hobu - Buko</t>
  </si>
  <si>
    <t>Mosom Tale</t>
  </si>
  <si>
    <t>Tamu</t>
  </si>
  <si>
    <t>Tikeleng</t>
  </si>
  <si>
    <t>Talec</t>
  </si>
  <si>
    <t>Tengteng (Bulep)</t>
  </si>
  <si>
    <t>Umata Interim</t>
  </si>
  <si>
    <t>Memorial</t>
  </si>
  <si>
    <t>Flierl</t>
  </si>
  <si>
    <t>Senior</t>
  </si>
  <si>
    <t>Magu</t>
  </si>
  <si>
    <t>Singaua</t>
  </si>
  <si>
    <t>Aluki</t>
  </si>
  <si>
    <t>Buhalu</t>
  </si>
  <si>
    <t>Melampipi</t>
  </si>
  <si>
    <t>Kwamung</t>
  </si>
  <si>
    <t>Nomeng</t>
  </si>
  <si>
    <t>Busung</t>
  </si>
  <si>
    <t>Zezengi</t>
  </si>
  <si>
    <t>Momolili</t>
  </si>
  <si>
    <t>Apa Yamap</t>
  </si>
  <si>
    <t>Bobodem</t>
  </si>
  <si>
    <t>Musim</t>
  </si>
  <si>
    <t>Katembing</t>
  </si>
  <si>
    <t>Bubudun</t>
  </si>
  <si>
    <t>Meeting</t>
  </si>
  <si>
    <t>Fiyabo</t>
  </si>
  <si>
    <t>Dewang</t>
  </si>
  <si>
    <t>Jamendum</t>
  </si>
  <si>
    <t>Banuwe</t>
  </si>
  <si>
    <t>Baidum</t>
  </si>
  <si>
    <t>Naladik</t>
  </si>
  <si>
    <t>Doho</t>
  </si>
  <si>
    <t>Jimli</t>
  </si>
  <si>
    <t>Pobua</t>
  </si>
  <si>
    <t>Dorong</t>
  </si>
  <si>
    <t>Wapali</t>
  </si>
  <si>
    <t>Godokasul</t>
  </si>
  <si>
    <t>Popdubi</t>
  </si>
  <si>
    <t>Bumatu</t>
  </si>
  <si>
    <t>Buasi</t>
  </si>
  <si>
    <t>Wakop</t>
  </si>
  <si>
    <t xml:space="preserve">Awasa </t>
  </si>
  <si>
    <t>Lutu</t>
  </si>
  <si>
    <t>Gwado</t>
  </si>
  <si>
    <t>laukanu</t>
  </si>
  <si>
    <t>Asisi</t>
  </si>
  <si>
    <t>Tabola</t>
  </si>
  <si>
    <t>Wamasi</t>
  </si>
  <si>
    <t>Laugwi</t>
  </si>
  <si>
    <t>Kela</t>
  </si>
  <si>
    <t>Nuknuk</t>
  </si>
  <si>
    <t>Lababia</t>
  </si>
  <si>
    <t>Salus</t>
  </si>
  <si>
    <t>Buansin</t>
  </si>
  <si>
    <t>Kelkel</t>
  </si>
  <si>
    <t>Kuwi</t>
  </si>
  <si>
    <t>Siboma</t>
  </si>
  <si>
    <t>Paiyawa</t>
  </si>
  <si>
    <t>Pocmate</t>
  </si>
  <si>
    <t>Yemle</t>
  </si>
  <si>
    <t>Delong</t>
  </si>
  <si>
    <t>Hote</t>
  </si>
  <si>
    <t>Ami</t>
  </si>
  <si>
    <t>Engatawa</t>
  </si>
  <si>
    <t>Hengawa</t>
  </si>
  <si>
    <t>Karanas</t>
  </si>
  <si>
    <t>Yekui</t>
  </si>
  <si>
    <t>Utumi</t>
  </si>
  <si>
    <t>Qakepe</t>
  </si>
  <si>
    <t>St. Mark</t>
  </si>
  <si>
    <t>Eona</t>
  </si>
  <si>
    <t>Wasua</t>
  </si>
  <si>
    <t>Hanziga</t>
  </si>
  <si>
    <t>Kolomonden</t>
  </si>
  <si>
    <t>Yahepe</t>
  </si>
  <si>
    <t>Aijapa</t>
  </si>
  <si>
    <t>Jiba</t>
  </si>
  <si>
    <t>Menve</t>
  </si>
  <si>
    <t>Yuenimba</t>
  </si>
  <si>
    <t>Koniba</t>
  </si>
  <si>
    <t>Nukem</t>
  </si>
  <si>
    <t>Yongatakaka</t>
  </si>
  <si>
    <t>Kwiavami</t>
  </si>
  <si>
    <t>Warabung</t>
  </si>
  <si>
    <t>Wamo</t>
  </si>
  <si>
    <t>Yawi</t>
  </si>
  <si>
    <t>Yamapa</t>
  </si>
  <si>
    <t>Wakaka</t>
  </si>
  <si>
    <t>Iskomanga</t>
  </si>
  <si>
    <t>Hequta</t>
  </si>
  <si>
    <t>Iawi</t>
  </si>
  <si>
    <t>Savo</t>
  </si>
  <si>
    <t>Yakepa</t>
  </si>
  <si>
    <t>Mapakam</t>
  </si>
  <si>
    <t>Akanja</t>
  </si>
  <si>
    <t>Komorasa</t>
  </si>
  <si>
    <t>Kunlungli</t>
  </si>
  <si>
    <t>Ketanga</t>
  </si>
  <si>
    <t>Manijao</t>
  </si>
  <si>
    <t>Hansawa</t>
  </si>
  <si>
    <t>Circuit Station</t>
  </si>
  <si>
    <t>High School</t>
  </si>
  <si>
    <t>Haus Kalabus</t>
  </si>
  <si>
    <t>DPI</t>
  </si>
  <si>
    <t>Vocational School</t>
  </si>
  <si>
    <t>Haus Sik</t>
  </si>
  <si>
    <t>Hiwaka</t>
  </si>
  <si>
    <t>Compound</t>
  </si>
  <si>
    <t>Lius Mem</t>
  </si>
  <si>
    <t>Jordans Memorial</t>
  </si>
  <si>
    <t>Immanuel</t>
  </si>
  <si>
    <t>Hosjei</t>
  </si>
  <si>
    <t>Egigi</t>
  </si>
  <si>
    <t>mewapi (St. Peters Memorial)</t>
  </si>
  <si>
    <t>Akubungi</t>
  </si>
  <si>
    <t>Yakangi</t>
  </si>
  <si>
    <t>Pono</t>
  </si>
  <si>
    <t>Lagei</t>
  </si>
  <si>
    <t>Nambawan Bridge</t>
  </si>
  <si>
    <t>Asakundi</t>
  </si>
  <si>
    <t>Minge</t>
  </si>
  <si>
    <t>Kumai</t>
  </si>
  <si>
    <t>Fayang</t>
  </si>
  <si>
    <t>Sifu</t>
  </si>
  <si>
    <t>Siara</t>
  </si>
  <si>
    <t>Bogaba</t>
  </si>
  <si>
    <t>Rumion Fam</t>
  </si>
  <si>
    <t>Rumrinam</t>
  </si>
  <si>
    <t>Sukurum</t>
  </si>
  <si>
    <t>Gabagiab</t>
  </si>
  <si>
    <t>Waraum</t>
  </si>
  <si>
    <t>Kupasa</t>
  </si>
  <si>
    <t>Traraktarak</t>
  </si>
  <si>
    <t>Pukpuk</t>
  </si>
  <si>
    <t>Som</t>
  </si>
  <si>
    <t>Silasila</t>
  </si>
  <si>
    <t>Yuweng</t>
  </si>
  <si>
    <t>Wangeto</t>
  </si>
  <si>
    <t>Sasiang Fam</t>
  </si>
  <si>
    <t>Mangiang</t>
  </si>
  <si>
    <t>Binimamp</t>
  </si>
  <si>
    <t>Urai</t>
  </si>
  <si>
    <t>Marikus</t>
  </si>
  <si>
    <t>Ngarubu Ramp</t>
  </si>
  <si>
    <t>Itsir</t>
  </si>
  <si>
    <t>Guarug</t>
  </si>
  <si>
    <t>Marabuma</t>
  </si>
  <si>
    <t>Zumpiatun</t>
  </si>
  <si>
    <t>Siriwarang</t>
  </si>
  <si>
    <t>Riara</t>
  </si>
  <si>
    <t>Leron Fam</t>
  </si>
  <si>
    <t>Zumanggurun</t>
  </si>
  <si>
    <t>Bagaeang</t>
  </si>
  <si>
    <t>Wafibampun</t>
  </si>
  <si>
    <t>Zeneb</t>
  </si>
  <si>
    <t>Malalanko</t>
  </si>
  <si>
    <t>Malarena</t>
  </si>
  <si>
    <t>Beseng</t>
  </si>
  <si>
    <t>Wampan</t>
  </si>
  <si>
    <t>Mazim</t>
  </si>
  <si>
    <t>Kapungnung</t>
  </si>
  <si>
    <t>Uruf</t>
  </si>
  <si>
    <t>Mafanazo</t>
  </si>
  <si>
    <t>Morom</t>
  </si>
  <si>
    <t>Zifasing</t>
  </si>
  <si>
    <t>Tararan</t>
  </si>
  <si>
    <t>Noa/Naropraf</t>
  </si>
  <si>
    <t>Naromanki</t>
  </si>
  <si>
    <t>Bobong</t>
  </si>
  <si>
    <t>Markham Fam</t>
  </si>
  <si>
    <t>Gabosonkeg</t>
  </si>
  <si>
    <t>Nasuapum</t>
  </si>
  <si>
    <t>Nunun</t>
  </si>
  <si>
    <t>Banzaing</t>
  </si>
  <si>
    <t>Mare</t>
  </si>
  <si>
    <t>Wampit</t>
  </si>
  <si>
    <t>Gabansis</t>
  </si>
  <si>
    <t>Ziats</t>
  </si>
  <si>
    <t>Solomon</t>
  </si>
  <si>
    <t>Gikasit</t>
  </si>
  <si>
    <t>Tamoyang</t>
  </si>
  <si>
    <t>Mataya</t>
  </si>
  <si>
    <t>Sakapan</t>
  </si>
  <si>
    <t>Hikwang</t>
  </si>
  <si>
    <t>St. Josep</t>
  </si>
  <si>
    <t>Matak</t>
  </si>
  <si>
    <t>Yanoli (Gimia)</t>
  </si>
  <si>
    <t>Bilom</t>
  </si>
  <si>
    <t>Hibru</t>
  </si>
  <si>
    <t>St. Kipu (Yapulak)</t>
  </si>
  <si>
    <t>St. Abraham</t>
  </si>
  <si>
    <t>Kanayek</t>
  </si>
  <si>
    <t>Bumbun 1</t>
  </si>
  <si>
    <t>Bumbun 2</t>
  </si>
  <si>
    <t>Zayakwen</t>
  </si>
  <si>
    <t>Giopompi</t>
  </si>
  <si>
    <t>Dapunzit</t>
  </si>
  <si>
    <t>Akomna</t>
  </si>
  <si>
    <t>Yiangdaka</t>
  </si>
  <si>
    <t>Kesaut</t>
  </si>
  <si>
    <t>Gapmapa</t>
  </si>
  <si>
    <t>Wabung</t>
  </si>
  <si>
    <t>Kanggandaka</t>
  </si>
  <si>
    <t>Kamang</t>
  </si>
  <si>
    <t>kandumi</t>
  </si>
  <si>
    <t>Ewok</t>
  </si>
  <si>
    <t>Kikiepa</t>
  </si>
  <si>
    <t>Gatabon</t>
  </si>
  <si>
    <t>Gumiya</t>
  </si>
  <si>
    <t>Tamae</t>
  </si>
  <si>
    <t>Dangaman</t>
  </si>
  <si>
    <t>Zuepak</t>
  </si>
  <si>
    <t>Daku</t>
  </si>
  <si>
    <t>Uyanget</t>
  </si>
  <si>
    <t>Wundate</t>
  </si>
  <si>
    <t>Sarawak</t>
  </si>
  <si>
    <t>Uyam</t>
  </si>
  <si>
    <t>Bakabaku</t>
  </si>
  <si>
    <t>Kosan</t>
  </si>
  <si>
    <t>Zangurak</t>
  </si>
  <si>
    <t>Kupung</t>
  </si>
  <si>
    <t>Piung</t>
  </si>
  <si>
    <t>Gwapitz</t>
  </si>
  <si>
    <t>Gekaang</t>
  </si>
  <si>
    <t>Sengapan</t>
  </si>
  <si>
    <t>Taput</t>
  </si>
  <si>
    <t>Zapapweng</t>
  </si>
  <si>
    <t>Yangakop</t>
  </si>
  <si>
    <t>Zukaman</t>
  </si>
  <si>
    <t>Yaparingau</t>
  </si>
  <si>
    <t>Etaut</t>
  </si>
  <si>
    <t>Dolem</t>
  </si>
  <si>
    <t>Gwanbobwak</t>
  </si>
  <si>
    <t>Gaawam</t>
  </si>
  <si>
    <t>Wantoat Station</t>
  </si>
  <si>
    <t>Kongaim</t>
  </si>
  <si>
    <t>Atawakap</t>
  </si>
  <si>
    <t>Umbaku</t>
  </si>
  <si>
    <t>Wamamban</t>
  </si>
  <si>
    <t>St. Joshua</t>
  </si>
  <si>
    <t>Arawek</t>
  </si>
  <si>
    <t>Gaongbaku</t>
  </si>
  <si>
    <t>Suatadaka</t>
  </si>
  <si>
    <t>Puram</t>
  </si>
  <si>
    <t>Ginunga</t>
  </si>
  <si>
    <t>Samsam</t>
  </si>
  <si>
    <t>Bukawe</t>
  </si>
  <si>
    <t>Kusipalang</t>
  </si>
  <si>
    <t>Tamaman</t>
  </si>
  <si>
    <t>Asindau</t>
  </si>
  <si>
    <t>Kamlawa</t>
  </si>
  <si>
    <t>Kolem</t>
  </si>
  <si>
    <t>Godowa</t>
  </si>
  <si>
    <t>Bugaim</t>
  </si>
  <si>
    <t>Ngasingalatu</t>
  </si>
  <si>
    <t>Kwalamsam</t>
  </si>
  <si>
    <t>Gawenglabu</t>
  </si>
  <si>
    <t>Sokaneng</t>
  </si>
  <si>
    <t>Busiga</t>
  </si>
  <si>
    <t>Mange</t>
  </si>
  <si>
    <t>Kasanga</t>
  </si>
  <si>
    <t>Wanam</t>
  </si>
  <si>
    <t>Kalang</t>
  </si>
  <si>
    <t>Finschaffen Urban</t>
  </si>
  <si>
    <t>Butaweng</t>
  </si>
  <si>
    <t>Gagidu Stesen</t>
  </si>
  <si>
    <t>Dregahafen</t>
  </si>
  <si>
    <t>D02-S14</t>
  </si>
  <si>
    <t>Logaweng</t>
  </si>
  <si>
    <t>Guntabag</t>
  </si>
  <si>
    <t>Belan</t>
  </si>
  <si>
    <t>Med</t>
  </si>
  <si>
    <t>Wagi</t>
  </si>
  <si>
    <t>Riwo</t>
  </si>
  <si>
    <t>Siar</t>
  </si>
  <si>
    <t>Bilia</t>
  </si>
  <si>
    <t>Kranget</t>
  </si>
  <si>
    <t>Yabob</t>
  </si>
  <si>
    <t>Bamri</t>
  </si>
  <si>
    <t>Didwara</t>
  </si>
  <si>
    <t>Atom</t>
  </si>
  <si>
    <t>Gonowa</t>
  </si>
  <si>
    <t>Derin</t>
  </si>
  <si>
    <t>Burr</t>
  </si>
  <si>
    <t>Tadup</t>
  </si>
  <si>
    <t>Gawagu</t>
  </si>
  <si>
    <t>Haya</t>
  </si>
  <si>
    <t>Guond</t>
  </si>
  <si>
    <t>Guu</t>
  </si>
  <si>
    <t>Mesah</t>
  </si>
  <si>
    <t>Sauba</t>
  </si>
  <si>
    <t>Onura</t>
  </si>
  <si>
    <t>Umun</t>
  </si>
  <si>
    <t>Gainda</t>
  </si>
  <si>
    <t>Gasa</t>
  </si>
  <si>
    <t>Mur</t>
  </si>
  <si>
    <t>Biriau</t>
  </si>
  <si>
    <t>Wari</t>
  </si>
  <si>
    <t>Singor</t>
  </si>
  <si>
    <t>Gaseba</t>
  </si>
  <si>
    <t>Yadus</t>
  </si>
  <si>
    <t>Jobesa</t>
  </si>
  <si>
    <t>Wate</t>
  </si>
  <si>
    <t>Gegu</t>
  </si>
  <si>
    <t>Wassubo</t>
  </si>
  <si>
    <t>Tamokot</t>
  </si>
  <si>
    <t>Asumbin</t>
  </si>
  <si>
    <t>Garum</t>
  </si>
  <si>
    <t>Tavulte</t>
  </si>
  <si>
    <t>Kola</t>
  </si>
  <si>
    <t>Sakidua</t>
  </si>
  <si>
    <t>Sidua</t>
  </si>
  <si>
    <t>Inabas</t>
  </si>
  <si>
    <t>Kara</t>
  </si>
  <si>
    <t>Bogia Lutheran United</t>
  </si>
  <si>
    <t>Goviro</t>
  </si>
  <si>
    <t>Ninigo</t>
  </si>
  <si>
    <t>Gimaya</t>
  </si>
  <si>
    <t>Numbuya</t>
  </si>
  <si>
    <t>Gomumu</t>
  </si>
  <si>
    <t>Saraga</t>
  </si>
  <si>
    <t>Yonombe</t>
  </si>
  <si>
    <t>Sereigo</t>
  </si>
  <si>
    <t>Koe</t>
  </si>
  <si>
    <t>NO PARISH</t>
  </si>
  <si>
    <t>Memoriel</t>
  </si>
  <si>
    <t>Niu Taun</t>
  </si>
  <si>
    <t>Humade</t>
  </si>
  <si>
    <t>Triniti</t>
  </si>
  <si>
    <t>Luship</t>
  </si>
  <si>
    <t>Redemer</t>
  </si>
  <si>
    <t>Kamabu</t>
  </si>
  <si>
    <t>Sereweng</t>
  </si>
  <si>
    <t>Kavai</t>
  </si>
  <si>
    <t>Ilu</t>
  </si>
  <si>
    <t>Kumbuna</t>
  </si>
  <si>
    <t>Koropa</t>
  </si>
  <si>
    <t>Dimer</t>
  </si>
  <si>
    <t>Giar</t>
  </si>
  <si>
    <t>Bangme</t>
  </si>
  <si>
    <t>Langlang</t>
  </si>
  <si>
    <t>Urugen</t>
  </si>
  <si>
    <t>Sikentika</t>
  </si>
  <si>
    <t>Narer plantesen</t>
  </si>
  <si>
    <t>Apare</t>
  </si>
  <si>
    <t>Tarak</t>
  </si>
  <si>
    <t>Kinim</t>
  </si>
  <si>
    <t>Dorokatau</t>
  </si>
  <si>
    <t>Keviat</t>
  </si>
  <si>
    <t>Miak Helt Senta</t>
  </si>
  <si>
    <t>Keviak</t>
  </si>
  <si>
    <t>Keng</t>
  </si>
  <si>
    <t>Maramis</t>
  </si>
  <si>
    <t>Mom</t>
  </si>
  <si>
    <t>Kurumtour</t>
  </si>
  <si>
    <t>Biabi 2 Plantesen</t>
  </si>
  <si>
    <t>Kour 1</t>
  </si>
  <si>
    <t>Sangaria</t>
  </si>
  <si>
    <t>Tugutugu</t>
  </si>
  <si>
    <t>Daerdugu</t>
  </si>
  <si>
    <t>Kour 2</t>
  </si>
  <si>
    <t>Makor</t>
  </si>
  <si>
    <t>Kour 4</t>
  </si>
  <si>
    <t>Kour 5</t>
  </si>
  <si>
    <t>Ngor</t>
  </si>
  <si>
    <t>Kour 3</t>
  </si>
  <si>
    <t>Kulili plantesen wokmisin eria</t>
  </si>
  <si>
    <t>Maluk</t>
  </si>
  <si>
    <t>Wadau plantesen</t>
  </si>
  <si>
    <t xml:space="preserve">Wadau </t>
  </si>
  <si>
    <t>Kiribek</t>
  </si>
  <si>
    <t>Buran</t>
  </si>
  <si>
    <t>Yukyuk</t>
  </si>
  <si>
    <t>Kubam</t>
  </si>
  <si>
    <t>Katom</t>
  </si>
  <si>
    <t>Kawailo plantesen</t>
  </si>
  <si>
    <t xml:space="preserve">Kawailo </t>
  </si>
  <si>
    <t>Warat</t>
  </si>
  <si>
    <t>Pain</t>
  </si>
  <si>
    <t>Urum 1</t>
  </si>
  <si>
    <t>Urum 2</t>
  </si>
  <si>
    <t>Babel</t>
  </si>
  <si>
    <t>Patilo</t>
  </si>
  <si>
    <t>Dangsai</t>
  </si>
  <si>
    <t>Doup</t>
  </si>
  <si>
    <t>Biu</t>
  </si>
  <si>
    <t>Dumad</t>
  </si>
  <si>
    <t>Rigen</t>
  </si>
  <si>
    <t>Komoria 1</t>
  </si>
  <si>
    <t>Komoria 2</t>
  </si>
  <si>
    <t>Boroman</t>
  </si>
  <si>
    <t>Gamog</t>
  </si>
  <si>
    <t>Did</t>
  </si>
  <si>
    <t>Kurum</t>
  </si>
  <si>
    <t>Faith (Gaubin)</t>
  </si>
  <si>
    <t>Marup 1</t>
  </si>
  <si>
    <t>Marup 2</t>
  </si>
  <si>
    <t>Midan</t>
  </si>
  <si>
    <t>Mangar</t>
  </si>
  <si>
    <t>Kuduk</t>
  </si>
  <si>
    <t>Moban</t>
  </si>
  <si>
    <t>Kilden</t>
  </si>
  <si>
    <t>Bafor</t>
  </si>
  <si>
    <t>Kevasop</t>
  </si>
  <si>
    <t>Liloi</t>
  </si>
  <si>
    <t>Wakon</t>
  </si>
  <si>
    <t>Arot</t>
  </si>
  <si>
    <t>Mararamun</t>
  </si>
  <si>
    <t>Aiyau (Kalvary)</t>
  </si>
  <si>
    <t>Gasam</t>
  </si>
  <si>
    <t>Oropot</t>
  </si>
  <si>
    <t>Gom</t>
  </si>
  <si>
    <t>Omobarang</t>
  </si>
  <si>
    <t>Balim</t>
  </si>
  <si>
    <t>Gomrongon</t>
  </si>
  <si>
    <t>Tarawe</t>
  </si>
  <si>
    <t>Opai</t>
  </si>
  <si>
    <t>Obongai</t>
  </si>
  <si>
    <t>Marasuron</t>
  </si>
  <si>
    <t>Sarabron</t>
  </si>
  <si>
    <t>Anrai</t>
  </si>
  <si>
    <t>Baiyau</t>
  </si>
  <si>
    <t>Masere</t>
  </si>
  <si>
    <t>Matagen</t>
  </si>
  <si>
    <t>Awar</t>
  </si>
  <si>
    <t>Murau</t>
  </si>
  <si>
    <t>Tur</t>
  </si>
  <si>
    <t>Kamparap</t>
  </si>
  <si>
    <t>Kabi</t>
  </si>
  <si>
    <t>Sakar</t>
  </si>
  <si>
    <t>Brik</t>
  </si>
  <si>
    <t>Yaga</t>
  </si>
  <si>
    <t>Marile</t>
  </si>
  <si>
    <t>Alonai (Ailan)</t>
  </si>
  <si>
    <t>Gauru</t>
  </si>
  <si>
    <t>Yangra</t>
  </si>
  <si>
    <t>Malai (Ailan)</t>
  </si>
  <si>
    <t>Tuam (Ailan)</t>
  </si>
  <si>
    <t>Aromod</t>
  </si>
  <si>
    <t>Mutumara</t>
  </si>
  <si>
    <t>Geraun</t>
  </si>
  <si>
    <t>Kambau</t>
  </si>
  <si>
    <t>Musep</t>
  </si>
  <si>
    <t>Waran</t>
  </si>
  <si>
    <t>Quautop</t>
  </si>
  <si>
    <t>Saune</t>
  </si>
  <si>
    <t>Lauya</t>
  </si>
  <si>
    <t>Muing/Konge</t>
  </si>
  <si>
    <t>Niuling</t>
  </si>
  <si>
    <t>Sape</t>
  </si>
  <si>
    <t>Gumung</t>
  </si>
  <si>
    <t>Umung</t>
  </si>
  <si>
    <t>Sikam</t>
  </si>
  <si>
    <t>Sombore</t>
  </si>
  <si>
    <t>Satwak</t>
  </si>
  <si>
    <t>Bangut</t>
  </si>
  <si>
    <t>Kilokilo</t>
  </si>
  <si>
    <t>Gotoro</t>
  </si>
  <si>
    <t>Bomu</t>
  </si>
  <si>
    <t>Upart</t>
  </si>
  <si>
    <t>Gilang</t>
  </si>
  <si>
    <t>Kamaudu</t>
  </si>
  <si>
    <t>Erendengan</t>
  </si>
  <si>
    <t>Dolo</t>
  </si>
  <si>
    <t>Weke</t>
  </si>
  <si>
    <t>Indum 1</t>
  </si>
  <si>
    <t>Indum 2</t>
  </si>
  <si>
    <t>Indum 3</t>
  </si>
  <si>
    <t>Indum 4</t>
  </si>
  <si>
    <t>Selepet</t>
  </si>
  <si>
    <t>Konimdo 1</t>
  </si>
  <si>
    <t>Konimdo 2</t>
  </si>
  <si>
    <t>Solong</t>
  </si>
  <si>
    <t>Dengop</t>
  </si>
  <si>
    <t>Kusing</t>
  </si>
  <si>
    <t>Wap</t>
  </si>
  <si>
    <t>Nimbako</t>
  </si>
  <si>
    <t>Kondolop</t>
  </si>
  <si>
    <t>Umbmon</t>
  </si>
  <si>
    <t xml:space="preserve">Maranatha </t>
  </si>
  <si>
    <t>Dengonde</t>
  </si>
  <si>
    <t>Sombongan</t>
  </si>
  <si>
    <t>Mumugan</t>
  </si>
  <si>
    <t>Kondoron</t>
  </si>
  <si>
    <t>Lomongmon</t>
  </si>
  <si>
    <t>Dawot</t>
  </si>
  <si>
    <t>Teng</t>
  </si>
  <si>
    <t>Sei</t>
  </si>
  <si>
    <t>Hemon</t>
  </si>
  <si>
    <t>Nawo</t>
  </si>
  <si>
    <t>Takop</t>
  </si>
  <si>
    <t>Kulung</t>
  </si>
  <si>
    <t>Kawange</t>
  </si>
  <si>
    <t>Yowung</t>
  </si>
  <si>
    <t>Hem</t>
  </si>
  <si>
    <t>Giwilon</t>
  </si>
  <si>
    <t>Derim Stetsin</t>
  </si>
  <si>
    <t>Busion</t>
  </si>
  <si>
    <t>Worongon</t>
  </si>
  <si>
    <t>Nembo</t>
  </si>
  <si>
    <t>Borokey</t>
  </si>
  <si>
    <t>Kabwum High School</t>
  </si>
  <si>
    <t>Yakop</t>
  </si>
  <si>
    <t>Malon</t>
  </si>
  <si>
    <t>Yandu 1</t>
  </si>
  <si>
    <t>Yandu 2</t>
  </si>
  <si>
    <t>Yandu 3</t>
  </si>
  <si>
    <t>Yandu 4</t>
  </si>
  <si>
    <t>Tumun</t>
  </si>
  <si>
    <t>Gotowon</t>
  </si>
  <si>
    <t>Gevenan</t>
  </si>
  <si>
    <t>Maramung</t>
  </si>
  <si>
    <t>Dirit</t>
  </si>
  <si>
    <t>Kian</t>
  </si>
  <si>
    <t>Sipgo</t>
  </si>
  <si>
    <t>Ajanget</t>
  </si>
  <si>
    <t>Aunon</t>
  </si>
  <si>
    <t>Bobangat</t>
  </si>
  <si>
    <t>Wakopop</t>
  </si>
  <si>
    <t>Moum</t>
  </si>
  <si>
    <t xml:space="preserve">Yout </t>
  </si>
  <si>
    <t>Gakgep</t>
  </si>
  <si>
    <t>Kopungkpang</t>
  </si>
  <si>
    <t>Malalamai</t>
  </si>
  <si>
    <t>Gari</t>
  </si>
  <si>
    <t>Ronzi</t>
  </si>
  <si>
    <t>Yokondi</t>
  </si>
  <si>
    <t>Seore</t>
  </si>
  <si>
    <t>Sel</t>
  </si>
  <si>
    <t>Taurang</t>
  </si>
  <si>
    <t>Bonkiman</t>
  </si>
  <si>
    <t xml:space="preserve">Tason </t>
  </si>
  <si>
    <t>Komeleng</t>
  </si>
  <si>
    <t>Tapmot</t>
  </si>
  <si>
    <t>Dakaman</t>
  </si>
  <si>
    <t>Qaaop</t>
  </si>
  <si>
    <t>Norum</t>
  </si>
  <si>
    <t>Urop</t>
  </si>
  <si>
    <t>Kameda</t>
  </si>
  <si>
    <t>Bapuda</t>
  </si>
  <si>
    <t>Mek</t>
  </si>
  <si>
    <t>Klaset</t>
  </si>
  <si>
    <t>Wungon</t>
  </si>
  <si>
    <t>Kumbul</t>
  </si>
  <si>
    <t>Tapmange</t>
  </si>
  <si>
    <t>Memnan</t>
  </si>
  <si>
    <t>Gongam</t>
  </si>
  <si>
    <t>Gangurut</t>
  </si>
  <si>
    <t>Weskokop</t>
  </si>
  <si>
    <t>Gua</t>
  </si>
  <si>
    <t>Taing</t>
  </si>
  <si>
    <t>Dungket</t>
  </si>
  <si>
    <t>Kolipon</t>
  </si>
  <si>
    <t>Tolik</t>
  </si>
  <si>
    <t>Mumanaran</t>
  </si>
  <si>
    <t xml:space="preserve">Sakam </t>
  </si>
  <si>
    <t>Tamunak</t>
  </si>
  <si>
    <t>Makwa</t>
  </si>
  <si>
    <t>Siwon</t>
  </si>
  <si>
    <t>Sapmanga</t>
  </si>
  <si>
    <t>Kumdan</t>
  </si>
  <si>
    <t>Sagulong</t>
  </si>
  <si>
    <t>Boksawin</t>
  </si>
  <si>
    <t>Warin</t>
  </si>
  <si>
    <t>Yawan</t>
  </si>
  <si>
    <t>Mitmit</t>
  </si>
  <si>
    <t>Kotet</t>
  </si>
  <si>
    <t>Mup</t>
  </si>
  <si>
    <t>Sugan</t>
  </si>
  <si>
    <t>Sndamon</t>
  </si>
  <si>
    <t>Boit</t>
  </si>
  <si>
    <t>Sindoma</t>
  </si>
  <si>
    <t>Yongem</t>
  </si>
  <si>
    <t>Dagene</t>
  </si>
  <si>
    <t>Mipu</t>
  </si>
  <si>
    <t>Tangam</t>
  </si>
  <si>
    <t>Mambit</t>
  </si>
  <si>
    <t>Yaqbo</t>
  </si>
  <si>
    <t>Kasam</t>
  </si>
  <si>
    <t>Piwon</t>
  </si>
  <si>
    <t>Daik</t>
  </si>
  <si>
    <t>Kumbuwo</t>
  </si>
  <si>
    <t>Kadambo</t>
  </si>
  <si>
    <t>Gugon</t>
  </si>
  <si>
    <t>Kudiwek</t>
  </si>
  <si>
    <t>Miok</t>
  </si>
  <si>
    <t>Taip 1</t>
  </si>
  <si>
    <t>Taip 2</t>
  </si>
  <si>
    <t>Iqbo</t>
  </si>
  <si>
    <t>Meweng</t>
  </si>
  <si>
    <t>Eyengkewe</t>
  </si>
  <si>
    <t>Gumok</t>
  </si>
  <si>
    <t>Sevan</t>
  </si>
  <si>
    <t>Mambek</t>
  </si>
  <si>
    <t>Gubaiyong</t>
  </si>
  <si>
    <t>Songkubing</t>
  </si>
  <si>
    <t>Bungki</t>
  </si>
  <si>
    <t>Migima</t>
  </si>
  <si>
    <t>Sintogora</t>
  </si>
  <si>
    <t>Usop</t>
  </si>
  <si>
    <t>Sulumun</t>
  </si>
  <si>
    <t>Tagup</t>
  </si>
  <si>
    <t>Kokosan</t>
  </si>
  <si>
    <t>Finongan</t>
  </si>
  <si>
    <t>Gafan</t>
  </si>
  <si>
    <t>Rowai 1</t>
  </si>
  <si>
    <t>Rowai 2</t>
  </si>
  <si>
    <t>Rabisap</t>
  </si>
  <si>
    <t>Nimara</t>
  </si>
  <si>
    <t>Kapora</t>
  </si>
  <si>
    <t>Nemem</t>
  </si>
  <si>
    <t>Yangarang</t>
  </si>
  <si>
    <t>Tating</t>
  </si>
  <si>
    <t>Fi</t>
  </si>
  <si>
    <t>Tinibe</t>
  </si>
  <si>
    <t>Torowa</t>
  </si>
  <si>
    <t>Wesan</t>
  </si>
  <si>
    <t>Kapmewang</t>
  </si>
  <si>
    <t>Sibi</t>
  </si>
  <si>
    <t>Rimbun</t>
  </si>
  <si>
    <t>Bayang</t>
  </si>
  <si>
    <t>Kawerarang</t>
  </si>
  <si>
    <t>Barawang</t>
  </si>
  <si>
    <t>Saut</t>
  </si>
  <si>
    <t>Lemang</t>
  </si>
  <si>
    <t>Kasangan</t>
  </si>
  <si>
    <t>Mosa</t>
  </si>
  <si>
    <t>Kamdaran</t>
  </si>
  <si>
    <t>Burapan</t>
  </si>
  <si>
    <t>Laip</t>
  </si>
  <si>
    <t>Salom</t>
  </si>
  <si>
    <t>nadifo</t>
  </si>
  <si>
    <t>Silong</t>
  </si>
  <si>
    <t>Ankrismo</t>
  </si>
  <si>
    <t>Hauta</t>
  </si>
  <si>
    <t>Ninadi</t>
  </si>
  <si>
    <t>Dzendzen</t>
  </si>
  <si>
    <t>Wasin</t>
  </si>
  <si>
    <t>Diridia</t>
  </si>
  <si>
    <t>Sokam</t>
  </si>
  <si>
    <t>Mumingan</t>
  </si>
  <si>
    <t>Sikilen</t>
  </si>
  <si>
    <t>Bosagen</t>
  </si>
  <si>
    <t>Kawelau</t>
  </si>
  <si>
    <t>Ganzingan</t>
  </si>
  <si>
    <t>Goambot</t>
  </si>
  <si>
    <t>Wambangan</t>
  </si>
  <si>
    <t>Manandambin</t>
  </si>
  <si>
    <t>Tamben</t>
  </si>
  <si>
    <t>Bawan</t>
  </si>
  <si>
    <t>Gelmen</t>
  </si>
  <si>
    <t>Misok</t>
  </si>
  <si>
    <t>Orin</t>
  </si>
  <si>
    <t>Kiakum</t>
  </si>
  <si>
    <t>Tuwep</t>
  </si>
  <si>
    <t>Sakarang</t>
  </si>
  <si>
    <t>Mogon</t>
  </si>
  <si>
    <t>Yalumbang</t>
  </si>
  <si>
    <t>Mumbanzing</t>
  </si>
  <si>
    <t>Qamben</t>
  </si>
  <si>
    <t>Awen</t>
  </si>
  <si>
    <t>Tukwambet</t>
  </si>
  <si>
    <t>Baindoang</t>
  </si>
  <si>
    <t>Qamberen</t>
  </si>
  <si>
    <t>Akandang</t>
  </si>
  <si>
    <t>Anopman</t>
  </si>
  <si>
    <t>Umbangan</t>
  </si>
  <si>
    <t>Kistuen</t>
  </si>
  <si>
    <t>Mosoip</t>
  </si>
  <si>
    <t>Zinsaik</t>
  </si>
  <si>
    <t>Dokalang</t>
  </si>
  <si>
    <t>Sasawalen</t>
  </si>
  <si>
    <t>Kalangandong</t>
  </si>
  <si>
    <t>Bendep</t>
  </si>
  <si>
    <t>Momsalop</t>
  </si>
  <si>
    <t>Dimining</t>
  </si>
  <si>
    <t>Ogau</t>
  </si>
  <si>
    <t>Zitare</t>
  </si>
  <si>
    <t>Sezilime</t>
  </si>
  <si>
    <t>Tombaka</t>
  </si>
  <si>
    <t>Sambuen</t>
  </si>
  <si>
    <t>Zanam</t>
  </si>
  <si>
    <t>Samamansing</t>
  </si>
  <si>
    <t>Tuzing</t>
  </si>
  <si>
    <t>Tusulu</t>
  </si>
  <si>
    <t>Buko</t>
  </si>
  <si>
    <t xml:space="preserve">Ridima </t>
  </si>
  <si>
    <t>White Kompau</t>
  </si>
  <si>
    <t>Forestri</t>
  </si>
  <si>
    <t>New Bread</t>
  </si>
  <si>
    <t>Masama</t>
  </si>
  <si>
    <t>A.D.O.</t>
  </si>
  <si>
    <t>Misisbot</t>
  </si>
  <si>
    <t>Mais Kaundi</t>
  </si>
  <si>
    <t>4 Mile</t>
  </si>
  <si>
    <t>Nemnem</t>
  </si>
  <si>
    <t>Kobiau</t>
  </si>
  <si>
    <t>Maus Kuranga</t>
  </si>
  <si>
    <t>St Philip</t>
  </si>
  <si>
    <t>Wara Karap</t>
  </si>
  <si>
    <t>Wandumi</t>
  </si>
  <si>
    <t>Kaisini</t>
  </si>
  <si>
    <t>Leklu</t>
  </si>
  <si>
    <t>Latep</t>
  </si>
  <si>
    <t>Denglu</t>
  </si>
  <si>
    <t>Bimbu</t>
  </si>
  <si>
    <t>Pelanguwa</t>
  </si>
  <si>
    <t>Sausau</t>
  </si>
  <si>
    <t>Admin</t>
  </si>
  <si>
    <t>Forestry</t>
  </si>
  <si>
    <t>New Kemp</t>
  </si>
  <si>
    <t>Bailis</t>
  </si>
  <si>
    <t>Siapan</t>
  </si>
  <si>
    <t>Paitop</t>
  </si>
  <si>
    <t>Mausboxs</t>
  </si>
  <si>
    <t>Ekopa</t>
  </si>
  <si>
    <t>Frosal</t>
  </si>
  <si>
    <t>Erowa Creen</t>
  </si>
  <si>
    <t>Nauti</t>
  </si>
  <si>
    <t>Sapanda</t>
  </si>
  <si>
    <t>Manyanda</t>
  </si>
  <si>
    <t>Pararoa</t>
  </si>
  <si>
    <t>Gumi</t>
  </si>
  <si>
    <t>Andarola</t>
  </si>
  <si>
    <t>Uumalu</t>
  </si>
  <si>
    <t>St Gesungtaus</t>
  </si>
  <si>
    <t>Pamelabus</t>
  </si>
  <si>
    <t>Stesin</t>
  </si>
  <si>
    <t>Bamaulum</t>
  </si>
  <si>
    <t>Sambio</t>
  </si>
  <si>
    <t>Viriuxa</t>
  </si>
  <si>
    <t>Hambu</t>
  </si>
  <si>
    <t>Mahomba</t>
  </si>
  <si>
    <t>Wakni</t>
  </si>
  <si>
    <t>Bundun</t>
  </si>
  <si>
    <t>Genengmo</t>
  </si>
  <si>
    <t>Bialopu</t>
  </si>
  <si>
    <t>Mumentain</t>
  </si>
  <si>
    <t>Parakris</t>
  </si>
  <si>
    <t>Yanta</t>
  </si>
  <si>
    <t>Zenag</t>
  </si>
  <si>
    <t>Tayem</t>
  </si>
  <si>
    <t>Galawo</t>
  </si>
  <si>
    <t>Sanang</t>
  </si>
  <si>
    <t>Geules</t>
  </si>
  <si>
    <t>Sambus</t>
  </si>
  <si>
    <t>Dambi</t>
  </si>
  <si>
    <t>Dangal</t>
  </si>
  <si>
    <t>Biamena</t>
  </si>
  <si>
    <t>Piu</t>
  </si>
  <si>
    <t>Humbake</t>
  </si>
  <si>
    <t>Tumbol</t>
  </si>
  <si>
    <t>Gelengno</t>
  </si>
  <si>
    <t>Gurakol</t>
  </si>
  <si>
    <t>Bupu</t>
  </si>
  <si>
    <t>Omalai</t>
  </si>
  <si>
    <t>Hengabu</t>
  </si>
  <si>
    <t>Toangola</t>
  </si>
  <si>
    <t>Zimangke</t>
  </si>
  <si>
    <t>Bilom 1</t>
  </si>
  <si>
    <t>Bilom 2</t>
  </si>
  <si>
    <t>Bilom 3</t>
  </si>
  <si>
    <t>Molova &amp; Kalasu</t>
  </si>
  <si>
    <t>Forest</t>
  </si>
  <si>
    <t>Mil kompaun</t>
  </si>
  <si>
    <t>Namatanai</t>
  </si>
  <si>
    <t>Kafana</t>
  </si>
  <si>
    <t>Finito</t>
  </si>
  <si>
    <t>Gamuka</t>
  </si>
  <si>
    <t>Arikayufa</t>
  </si>
  <si>
    <t>Gotobe</t>
  </si>
  <si>
    <t>Masumare</t>
  </si>
  <si>
    <t>Kamariki</t>
  </si>
  <si>
    <t>Roza</t>
  </si>
  <si>
    <t>Mono</t>
  </si>
  <si>
    <t>Gepaina o Betali</t>
  </si>
  <si>
    <t>Sipira</t>
  </si>
  <si>
    <t>Orumba</t>
  </si>
  <si>
    <t>Arango</t>
  </si>
  <si>
    <t>Lataro</t>
  </si>
  <si>
    <t>St. Jekop</t>
  </si>
  <si>
    <t>Emegawe</t>
  </si>
  <si>
    <t>Jafoka</t>
  </si>
  <si>
    <t>Hegu</t>
  </si>
  <si>
    <t>Kononenge</t>
  </si>
  <si>
    <t>Kesewai</t>
  </si>
  <si>
    <t>Asas</t>
  </si>
  <si>
    <t>Torokop</t>
  </si>
  <si>
    <t>Misinari</t>
  </si>
  <si>
    <t>Teri</t>
  </si>
  <si>
    <t>Malea</t>
  </si>
  <si>
    <t>Nilmami</t>
  </si>
  <si>
    <t>English</t>
  </si>
  <si>
    <t>Pisin</t>
  </si>
  <si>
    <t>Paragon</t>
  </si>
  <si>
    <t>St. Matyu</t>
  </si>
  <si>
    <t>Biute</t>
  </si>
  <si>
    <t>Fotama</t>
  </si>
  <si>
    <t>Matega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</si>
</sst>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scheme val="minor"/>
    </font>
    <font>
      <u/>
      <sz val="11"/>
      <color theme="10"/>
      <name val="Calibri"/>
      <family val="2"/>
      <scheme val="minor"/>
    </font>
    <font>
      <sz val="11"/>
      <color rgb="FF3F3F76"/>
      <name val="Calibri"/>
      <family val="2"/>
      <scheme val="minor"/>
    </font>
    <font>
      <b/>
      <sz val="22"/>
      <color theme="1"/>
      <name val="Calibri"/>
      <family val="2"/>
      <scheme val="minor"/>
    </font>
    <font>
      <b/>
      <sz val="12"/>
      <color theme="1"/>
      <name val="Calibri"/>
      <family val="2"/>
      <scheme val="minor"/>
    </font>
    <font>
      <b/>
      <sz val="11"/>
      <color theme="1"/>
      <name val="Calibri"/>
      <family val="2"/>
      <scheme val="minor"/>
    </font>
    <font>
      <i/>
      <sz val="11"/>
      <color theme="1"/>
      <name val="Calibri"/>
      <family val="2"/>
      <scheme val="minor"/>
    </font>
    <font>
      <b/>
      <sz val="22"/>
      <name val="Calibri"/>
      <family val="2"/>
      <scheme val="minor"/>
    </font>
    <font>
      <b/>
      <sz val="11"/>
      <name val="Calibri"/>
      <family val="2"/>
      <scheme val="minor"/>
    </font>
    <font>
      <b/>
      <sz val="18"/>
      <name val="Calibri"/>
      <family val="2"/>
      <scheme val="minor"/>
    </font>
    <font>
      <sz val="14"/>
      <color theme="1"/>
      <name val="Calibri"/>
      <family val="2"/>
      <scheme val="minor"/>
    </font>
    <font>
      <sz val="11"/>
      <name val="Calibri"/>
      <family val="2"/>
      <scheme val="minor"/>
    </font>
    <font>
      <sz val="11"/>
      <color theme="9"/>
      <name val="Calibri"/>
      <family val="2"/>
      <scheme val="minor"/>
    </font>
    <font>
      <b/>
      <sz val="11"/>
      <color theme="9"/>
      <name val="Calibri"/>
      <family val="2"/>
      <scheme val="minor"/>
    </font>
  </fonts>
  <fills count="20">
    <fill>
      <patternFill patternType="none"/>
    </fill>
    <fill>
      <patternFill patternType="gray125"/>
    </fill>
    <fill>
      <patternFill patternType="solid">
        <fgColor indexed="47"/>
        <bgColor indexed="47"/>
      </patternFill>
    </fill>
    <fill>
      <patternFill patternType="solid">
        <fgColor theme="0"/>
        <bgColor theme="0"/>
      </patternFill>
    </fill>
    <fill>
      <patternFill patternType="solid">
        <fgColor theme="4" tint="0.79998168889431442"/>
        <bgColor theme="4" tint="0.79998168889431442"/>
      </patternFill>
    </fill>
    <fill>
      <patternFill patternType="solid">
        <fgColor theme="9" tint="0.79998168889431442"/>
        <bgColor theme="9" tint="0.79998168889431442"/>
      </patternFill>
    </fill>
    <fill>
      <gradientFill type="path" degree="90">
        <stop position="0">
          <color theme="0"/>
        </stop>
        <stop position="1">
          <color theme="4"/>
        </stop>
      </gradientFill>
    </fill>
    <fill>
      <patternFill patternType="solid">
        <fgColor theme="7" tint="0.79998168889431442"/>
        <bgColor theme="7" tint="0.79998168889431442"/>
      </patternFill>
    </fill>
    <fill>
      <patternFill patternType="solid">
        <fgColor theme="5" tint="0.79998168889431442"/>
        <bgColor theme="5" tint="0.79998168889431442"/>
      </patternFill>
    </fill>
    <fill>
      <gradientFill type="path" degree="90">
        <stop position="0">
          <color theme="0"/>
        </stop>
        <stop position="1">
          <color theme="9"/>
        </stop>
      </gradientFill>
    </fill>
    <fill>
      <gradientFill type="path" degree="90">
        <stop position="0">
          <color theme="0"/>
        </stop>
        <stop position="1">
          <color theme="7"/>
        </stop>
      </gradientFill>
    </fill>
    <fill>
      <gradientFill type="path" degree="90">
        <stop position="0">
          <color theme="0"/>
        </stop>
        <stop position="1">
          <color theme="5"/>
        </stop>
      </gradientFill>
    </fill>
    <fill>
      <patternFill patternType="solid">
        <fgColor theme="4"/>
        <bgColor theme="4"/>
      </patternFill>
    </fill>
    <fill>
      <gradientFill type="path" degree="90">
        <stop position="0">
          <color theme="0"/>
        </stop>
        <stop position="1">
          <color theme="4"/>
        </stop>
      </gradientFill>
    </fill>
    <fill>
      <gradientFill type="path" degree="90">
        <stop position="0">
          <color theme="0"/>
        </stop>
        <stop position="1">
          <color theme="9"/>
        </stop>
      </gradientFill>
    </fill>
    <fill>
      <patternFill patternType="solid">
        <fgColor theme="9"/>
        <bgColor theme="9"/>
      </patternFill>
    </fill>
    <fill>
      <gradientFill type="path" degree="90">
        <stop position="0">
          <color theme="0"/>
        </stop>
        <stop position="1">
          <color theme="7"/>
        </stop>
      </gradientFill>
    </fill>
    <fill>
      <patternFill patternType="solid">
        <fgColor theme="7"/>
        <bgColor theme="7"/>
      </patternFill>
    </fill>
    <fill>
      <gradientFill type="path" degree="90">
        <stop position="0">
          <color theme="0"/>
        </stop>
        <stop position="1">
          <color theme="5"/>
        </stop>
      </gradientFill>
    </fill>
    <fill>
      <patternFill patternType="solid">
        <fgColor theme="5"/>
        <bgColor theme="5"/>
      </patternFill>
    </fill>
  </fills>
  <borders count="17">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medium">
        <color auto="1"/>
      </left>
      <right/>
      <top style="medium">
        <color auto="1"/>
      </top>
      <bottom/>
      <diagonal/>
    </border>
    <border>
      <left/>
      <right style="medium">
        <color auto="1"/>
      </right>
      <top style="medium">
        <color auto="1"/>
      </top>
      <bottom/>
      <diagonal/>
    </border>
    <border>
      <left/>
      <right/>
      <top/>
      <bottom style="thin">
        <color auto="1"/>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theme="9"/>
      </left>
      <right style="thin">
        <color theme="9"/>
      </right>
      <top style="thin">
        <color theme="9"/>
      </top>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0" fontId="1" fillId="0" borderId="0" applyNumberFormat="0" applyFill="0" applyBorder="0" applyProtection="0"/>
    <xf numFmtId="0" fontId="2" fillId="2" borderId="1" applyNumberFormat="0"/>
  </cellStyleXfs>
  <cellXfs count="107">
    <xf numFmtId="0" fontId="0" fillId="0" borderId="0" xfId="0"/>
    <xf numFmtId="0" fontId="0" fillId="3" borderId="0" xfId="0" applyFill="1"/>
    <xf numFmtId="0" fontId="0" fillId="3" borderId="2" xfId="0" applyFill="1" applyBorder="1"/>
    <xf numFmtId="0" fontId="0" fillId="3" borderId="3" xfId="0" applyFill="1" applyBorder="1"/>
    <xf numFmtId="0" fontId="0" fillId="3" borderId="4" xfId="0" applyFill="1" applyBorder="1"/>
    <xf numFmtId="0" fontId="3" fillId="3" borderId="0" xfId="0" applyFont="1" applyFill="1"/>
    <xf numFmtId="0" fontId="0" fillId="3" borderId="5" xfId="0" applyFill="1" applyBorder="1"/>
    <xf numFmtId="0" fontId="0" fillId="3" borderId="6" xfId="0" applyFill="1" applyBorder="1"/>
    <xf numFmtId="0" fontId="0" fillId="3" borderId="7" xfId="0" applyFill="1" applyBorder="1"/>
    <xf numFmtId="0" fontId="0" fillId="3" borderId="0" xfId="0" applyFill="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2" xfId="0" applyFill="1" applyBorder="1" applyAlignment="1">
      <alignment horizontal="center"/>
    </xf>
    <xf numFmtId="0" fontId="5" fillId="4" borderId="8" xfId="0" applyFont="1" applyFill="1" applyBorder="1"/>
    <xf numFmtId="0" fontId="0" fillId="4" borderId="8" xfId="0" applyFill="1" applyBorder="1"/>
    <xf numFmtId="0" fontId="0" fillId="3" borderId="9" xfId="0" applyFill="1" applyBorder="1"/>
    <xf numFmtId="0" fontId="0" fillId="3" borderId="10" xfId="0" applyFill="1" applyBorder="1"/>
    <xf numFmtId="0" fontId="5" fillId="5" borderId="8" xfId="0" applyFont="1" applyFill="1" applyBorder="1"/>
    <xf numFmtId="0" fontId="0" fillId="5" borderId="8" xfId="0" applyFill="1" applyBorder="1"/>
    <xf numFmtId="0" fontId="5" fillId="7" borderId="8" xfId="0" applyFont="1" applyFill="1" applyBorder="1"/>
    <xf numFmtId="0" fontId="0" fillId="7" borderId="8" xfId="0" applyFill="1" applyBorder="1"/>
    <xf numFmtId="0" fontId="5" fillId="8" borderId="8" xfId="0" applyFont="1" applyFill="1" applyBorder="1"/>
    <xf numFmtId="0" fontId="0" fillId="8" borderId="8" xfId="0" applyFill="1" applyBorder="1"/>
    <xf numFmtId="0" fontId="8" fillId="3" borderId="8" xfId="0" applyFont="1" applyFill="1" applyBorder="1"/>
    <xf numFmtId="0" fontId="0" fillId="3" borderId="8" xfId="0" applyFill="1" applyBorder="1"/>
    <xf numFmtId="0" fontId="5" fillId="3" borderId="0" xfId="0" applyFont="1" applyFill="1"/>
    <xf numFmtId="0" fontId="0" fillId="7" borderId="8" xfId="0" applyFill="1" applyBorder="1" applyAlignment="1">
      <alignment horizontal="right"/>
    </xf>
    <xf numFmtId="0" fontId="0" fillId="0" borderId="0" xfId="0" applyAlignment="1">
      <alignment horizontal="left"/>
    </xf>
    <xf numFmtId="0" fontId="5" fillId="3" borderId="8" xfId="0" applyFont="1" applyFill="1" applyBorder="1"/>
    <xf numFmtId="0" fontId="2" fillId="2" borderId="1" xfId="2" applyFont="1" applyFill="1" applyBorder="1"/>
    <xf numFmtId="0" fontId="0" fillId="12" borderId="0" xfId="0" applyFill="1"/>
    <xf numFmtId="0" fontId="0" fillId="3" borderId="14" xfId="0" applyFill="1" applyBorder="1"/>
    <xf numFmtId="0" fontId="3" fillId="12" borderId="0" xfId="0" applyFont="1" applyFill="1"/>
    <xf numFmtId="0" fontId="10" fillId="3" borderId="0" xfId="0" applyFont="1" applyFill="1"/>
    <xf numFmtId="0" fontId="11" fillId="3" borderId="0" xfId="0" applyFont="1" applyFill="1"/>
    <xf numFmtId="0" fontId="0" fillId="12" borderId="0" xfId="0" applyFill="1" applyAlignment="1">
      <alignment horizontal="center"/>
    </xf>
    <xf numFmtId="0" fontId="0" fillId="3" borderId="14" xfId="0" applyFill="1" applyBorder="1" applyAlignment="1">
      <alignment horizontal="center"/>
    </xf>
    <xf numFmtId="0" fontId="0" fillId="15" borderId="0" xfId="0" applyFill="1"/>
    <xf numFmtId="0" fontId="3" fillId="15" borderId="0" xfId="0" applyFont="1" applyFill="1"/>
    <xf numFmtId="0" fontId="12" fillId="15" borderId="0" xfId="0" applyFont="1" applyFill="1"/>
    <xf numFmtId="0" fontId="13" fillId="15" borderId="15" xfId="0" applyFont="1" applyFill="1" applyBorder="1" applyAlignment="1">
      <alignment horizontal="center" vertical="center"/>
    </xf>
    <xf numFmtId="0" fontId="0" fillId="15" borderId="0" xfId="0" applyFill="1" applyAlignment="1">
      <alignment horizontal="center"/>
    </xf>
    <xf numFmtId="0" fontId="0" fillId="3" borderId="16" xfId="0" applyFill="1" applyBorder="1"/>
    <xf numFmtId="0" fontId="0" fillId="17" borderId="0" xfId="0" applyFill="1"/>
    <xf numFmtId="0" fontId="3" fillId="17" borderId="0" xfId="0" applyFont="1" applyFill="1"/>
    <xf numFmtId="0" fontId="0" fillId="17" borderId="0" xfId="0" applyFill="1" applyAlignment="1">
      <alignment horizontal="center"/>
    </xf>
    <xf numFmtId="0" fontId="0" fillId="19" borderId="0" xfId="0" applyFill="1"/>
    <xf numFmtId="0" fontId="3" fillId="19" borderId="0" xfId="0" applyFont="1" applyFill="1"/>
    <xf numFmtId="0" fontId="0" fillId="19" borderId="0" xfId="0" applyFill="1" applyAlignment="1">
      <alignment horizontal="center"/>
    </xf>
    <xf numFmtId="0" fontId="0" fillId="0" borderId="0" xfId="0" pivotButton="1"/>
    <xf numFmtId="0" fontId="0" fillId="0" borderId="0" xfId="0" applyNumberFormat="1"/>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6" fillId="4" borderId="8" xfId="0" applyFont="1" applyFill="1" applyBorder="1" applyAlignment="1">
      <alignment horizontal="left" vertical="top"/>
    </xf>
    <xf numFmtId="0" fontId="6" fillId="5" borderId="8" xfId="0" applyFont="1" applyFill="1" applyBorder="1" applyAlignment="1">
      <alignment horizontal="left" vertical="center"/>
    </xf>
    <xf numFmtId="0" fontId="6" fillId="5" borderId="11" xfId="0" applyFont="1" applyFill="1" applyBorder="1" applyAlignment="1">
      <alignment horizontal="left" vertical="center"/>
    </xf>
    <xf numFmtId="0" fontId="6" fillId="5" borderId="12" xfId="0" applyFont="1" applyFill="1" applyBorder="1" applyAlignment="1">
      <alignment horizontal="left" vertical="center"/>
    </xf>
    <xf numFmtId="0" fontId="6" fillId="5" borderId="13" xfId="0" applyFont="1" applyFill="1" applyBorder="1" applyAlignment="1">
      <alignment horizontal="left" vertical="center"/>
    </xf>
    <xf numFmtId="0" fontId="0" fillId="3" borderId="8" xfId="0" applyFill="1" applyBorder="1" applyAlignment="1">
      <alignment horizontal="left"/>
    </xf>
    <xf numFmtId="0" fontId="7" fillId="10" borderId="3" xfId="1" applyFont="1" applyFill="1" applyBorder="1" applyAlignment="1">
      <alignment horizontal="center" vertical="center" wrapText="1"/>
    </xf>
    <xf numFmtId="0" fontId="7" fillId="10" borderId="4" xfId="1" applyFont="1" applyFill="1" applyBorder="1" applyAlignment="1">
      <alignment horizontal="center" vertical="center" wrapText="1"/>
    </xf>
    <xf numFmtId="0" fontId="7" fillId="10" borderId="9" xfId="1" applyFont="1" applyFill="1" applyBorder="1" applyAlignment="1">
      <alignment horizontal="center" vertical="center" wrapText="1"/>
    </xf>
    <xf numFmtId="0" fontId="7" fillId="10" borderId="10" xfId="1" applyFont="1" applyFill="1" applyBorder="1" applyAlignment="1">
      <alignment horizontal="center" vertical="center" wrapText="1"/>
    </xf>
    <xf numFmtId="0" fontId="9" fillId="11" borderId="3" xfId="1" applyFont="1" applyFill="1" applyBorder="1" applyAlignment="1">
      <alignment horizontal="center" vertical="center" wrapText="1"/>
    </xf>
    <xf numFmtId="0" fontId="9" fillId="11" borderId="4" xfId="1" applyFont="1" applyFill="1" applyBorder="1" applyAlignment="1">
      <alignment horizontal="center" vertical="center" wrapText="1"/>
    </xf>
    <xf numFmtId="0" fontId="9" fillId="11" borderId="9" xfId="1" applyFont="1" applyFill="1" applyBorder="1" applyAlignment="1">
      <alignment horizontal="center" vertical="center" wrapText="1"/>
    </xf>
    <xf numFmtId="0" fontId="9" fillId="11" borderId="10" xfId="1" applyFont="1" applyFill="1" applyBorder="1" applyAlignment="1">
      <alignment horizontal="center" vertical="center" wrapText="1"/>
    </xf>
    <xf numFmtId="0" fontId="0" fillId="3" borderId="0" xfId="0" applyFill="1" applyAlignment="1">
      <alignment horizontal="center" vertical="center" wrapText="1"/>
    </xf>
    <xf numFmtId="0" fontId="7" fillId="6" borderId="3" xfId="1" applyFont="1" applyFill="1" applyBorder="1" applyAlignment="1">
      <alignment horizontal="center" vertical="center" wrapText="1"/>
    </xf>
    <xf numFmtId="0" fontId="7" fillId="6" borderId="4" xfId="1" applyFont="1" applyFill="1" applyBorder="1" applyAlignment="1">
      <alignment horizontal="center" vertical="center" wrapText="1"/>
    </xf>
    <xf numFmtId="0" fontId="7" fillId="6" borderId="9" xfId="1" applyFont="1" applyFill="1" applyBorder="1" applyAlignment="1">
      <alignment horizontal="center" vertical="center" wrapText="1"/>
    </xf>
    <xf numFmtId="0" fontId="7" fillId="6" borderId="10" xfId="1" applyFont="1" applyFill="1" applyBorder="1" applyAlignment="1">
      <alignment horizontal="center" vertical="center" wrapText="1"/>
    </xf>
    <xf numFmtId="0" fontId="6" fillId="7" borderId="8" xfId="0" applyFont="1" applyFill="1" applyBorder="1" applyAlignment="1">
      <alignment horizontal="left"/>
    </xf>
    <xf numFmtId="0" fontId="6" fillId="7" borderId="11" xfId="0" applyFont="1" applyFill="1" applyBorder="1" applyAlignment="1">
      <alignment horizontal="left"/>
    </xf>
    <xf numFmtId="0" fontId="6" fillId="7" borderId="12" xfId="0" applyFont="1" applyFill="1" applyBorder="1" applyAlignment="1">
      <alignment horizontal="left"/>
    </xf>
    <xf numFmtId="0" fontId="6" fillId="7" borderId="13" xfId="0" applyFont="1" applyFill="1" applyBorder="1" applyAlignment="1">
      <alignment horizontal="left"/>
    </xf>
    <xf numFmtId="0" fontId="6" fillId="8" borderId="11" xfId="0" applyFont="1" applyFill="1" applyBorder="1" applyAlignment="1">
      <alignment horizontal="left"/>
    </xf>
    <xf numFmtId="0" fontId="6" fillId="8" borderId="12" xfId="0" applyFont="1" applyFill="1" applyBorder="1" applyAlignment="1">
      <alignment horizontal="left"/>
    </xf>
    <xf numFmtId="0" fontId="6" fillId="8" borderId="13" xfId="0" applyFont="1" applyFill="1" applyBorder="1" applyAlignment="1">
      <alignment horizontal="left"/>
    </xf>
    <xf numFmtId="0" fontId="7" fillId="9" borderId="3" xfId="1" applyFont="1" applyFill="1" applyBorder="1" applyAlignment="1">
      <alignment horizontal="center" vertical="center" wrapText="1"/>
    </xf>
    <xf numFmtId="0" fontId="7" fillId="9" borderId="4" xfId="1" applyFont="1" applyFill="1" applyBorder="1" applyAlignment="1">
      <alignment horizontal="center" vertical="center" wrapText="1"/>
    </xf>
    <xf numFmtId="0" fontId="7" fillId="9" borderId="9" xfId="1" applyFont="1" applyFill="1" applyBorder="1" applyAlignment="1">
      <alignment horizontal="center" vertical="center" wrapText="1"/>
    </xf>
    <xf numFmtId="0" fontId="7" fillId="9" borderId="10" xfId="1" applyFont="1" applyFill="1" applyBorder="1" applyAlignment="1">
      <alignment horizontal="center" vertical="center" wrapText="1"/>
    </xf>
    <xf numFmtId="0" fontId="0" fillId="8" borderId="8" xfId="0" applyFill="1" applyBorder="1" applyAlignment="1">
      <alignment horizontal="left"/>
    </xf>
    <xf numFmtId="0" fontId="6" fillId="3" borderId="8" xfId="0" applyFont="1" applyFill="1" applyBorder="1" applyAlignment="1">
      <alignment horizontal="left"/>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wrapText="1"/>
    </xf>
    <xf numFmtId="0" fontId="7" fillId="3" borderId="9" xfId="1" applyFont="1" applyFill="1" applyBorder="1" applyAlignment="1">
      <alignment horizontal="center" vertical="center" wrapText="1"/>
    </xf>
    <xf numFmtId="0" fontId="7" fillId="3" borderId="10" xfId="1" applyFont="1" applyFill="1" applyBorder="1" applyAlignment="1">
      <alignment horizontal="center" vertical="center" wrapText="1"/>
    </xf>
    <xf numFmtId="0" fontId="7" fillId="13" borderId="3" xfId="1" applyFont="1" applyFill="1" applyBorder="1" applyAlignment="1">
      <alignment horizontal="center" vertical="center" wrapText="1"/>
    </xf>
    <xf numFmtId="0" fontId="7" fillId="13" borderId="4" xfId="1" applyFont="1" applyFill="1" applyBorder="1" applyAlignment="1">
      <alignment horizontal="center" vertical="center" wrapText="1"/>
    </xf>
    <xf numFmtId="0" fontId="7" fillId="13" borderId="9" xfId="1" applyFont="1" applyFill="1" applyBorder="1" applyAlignment="1">
      <alignment horizontal="center" vertical="center" wrapText="1"/>
    </xf>
    <xf numFmtId="0" fontId="7" fillId="13" borderId="10" xfId="1" applyFont="1" applyFill="1" applyBorder="1" applyAlignment="1">
      <alignment horizontal="center" vertical="center" wrapText="1"/>
    </xf>
    <xf numFmtId="0" fontId="7" fillId="14" borderId="3" xfId="1" applyFont="1" applyFill="1" applyBorder="1" applyAlignment="1">
      <alignment horizontal="center" vertical="center" wrapText="1"/>
    </xf>
    <xf numFmtId="0" fontId="7" fillId="14" borderId="4" xfId="1" applyFont="1" applyFill="1" applyBorder="1" applyAlignment="1">
      <alignment horizontal="center" vertical="center" wrapText="1"/>
    </xf>
    <xf numFmtId="0" fontId="7" fillId="14" borderId="9" xfId="1" applyFont="1" applyFill="1" applyBorder="1" applyAlignment="1">
      <alignment horizontal="center" vertical="center" wrapText="1"/>
    </xf>
    <xf numFmtId="0" fontId="7" fillId="14" borderId="10" xfId="1" applyFont="1" applyFill="1" applyBorder="1" applyAlignment="1">
      <alignment horizontal="center" vertical="center" wrapText="1"/>
    </xf>
    <xf numFmtId="0" fontId="7" fillId="16" borderId="3" xfId="1" applyFont="1" applyFill="1" applyBorder="1" applyAlignment="1">
      <alignment horizontal="center" vertical="center" wrapText="1"/>
    </xf>
    <xf numFmtId="0" fontId="7" fillId="16" borderId="4" xfId="1" applyFont="1" applyFill="1" applyBorder="1" applyAlignment="1">
      <alignment horizontal="center" vertical="center" wrapText="1"/>
    </xf>
    <xf numFmtId="0" fontId="7" fillId="16" borderId="9" xfId="1" applyFont="1" applyFill="1" applyBorder="1" applyAlignment="1">
      <alignment horizontal="center" vertical="center" wrapText="1"/>
    </xf>
    <xf numFmtId="0" fontId="7" fillId="16" borderId="10" xfId="1" applyFont="1" applyFill="1" applyBorder="1" applyAlignment="1">
      <alignment horizontal="center" vertical="center" wrapText="1"/>
    </xf>
    <xf numFmtId="0" fontId="9" fillId="18" borderId="3" xfId="1" applyFont="1" applyFill="1" applyBorder="1" applyAlignment="1">
      <alignment horizontal="center" vertical="center" wrapText="1"/>
    </xf>
    <xf numFmtId="0" fontId="9" fillId="18" borderId="4" xfId="1" applyFont="1" applyFill="1" applyBorder="1" applyAlignment="1">
      <alignment horizontal="center" vertical="center" wrapText="1"/>
    </xf>
    <xf numFmtId="0" fontId="9" fillId="18" borderId="9" xfId="1" applyFont="1" applyFill="1" applyBorder="1" applyAlignment="1">
      <alignment horizontal="center" vertical="center" wrapText="1"/>
    </xf>
    <xf numFmtId="0" fontId="9" fillId="18" borderId="10" xfId="1" applyFont="1" applyFill="1" applyBorder="1" applyAlignment="1">
      <alignment horizontal="center" vertical="center" wrapText="1"/>
    </xf>
  </cellXfs>
  <cellStyles count="3">
    <cellStyle name="Hyperlink" xfId="1" builtinId="8"/>
    <cellStyle name="Input" xfId="2" builtinId="20"/>
    <cellStyle name="Normal" xfId="0" builtinId="0"/>
  </cellStyles>
  <dxfs count="26">
    <dxf>
      <fill>
        <patternFill patternType="solid">
          <fgColor theme="0"/>
          <bgColor theme="0"/>
        </patternFill>
      </fill>
    </dxf>
    <dxf>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numFmt numFmtId="0" formatCode="General"/>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47625</xdr:rowOff>
    </xdr:from>
    <xdr:to>
      <xdr:col>2</xdr:col>
      <xdr:colOff>666749</xdr:colOff>
      <xdr:row>6</xdr:row>
      <xdr:rowOff>181402</xdr:rowOff>
    </xdr:to>
    <xdr:pic>
      <xdr:nvPicPr>
        <xdr:cNvPr id="4" name="Picture 3"/>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190500</xdr:colOff>
      <xdr:row>1</xdr:row>
      <xdr:rowOff>47625</xdr:rowOff>
    </xdr:from>
    <xdr:to>
      <xdr:col>2</xdr:col>
      <xdr:colOff>666749</xdr:colOff>
      <xdr:row>6</xdr:row>
      <xdr:rowOff>140128</xdr:rowOff>
    </xdr:to>
    <xdr:pic>
      <xdr:nvPicPr>
        <xdr:cNvPr id="2" name="Picture 1"/>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190495</xdr:colOff>
      <xdr:row>1</xdr:row>
      <xdr:rowOff>47619</xdr:rowOff>
    </xdr:from>
    <xdr:to>
      <xdr:col>2</xdr:col>
      <xdr:colOff>666746</xdr:colOff>
      <xdr:row>6</xdr:row>
      <xdr:rowOff>140123</xdr:rowOff>
    </xdr:to>
    <xdr:pic>
      <xdr:nvPicPr>
        <xdr:cNvPr id="8" name="Picture 7"/>
        <xdr:cNvPicPr>
          <a:picLocks noChangeAspect="1"/>
        </xdr:cNvPicPr>
      </xdr:nvPicPr>
      <xdr:blipFill>
        <a:blip xmlns:r="http://schemas.openxmlformats.org/officeDocument/2006/relationships" r:embed="rId1"/>
        <a:stretch/>
      </xdr:blipFill>
      <xdr:spPr bwMode="auto">
        <a:xfrm>
          <a:off x="400048" y="228597"/>
          <a:ext cx="1219198" cy="1225978"/>
        </a:xfrm>
        <a:prstGeom prst="rect">
          <a:avLst/>
        </a:prstGeom>
      </xdr:spPr>
    </xdr:pic>
    <xdr:clientData/>
  </xdr:twoCellAnchor>
  <xdr:twoCellAnchor editAs="oneCell">
    <xdr:from>
      <xdr:col>1</xdr:col>
      <xdr:colOff>190495</xdr:colOff>
      <xdr:row>1</xdr:row>
      <xdr:rowOff>47619</xdr:rowOff>
    </xdr:from>
    <xdr:to>
      <xdr:col>2</xdr:col>
      <xdr:colOff>666746</xdr:colOff>
      <xdr:row>6</xdr:row>
      <xdr:rowOff>140123</xdr:rowOff>
    </xdr:to>
    <xdr:pic>
      <xdr:nvPicPr>
        <xdr:cNvPr id="11" name="Picture 10"/>
        <xdr:cNvPicPr>
          <a:picLocks noChangeAspect="1"/>
        </xdr:cNvPicPr>
      </xdr:nvPicPr>
      <xdr:blipFill>
        <a:blip xmlns:r="http://schemas.openxmlformats.org/officeDocument/2006/relationships" r:embed="rId1"/>
        <a:stretch/>
      </xdr:blipFill>
      <xdr:spPr bwMode="auto">
        <a:xfrm>
          <a:off x="400048" y="228597"/>
          <a:ext cx="1219198" cy="1225978"/>
        </a:xfrm>
        <a:prstGeom prst="rect">
          <a:avLst/>
        </a:prstGeom>
      </xdr:spPr>
    </xdr:pic>
    <xdr:clientData/>
  </xdr:twoCellAnchor>
  <xdr:twoCellAnchor editAs="oneCell">
    <xdr:from>
      <xdr:col>1</xdr:col>
      <xdr:colOff>190495</xdr:colOff>
      <xdr:row>1</xdr:row>
      <xdr:rowOff>47619</xdr:rowOff>
    </xdr:from>
    <xdr:to>
      <xdr:col>2</xdr:col>
      <xdr:colOff>666746</xdr:colOff>
      <xdr:row>6</xdr:row>
      <xdr:rowOff>140123</xdr:rowOff>
    </xdr:to>
    <xdr:pic>
      <xdr:nvPicPr>
        <xdr:cNvPr id="12" name="Picture 11"/>
        <xdr:cNvPicPr>
          <a:picLocks noChangeAspect="1"/>
        </xdr:cNvPicPr>
      </xdr:nvPicPr>
      <xdr:blipFill>
        <a:blip xmlns:r="http://schemas.openxmlformats.org/officeDocument/2006/relationships" r:embed="rId1"/>
        <a:stretch/>
      </xdr:blipFill>
      <xdr:spPr bwMode="auto">
        <a:xfrm>
          <a:off x="400048" y="228597"/>
          <a:ext cx="1219198" cy="1225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190499</xdr:colOff>
      <xdr:row>1</xdr:row>
      <xdr:rowOff>47623</xdr:rowOff>
    </xdr:from>
    <xdr:to>
      <xdr:col>2</xdr:col>
      <xdr:colOff>666748</xdr:colOff>
      <xdr:row>6</xdr:row>
      <xdr:rowOff>140127</xdr:rowOff>
    </xdr:to>
    <xdr:pic>
      <xdr:nvPicPr>
        <xdr:cNvPr id="4" name="Picture 3"/>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5" name="Picture 4"/>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6" name="Picture 5"/>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7" name="Picture 6"/>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190499</xdr:colOff>
      <xdr:row>1</xdr:row>
      <xdr:rowOff>47623</xdr:rowOff>
    </xdr:from>
    <xdr:to>
      <xdr:col>2</xdr:col>
      <xdr:colOff>666748</xdr:colOff>
      <xdr:row>6</xdr:row>
      <xdr:rowOff>140127</xdr:rowOff>
    </xdr:to>
    <xdr:pic>
      <xdr:nvPicPr>
        <xdr:cNvPr id="8" name="Picture 7"/>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190500</xdr:colOff>
      <xdr:row>1</xdr:row>
      <xdr:rowOff>47625</xdr:rowOff>
    </xdr:from>
    <xdr:to>
      <xdr:col>2</xdr:col>
      <xdr:colOff>666749</xdr:colOff>
      <xdr:row>6</xdr:row>
      <xdr:rowOff>140128</xdr:rowOff>
    </xdr:to>
    <xdr:pic>
      <xdr:nvPicPr>
        <xdr:cNvPr id="4" name="Picture 3"/>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6</xdr:row>
      <xdr:rowOff>140128</xdr:rowOff>
    </xdr:to>
    <xdr:pic>
      <xdr:nvPicPr>
        <xdr:cNvPr id="8" name="Picture 7"/>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6</xdr:row>
      <xdr:rowOff>140128</xdr:rowOff>
    </xdr:to>
    <xdr:pic>
      <xdr:nvPicPr>
        <xdr:cNvPr id="9" name="Picture 8"/>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6</xdr:row>
      <xdr:rowOff>140128</xdr:rowOff>
    </xdr:to>
    <xdr:pic>
      <xdr:nvPicPr>
        <xdr:cNvPr id="10" name="Picture 9"/>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6</xdr:row>
      <xdr:rowOff>140128</xdr:rowOff>
    </xdr:to>
    <xdr:pic>
      <xdr:nvPicPr>
        <xdr:cNvPr id="11" name="Picture 10"/>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twoCellAnchor editAs="oneCell">
    <xdr:from>
      <xdr:col>1</xdr:col>
      <xdr:colOff>190500</xdr:colOff>
      <xdr:row>1</xdr:row>
      <xdr:rowOff>47625</xdr:rowOff>
    </xdr:from>
    <xdr:to>
      <xdr:col>2</xdr:col>
      <xdr:colOff>666749</xdr:colOff>
      <xdr:row>6</xdr:row>
      <xdr:rowOff>140128</xdr:rowOff>
    </xdr:to>
    <xdr:pic>
      <xdr:nvPicPr>
        <xdr:cNvPr id="12" name="Picture 11"/>
        <xdr:cNvPicPr>
          <a:picLocks noChangeAspect="1"/>
        </xdr:cNvPicPr>
      </xdr:nvPicPr>
      <xdr:blipFill>
        <a:blip xmlns:r="http://schemas.openxmlformats.org/officeDocument/2006/relationships" r:embed="rId1"/>
        <a:stretch/>
      </xdr:blipFill>
      <xdr:spPr bwMode="auto">
        <a:xfrm>
          <a:off x="400050" y="238125"/>
          <a:ext cx="1219199" cy="12640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IT-Officer" refreshedDate="44990.880466782408" createdVersion="5" refreshedVersion="5" minRefreshableVersion="3" recordCount="354">
  <cacheSource type="worksheet">
    <worksheetSource name="tblParish[]"/>
  </cacheSource>
  <cacheFields count="8">
    <cacheField name="parishCode" numFmtId="0">
      <sharedItems/>
    </cacheField>
    <cacheField name="DistCode" numFmtId="0">
      <sharedItems/>
    </cacheField>
    <cacheField name="disName" numFmtId="0">
      <sharedItems count="10">
        <s v="Kâte"/>
        <s v="Jabem"/>
        <s v="Madang"/>
        <s v="Karkar"/>
        <s v="Siassi"/>
        <s v="Ukata"/>
        <s v="Boana"/>
        <s v="Mumeng"/>
        <s v="NGI"/>
        <s v="Goroka"/>
      </sharedItems>
    </cacheField>
    <cacheField name="sCode" numFmtId="0">
      <sharedItems/>
    </cacheField>
    <cacheField name="seketCode" numFmtId="0">
      <sharedItems/>
    </cacheField>
    <cacheField name="seketName" numFmtId="0">
      <sharedItems count="54">
        <s v="Kalasa"/>
        <s v="Dedua"/>
        <s v="Sattelberg"/>
        <s v="Qembung"/>
        <s v="Hube"/>
        <s v="Somba"/>
        <s v="Zaka"/>
        <s v="Garaina"/>
        <s v="Aseki"/>
        <s v="Deka"/>
        <s v="Buang"/>
        <s v="Kaiapit"/>
        <s v="Kainantiba"/>
        <s v="Lae City"/>
        <s v="Lae "/>
        <s v="Laulu"/>
        <s v="Malalo"/>
        <s v="Menyamya"/>
        <s v="Sangang"/>
        <s v="Wampar"/>
        <s v="Wantoat"/>
        <s v="Jabem"/>
        <s v="Amele"/>
        <s v="Biriau"/>
        <s v="Begesin"/>
        <s v="Kabak"/>
        <s v="Ranara"/>
        <s v="Wanuma"/>
        <s v="Samoan"/>
        <s v="Bumsol"/>
        <s v="Kulubob"/>
        <s v="Bagai"/>
        <s v="Tagub"/>
        <s v="Bagabag"/>
        <s v="Zone 1: Molap"/>
        <s v="Zone 2: Bula"/>
        <s v="Komba"/>
        <s v="Kabwum"/>
        <s v="Timbe"/>
        <s v="Tapen"/>
        <s v="Teptep"/>
        <s v="Nankina"/>
        <s v="Zone 1: Erap"/>
        <s v="Zone 2: Wain"/>
        <s v="Zone 3: Nabak"/>
        <s v="Zone 1"/>
        <s v="Zone 2"/>
        <s v="Zone 3"/>
        <s v="Zone 4"/>
        <s v="Zone 5"/>
        <s v="Kimbe"/>
        <s v="Rongo"/>
        <s v="Asaroka"/>
        <s v="Goroka Taun"/>
      </sharedItems>
    </cacheField>
    <cacheField name="pCode" numFmtId="0">
      <sharedItems/>
    </cacheField>
    <cacheField name="Paris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IT-Officer" refreshedDate="44990.880467129631" createdVersion="5" refreshedVersion="5" minRefreshableVersion="3" recordCount="1394">
  <cacheSource type="worksheet">
    <worksheetSource name="tblCong[]"/>
  </cacheSource>
  <cacheFields count="11">
    <cacheField name="congCode" numFmtId="0">
      <sharedItems/>
    </cacheField>
    <cacheField name="distCode" numFmtId="0">
      <sharedItems/>
    </cacheField>
    <cacheField name="distName" numFmtId="0">
      <sharedItems count="10">
        <s v="Kâte"/>
        <s v="Jabem"/>
        <s v="Madang"/>
        <s v="Karkar"/>
        <s v="Siassi"/>
        <s v="Ukata"/>
        <s v="Boana"/>
        <s v="Mumeng"/>
        <s v="NGI"/>
        <s v="Goroka"/>
      </sharedItems>
    </cacheField>
    <cacheField name="sCode" numFmtId="0">
      <sharedItems/>
    </cacheField>
    <cacheField name="seketCode" numFmtId="0">
      <sharedItems/>
    </cacheField>
    <cacheField name="seketName" numFmtId="0">
      <sharedItems count="54">
        <s v="Kalasa"/>
        <s v="Dedua"/>
        <s v="Sattelberg"/>
        <s v="Qembung"/>
        <s v="Hube"/>
        <s v="Somba"/>
        <s v="Zaka"/>
        <s v="Garaina"/>
        <s v="Aseki"/>
        <s v="Deka"/>
        <s v="Buang"/>
        <s v="Kaiapit"/>
        <s v="Kainantiba"/>
        <s v="Lae City"/>
        <s v="Lae "/>
        <s v="Laulu"/>
        <s v="Malalo"/>
        <s v="Menyamya"/>
        <s v="Sangang"/>
        <s v="Wampar"/>
        <s v="Wantoat"/>
        <s v="Jabem"/>
        <s v="Amele"/>
        <s v="Biriau"/>
        <s v="Begesin"/>
        <s v="Kabak"/>
        <s v="Ranara"/>
        <s v="Madang Taun"/>
        <s v="Wanuma"/>
        <s v="Samoan"/>
        <s v="Bumsol"/>
        <s v="Kulubob"/>
        <s v="Bagai"/>
        <s v="Tagub"/>
        <s v="Zone 1: Molap"/>
        <s v="Zone 2: Bula"/>
        <s v="Komba"/>
        <s v="Kabwum"/>
        <s v="Timbe"/>
        <s v="Tapen"/>
        <s v="Teptep"/>
        <s v="Nankina"/>
        <s v="Zone 1: Erap"/>
        <s v="Zone 2: Wain"/>
        <s v="Zone 3: Nabak"/>
        <s v="Zone 1"/>
        <s v="Zone 2"/>
        <s v="Zone 3"/>
        <s v="Zone 4"/>
        <s v="Zone 5"/>
        <s v="Kimbe"/>
        <s v="Kevieng"/>
        <s v="Asaroka"/>
        <s v="Goroka Taun"/>
      </sharedItems>
    </cacheField>
    <cacheField name="pCode" numFmtId="0">
      <sharedItems containsBlank="1"/>
    </cacheField>
    <cacheField name="parishCode" numFmtId="0">
      <sharedItems/>
    </cacheField>
    <cacheField name="Paris Name" numFmtId="0">
      <sharedItems containsBlank="1" count="287">
        <s v="Amugen"/>
        <s v="Tigasu"/>
        <s v="Kanome"/>
        <s v="Ririwo"/>
        <s v="Gegibo"/>
        <s v="Gitukia"/>
        <s v="Botara"/>
        <s v="Tibaki"/>
        <s v="Yumeng"/>
        <s v="Munsel"/>
        <s v="Masa"/>
        <s v="Yasire"/>
        <s v="Koyoza"/>
        <s v="Zazozo"/>
        <s v="Huwago"/>
        <s v="Efa"/>
        <s v="Bomaza"/>
        <s v="Zukiba"/>
        <s v="Fosama"/>
        <s v="Agororo"/>
        <s v="Sasibona"/>
        <s v="Wemo"/>
        <s v="Kitaka"/>
        <s v="Keregia"/>
        <s v="Wandokai"/>
        <s v="Wareo"/>
        <s v="Zamesa"/>
        <s v="Guramoti"/>
        <s v="Hamaka"/>
        <s v="Babuso"/>
        <s v="Kulungtufu"/>
        <s v="Joangeng"/>
        <s v="Kuma"/>
        <s v="Dopi"/>
        <s v="Foria"/>
        <s v="Ebabang"/>
        <s v="Jowacnuc"/>
        <s v="Lalang"/>
        <s v="Siri"/>
        <s v="Tobou"/>
        <s v="Wengai"/>
        <s v="Gang"/>
        <s v="Buze"/>
        <s v="Sagiro"/>
        <s v="Kemaip"/>
        <s v="Batoneng"/>
        <s v="Zamai"/>
        <s v="Oga"/>
        <s v="Jekora"/>
        <s v="Kwuabaso"/>
        <s v="Sado"/>
        <s v="Duka"/>
        <s v="Nange"/>
        <s v="Biaru"/>
        <s v="Di Kapu"/>
        <s v="Kapu"/>
        <s v="Wayona"/>
        <s v="Kapao"/>
        <s v="Aiya"/>
        <s v="Pouyu"/>
        <s v="Tawa"/>
        <s v="Kaparkona"/>
        <s v="Busong"/>
        <s v="Deinzerhill"/>
        <s v="Busini"/>
        <s v="Manga"/>
        <s v="Sangas"/>
        <s v="Mapos"/>
        <s v="Bulantem"/>
        <s v="Gwein"/>
        <s v="Biangkoun"/>
        <s v="Wantun"/>
        <s v="Afa"/>
        <s v="Kisim Bek (Umi)"/>
        <s v="Yangkwan"/>
        <s v="St. Ketulam (Yawa)"/>
        <s v="Yarus"/>
        <s v="St. Josia"/>
        <s v="Betel"/>
        <s v="Yati"/>
        <s v="Gama"/>
        <s v="Gugurup"/>
        <s v="Guruf"/>
        <s v="Apataiwa"/>
        <s v="Kawaini"/>
        <s v="Ambuini"/>
        <s v="Tauri"/>
        <s v="Wanbel"/>
        <s v="Kaisa"/>
        <s v="St. Timothy"/>
        <m/>
        <s v="Busu"/>
        <s v="Redeemer"/>
        <s v="Resurrection"/>
        <s v="St. Steven"/>
        <s v="St. Mathew"/>
        <s v="St. Hiob"/>
        <s v="Schmutterer"/>
        <s v="St. Philips"/>
        <s v="Poaba"/>
        <s v="St. Peter"/>
        <s v="St. Andrews"/>
        <s v="St. Solomon"/>
        <s v="Situm"/>
        <s v="Apo"/>
        <s v="Wagang"/>
        <s v="Mesem"/>
        <s v="Miya"/>
        <s v="Banuya"/>
        <s v="Ho"/>
        <s v="Mubo"/>
        <s v="Kamiatam"/>
        <s v="Wabubu"/>
        <s v="Kesiwaga"/>
        <s v="Buakap"/>
        <s v="Malalo"/>
        <s v="Kelamu"/>
        <s v="Kaia (Seyem)"/>
        <s v="Bananuwe"/>
        <s v="Bater"/>
        <s v="Freund Memorial"/>
        <s v="Hengiapa"/>
        <s v="Konkodia"/>
        <s v="Wapi"/>
        <s v="Himaya"/>
        <s v="Hakwange"/>
        <s v="Watama"/>
        <s v="St. John"/>
        <s v="Sikong"/>
        <s v="Kapo"/>
        <s v="Tsewi"/>
        <s v="Kwaplalim"/>
        <s v="Jai"/>
        <s v="Saking"/>
        <s v="Daum"/>
        <s v="Ngawasi"/>
        <s v="St. Paul"/>
        <s v="Waswas"/>
        <s v="St. Ben"/>
        <s v="St. Titus"/>
        <s v="Erap"/>
        <s v="Sampi"/>
        <s v="Saga"/>
        <s v="Awara (Kulang)"/>
        <s v="Bumbum"/>
        <s v="Bungam"/>
        <s v="Waga"/>
        <s v="Muba"/>
        <s v="Liki"/>
        <s v="Matap"/>
        <s v="Gibua"/>
        <s v="Simbang"/>
        <s v="Gingala"/>
        <s v="Obasiga"/>
        <s v="Gaso"/>
        <s v="Buma"/>
        <s v="Malasiga"/>
        <s v="Nobonob"/>
        <s v="Bel"/>
        <s v="Marik"/>
        <s v="Banub"/>
        <s v="Amele"/>
        <s v="Sangpat"/>
        <s v="Kein"/>
        <s v="Badibug"/>
        <s v="Bunabun"/>
        <s v="Nami"/>
        <s v="Rau 2"/>
        <s v="Aigul"/>
        <s v="Iru"/>
        <s v="Malagu"/>
        <s v="Narer"/>
        <s v="Kiti"/>
        <s v="Miak"/>
        <s v="Makitu"/>
        <s v="Hiru"/>
        <s v="Titiri"/>
        <s v="Yakam"/>
        <s v="Heba"/>
        <s v="Miro"/>
        <s v="Mamak"/>
        <s v="Sabubu"/>
        <s v="Bua"/>
        <s v="Labuk"/>
        <s v="Yagudu"/>
        <s v="Lulfoi"/>
        <s v="Mugaer"/>
        <s v="Malbok"/>
        <s v="Yerr"/>
        <s v="Sililai"/>
        <s v="Kanap"/>
        <s v="Buvoi"/>
        <s v="Urit"/>
        <s v="Karuru"/>
        <s v="Makudimi"/>
        <s v="Kabong"/>
        <s v="Aimalu"/>
        <s v="Samanai"/>
        <s v="Semo"/>
        <s v="Padamot"/>
        <s v="Tagob"/>
        <s v="Umgon"/>
        <s v="Nuru"/>
        <s v="Mormor"/>
        <s v="Mabi"/>
        <s v="Laplap"/>
        <s v="Aronai"/>
        <s v="Gun"/>
        <s v="Malai"/>
        <s v="Tuam"/>
        <s v="Giam"/>
        <s v="Tosin"/>
        <s v="Indagen"/>
        <s v="Lamga"/>
        <s v="Ununu"/>
        <s v="Goma"/>
        <s v="Usika"/>
        <s v="Imanuel"/>
        <s v="Tipsit"/>
        <s v="Gekut"/>
        <s v="Inweng"/>
        <s v="Deguso"/>
        <s v="Koniwa"/>
        <s v="Disaen"/>
        <s v="Timowon"/>
        <s v="Motu"/>
        <s v="Songin"/>
        <s v="Derim Stesin"/>
        <s v="Hengune"/>
        <s v="Yandu"/>
        <s v="Ondakey"/>
        <s v="Munser"/>
        <s v="Gaptamon"/>
        <s v="Mabogaro"/>
        <s v="Yaseta"/>
        <s v="Wandabong"/>
        <s v="Isan"/>
        <s v="Keweng"/>
        <s v="Utaguka"/>
        <s v="Bungawat"/>
        <s v="Gogiok"/>
        <s v="Dinangat"/>
        <s v="Yau"/>
        <s v="Matamo"/>
        <s v="Umbek"/>
        <s v="Gwarawon"/>
        <s v="Bambu"/>
        <s v="?"/>
        <s v="Namibung"/>
        <s v="Figosa"/>
        <s v="St. Gimafa"/>
        <s v="Mubago"/>
        <s v="Sugu"/>
        <s v="Masiba"/>
        <s v="Gaing Kusip"/>
        <s v="Kwepunung"/>
        <s v="Bandong"/>
        <s v="Gusi"/>
        <s v="Gewak"/>
        <s v="Satukimo"/>
        <s v="Yaqamu"/>
        <s v="Baqata"/>
        <s v="Tuni"/>
        <s v="Roumi"/>
        <s v="Mamasi"/>
        <s v="Wau Taun"/>
        <s v="Mubuwa"/>
        <s v="Kaindi"/>
        <s v="Yawadibu"/>
        <s v="Moina"/>
        <s v="Malangta"/>
        <s v="Waikanda"/>
        <s v="Andarira"/>
        <s v="St. Loplam"/>
        <s v="Kaukesa"/>
        <s v="Interim"/>
        <s v="Palakris"/>
        <s v="Tauem"/>
        <s v="Gawapu"/>
        <s v="Timini"/>
        <s v="Gurakor"/>
        <s v="Ahiu"/>
        <s v="Holi Triniti"/>
        <s v="Siwili"/>
        <s v="Yaukawe"/>
        <s v="Ramu Wokmisin"/>
        <s v="St. Johns"/>
      </sharedItems>
    </cacheField>
    <cacheField name="kCode" numFmtId="0">
      <sharedItems/>
    </cacheField>
    <cacheField name="cong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Administrator" refreshedDate="45951.358062268519" createdVersion="5" refreshedVersion="6" minRefreshableVersion="3" recordCount="84">
  <cacheSource type="worksheet">
    <worksheetSource name="tblSeket[]"/>
  </cacheSource>
  <cacheFields count="5">
    <cacheField name="SeketCode" numFmtId="0">
      <sharedItems/>
    </cacheField>
    <cacheField name="DistCode" numFmtId="0">
      <sharedItems/>
    </cacheField>
    <cacheField name="distName" numFmtId="0">
      <sharedItems count="12">
        <s v="Kâte"/>
        <s v="Jabem"/>
        <s v="Madang"/>
        <s v="Karkar"/>
        <s v="Siassi"/>
        <s v="Ukata"/>
        <s v="Boana"/>
        <s v="Mumeng"/>
        <s v="NGI"/>
        <s v="Goroka"/>
        <s v="Simbu"/>
        <e v="#NAME?" u="1"/>
      </sharedItems>
    </cacheField>
    <cacheField name="scode" numFmtId="0">
      <sharedItems/>
    </cacheField>
    <cacheField name="SeketName" numFmtId="0">
      <sharedItems count="87">
        <s v="Kalasa"/>
        <s v="Dedua"/>
        <s v="Sattelberg"/>
        <s v="Qembung"/>
        <s v="Hube"/>
        <s v="Somba"/>
        <s v="Zaka"/>
        <s v="Garaina"/>
        <s v="Aseki"/>
        <s v="Deka"/>
        <s v="Buang"/>
        <s v="Kaiapit"/>
        <s v="Kainantiba"/>
        <s v="Lae City"/>
        <s v="Lae "/>
        <s v="Laulu"/>
        <s v="Malalo"/>
        <s v="Menyamya"/>
        <s v="Sangang"/>
        <s v="Wampar"/>
        <s v="Wantoat"/>
        <s v="Jabem"/>
        <s v="Amele"/>
        <s v="Bongu"/>
        <s v="Biliau"/>
        <s v="Begesin"/>
        <s v="Kabak"/>
        <s v="Ranara"/>
        <s v="Madang Taun"/>
        <s v="Wanuma"/>
        <s v="Samoan"/>
        <s v="Bumsol"/>
        <s v="Kulubob"/>
        <s v="Bagiai"/>
        <s v="Tagub"/>
        <s v="Bagabag"/>
        <s v="Zone 1: Molap"/>
        <s v="Zone 2: Bula"/>
        <s v="Komba"/>
        <s v="Kabwum"/>
        <s v="Timbe"/>
        <s v="Yalumet"/>
        <s v="Sio-Stolz"/>
        <s v="Ulap"/>
        <s v="Wewebo"/>
        <s v="Tapen"/>
        <s v="Teptep"/>
        <s v="Nankina"/>
        <s v="Zone 1: Erap"/>
        <s v="Zone 2: Wain"/>
        <s v="Zone 3: Nabak"/>
        <s v="Zone 1"/>
        <s v="Zone 2"/>
        <s v="Zone 3"/>
        <s v="Zone 4"/>
        <s v="Zone 5"/>
        <s v="Kimbe"/>
        <s v="Biala"/>
        <s v="Rabaul"/>
        <s v="Kevieng"/>
        <s v="Tarabo"/>
        <s v="Fayantina"/>
        <s v="Rongo"/>
        <s v="Asaroka"/>
        <s v="Hongugo"/>
        <s v="Goroka Taun"/>
        <s v="Bena"/>
        <s v="Simbru"/>
        <s v="Kagai"/>
        <s v="Membitamba"/>
        <s v="Takondo"/>
        <s v="Ega"/>
        <s v="Mu"/>
        <s v="Monono"/>
        <s v="Keano"/>
        <s v="Imanuel"/>
        <s v="Toandong"/>
        <s v="Kâte/Yabem Memorial"/>
        <s v="Nulanil"/>
        <s v="Omkolai"/>
        <s v="Kelepa"/>
        <s v="Nomane"/>
        <s v="Kundiawa Taun"/>
        <s v="Mul"/>
        <s v="Biriau" u="1"/>
        <s v="Light" u="1"/>
        <s v="Bagai"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4">
  <r>
    <s v="D01-S01-P01"/>
    <s v="D01"/>
    <x v="0"/>
    <s v="S01"/>
    <s v="D01-S01"/>
    <x v="0"/>
    <s v="P01"/>
    <s v="Amugen"/>
  </r>
  <r>
    <s v="D01-S01-P02"/>
    <s v="D01"/>
    <x v="0"/>
    <s v="S01"/>
    <s v="D01-S01"/>
    <x v="0"/>
    <s v="P02"/>
    <s v="Tigasu"/>
  </r>
  <r>
    <s v="D01-S01-P03"/>
    <s v="D01"/>
    <x v="0"/>
    <s v="S01"/>
    <s v="D01-S01"/>
    <x v="0"/>
    <s v="P03"/>
    <s v="Kanome"/>
  </r>
  <r>
    <s v="D01-S01-P04"/>
    <s v="D01"/>
    <x v="0"/>
    <s v="S01"/>
    <s v="D01-S01"/>
    <x v="0"/>
    <s v="P04"/>
    <s v="Ririwo"/>
  </r>
  <r>
    <s v="D01-S01-P05"/>
    <s v="D01"/>
    <x v="0"/>
    <s v="S01"/>
    <s v="D01-S01"/>
    <x v="0"/>
    <s v="P05"/>
    <s v="Gegibo"/>
  </r>
  <r>
    <s v="D01-S01-P06"/>
    <s v="D01"/>
    <x v="0"/>
    <s v="S01"/>
    <s v="D01-S01"/>
    <x v="0"/>
    <s v="P06"/>
    <s v="Gitukia"/>
  </r>
  <r>
    <s v="D01-S01-P07"/>
    <s v="D01"/>
    <x v="0"/>
    <s v="S01"/>
    <s v="D01-S01"/>
    <x v="0"/>
    <s v="P07"/>
    <s v="Botara"/>
  </r>
  <r>
    <s v="D01-S01-P08"/>
    <s v="D01"/>
    <x v="0"/>
    <s v="S01"/>
    <s v="D01-S01"/>
    <x v="0"/>
    <s v="P08"/>
    <s v="Tibaki"/>
  </r>
  <r>
    <s v="D01-S02-P01"/>
    <s v="D01"/>
    <x v="0"/>
    <s v="S02"/>
    <s v="D01-S02"/>
    <x v="1"/>
    <s v="P01"/>
    <s v="Yumeng"/>
  </r>
  <r>
    <s v="D01-S02-P02"/>
    <s v="D01"/>
    <x v="0"/>
    <s v="S02"/>
    <s v="D01-S02"/>
    <x v="1"/>
    <s v="P02"/>
    <s v="Munsel"/>
  </r>
  <r>
    <s v="D01-S02-P03"/>
    <s v="D01"/>
    <x v="0"/>
    <s v="S02"/>
    <s v="D01-S02"/>
    <x v="1"/>
    <s v="P03"/>
    <s v="Masa"/>
  </r>
  <r>
    <s v="D01-S02-P04"/>
    <s v="D01"/>
    <x v="0"/>
    <s v="S02"/>
    <s v="D01-S02"/>
    <x v="1"/>
    <s v="P04"/>
    <s v="Yasire"/>
  </r>
  <r>
    <s v="D01-S02-P05"/>
    <s v="D01"/>
    <x v="0"/>
    <s v="S02"/>
    <s v="D01-S02"/>
    <x v="1"/>
    <s v="P05"/>
    <s v="Koyoza"/>
  </r>
  <r>
    <s v="D01-S02-P06"/>
    <s v="D01"/>
    <x v="0"/>
    <s v="S02"/>
    <s v="D01-S02"/>
    <x v="1"/>
    <s v="P06"/>
    <s v="Zazozo"/>
  </r>
  <r>
    <s v="D01-S02-P07"/>
    <s v="D01"/>
    <x v="0"/>
    <s v="S02"/>
    <s v="D01-S02"/>
    <x v="1"/>
    <s v="P07"/>
    <s v="Huwago"/>
  </r>
  <r>
    <s v="D01-S03-P01"/>
    <s v="D01"/>
    <x v="0"/>
    <s v="S03"/>
    <s v="D01-S03"/>
    <x v="2"/>
    <s v="P01"/>
    <s v="Efa"/>
  </r>
  <r>
    <s v="D01-S03-P02"/>
    <s v="D01"/>
    <x v="0"/>
    <s v="S03"/>
    <s v="D01-S03"/>
    <x v="2"/>
    <s v="P02"/>
    <s v="Bomaza"/>
  </r>
  <r>
    <s v="D01-S03-P03"/>
    <s v="D01"/>
    <x v="0"/>
    <s v="S03"/>
    <s v="D01-S03"/>
    <x v="2"/>
    <s v="P03"/>
    <s v="Zukiba"/>
  </r>
  <r>
    <s v="D01-S03-P04"/>
    <s v="D01"/>
    <x v="0"/>
    <s v="S03"/>
    <s v="D01-S03"/>
    <x v="2"/>
    <s v="P04"/>
    <s v="Fosama"/>
  </r>
  <r>
    <s v="D01-S03-P05"/>
    <s v="D01"/>
    <x v="0"/>
    <s v="S03"/>
    <s v="D01-S03"/>
    <x v="2"/>
    <s v="P05"/>
    <s v="Agororo"/>
  </r>
  <r>
    <s v="D01-S03-P06"/>
    <s v="D01"/>
    <x v="0"/>
    <s v="S03"/>
    <s v="D01-S03"/>
    <x v="2"/>
    <s v="P06"/>
    <s v="Sasibona"/>
  </r>
  <r>
    <s v="D01-S03-P07"/>
    <s v="D01"/>
    <x v="0"/>
    <s v="S03"/>
    <s v="D01-S03"/>
    <x v="2"/>
    <s v="P07"/>
    <s v="Wemo"/>
  </r>
  <r>
    <s v="D01-S03-P08"/>
    <s v="D01"/>
    <x v="0"/>
    <s v="S03"/>
    <s v="D01-S03"/>
    <x v="2"/>
    <s v="P08"/>
    <s v="Kitaka"/>
  </r>
  <r>
    <s v="D01-S03-P09"/>
    <s v="D01"/>
    <x v="0"/>
    <s v="S03"/>
    <s v="D01-S03"/>
    <x v="2"/>
    <s v="P09"/>
    <s v="Keregia"/>
  </r>
  <r>
    <s v="D01-S03-P10"/>
    <s v="D01"/>
    <x v="0"/>
    <s v="S03"/>
    <s v="D01-S03"/>
    <x v="2"/>
    <s v="P10"/>
    <s v="Wandokai"/>
  </r>
  <r>
    <s v="D01-S03-P11"/>
    <s v="D01"/>
    <x v="0"/>
    <s v="S03"/>
    <s v="D01-S03"/>
    <x v="2"/>
    <s v="P11"/>
    <s v="Wareo"/>
  </r>
  <r>
    <s v="D01-S03-P12"/>
    <s v="D01"/>
    <x v="0"/>
    <s v="S03"/>
    <s v="D01-S03"/>
    <x v="2"/>
    <s v="P12"/>
    <s v="Zamesa"/>
  </r>
  <r>
    <s v="D01-S04-P01"/>
    <s v="D01"/>
    <x v="0"/>
    <s v="S04"/>
    <s v="D01-S04"/>
    <x v="3"/>
    <s v="P01"/>
    <s v="Guramoti"/>
  </r>
  <r>
    <s v="D01-S04-P02"/>
    <s v="D01"/>
    <x v="0"/>
    <s v="S04"/>
    <s v="D01-S04"/>
    <x v="3"/>
    <s v="P02"/>
    <s v="Hamaka"/>
  </r>
  <r>
    <s v="D01-S04-P03"/>
    <s v="D01"/>
    <x v="0"/>
    <s v="S04"/>
    <s v="D01-S04"/>
    <x v="3"/>
    <s v="P03"/>
    <s v="Babuso"/>
  </r>
  <r>
    <s v="D01-S05-P01"/>
    <s v="D01"/>
    <x v="0"/>
    <s v="S05"/>
    <s v="D01-S05"/>
    <x v="4"/>
    <s v="P01"/>
    <s v="Kulungtufu"/>
  </r>
  <r>
    <s v="D01-S05-P02"/>
    <s v="D01"/>
    <x v="0"/>
    <s v="S05"/>
    <s v="D01-S05"/>
    <x v="4"/>
    <s v="P02"/>
    <s v="Joangeng"/>
  </r>
  <r>
    <s v="D01-S05-P03"/>
    <s v="D01"/>
    <x v="0"/>
    <s v="S05"/>
    <s v="D01-S05"/>
    <x v="4"/>
    <s v="P03"/>
    <s v="Kuma"/>
  </r>
  <r>
    <s v="D01-S05-P04"/>
    <s v="D01"/>
    <x v="0"/>
    <s v="S05"/>
    <s v="D01-S05"/>
    <x v="4"/>
    <s v="P04"/>
    <s v="Dopi"/>
  </r>
  <r>
    <s v="D01-S05-P05"/>
    <s v="D01"/>
    <x v="0"/>
    <s v="S05"/>
    <s v="D01-S05"/>
    <x v="4"/>
    <s v="P05"/>
    <s v="Foria"/>
  </r>
  <r>
    <s v="D01-S05-P06"/>
    <s v="D01"/>
    <x v="0"/>
    <s v="S05"/>
    <s v="D01-S05"/>
    <x v="4"/>
    <s v="P06"/>
    <s v="Ebabang"/>
  </r>
  <r>
    <s v="D01-S05-P07"/>
    <s v="D01"/>
    <x v="0"/>
    <s v="S05"/>
    <s v="D01-S05"/>
    <x v="4"/>
    <s v="P07"/>
    <s v="Jowacnuc"/>
  </r>
  <r>
    <s v="D01-S05-P08"/>
    <s v="D01"/>
    <x v="0"/>
    <s v="S05"/>
    <s v="D01-S05"/>
    <x v="4"/>
    <s v="P08"/>
    <s v="Lalang"/>
  </r>
  <r>
    <s v="D01-S05-P09"/>
    <s v="D01"/>
    <x v="0"/>
    <s v="S05"/>
    <s v="D01-S05"/>
    <x v="4"/>
    <s v="P09"/>
    <s v="Siri"/>
  </r>
  <r>
    <s v="D01-S05-P10"/>
    <s v="D01"/>
    <x v="0"/>
    <s v="S05"/>
    <s v="D01-S05"/>
    <x v="4"/>
    <s v="P10"/>
    <s v="Tobou"/>
  </r>
  <r>
    <s v="D01-S05-P11"/>
    <s v="D01"/>
    <x v="0"/>
    <s v="S05"/>
    <s v="D01-S05"/>
    <x v="4"/>
    <s v="P11"/>
    <s v="Wengai"/>
  </r>
  <r>
    <s v="D01-S06-P01"/>
    <s v="D01"/>
    <x v="0"/>
    <s v="S06"/>
    <s v="D01-S06"/>
    <x v="5"/>
    <s v="P01"/>
    <s v="Gang"/>
  </r>
  <r>
    <s v="D01-S06-P02"/>
    <s v="D01"/>
    <x v="0"/>
    <s v="S06"/>
    <s v="D01-S06"/>
    <x v="5"/>
    <s v="P02"/>
    <s v="Buze"/>
  </r>
  <r>
    <s v="D01-S06-P03"/>
    <s v="D01"/>
    <x v="0"/>
    <s v="S06"/>
    <s v="D01-S06"/>
    <x v="5"/>
    <s v="P03"/>
    <s v="Sagiro"/>
  </r>
  <r>
    <s v="D01-S06-P04"/>
    <s v="D01"/>
    <x v="0"/>
    <s v="S06"/>
    <s v="D01-S06"/>
    <x v="5"/>
    <s v="P04"/>
    <s v="Kemaip"/>
  </r>
  <r>
    <s v="D01-S06-P05"/>
    <s v="D01"/>
    <x v="0"/>
    <s v="S06"/>
    <s v="D01-S06"/>
    <x v="5"/>
    <s v="P05"/>
    <s v="Batoneng"/>
  </r>
  <r>
    <s v="D01-S07-P01"/>
    <s v="D01"/>
    <x v="0"/>
    <s v="S07"/>
    <s v="D01-S07"/>
    <x v="6"/>
    <s v="P01"/>
    <s v="Zamai"/>
  </r>
  <r>
    <s v="D01-S07-P02"/>
    <s v="D01"/>
    <x v="0"/>
    <s v="S07"/>
    <s v="D01-S07"/>
    <x v="6"/>
    <s v="P02"/>
    <s v="Oga"/>
  </r>
  <r>
    <s v="D01-S07-P03"/>
    <s v="D01"/>
    <x v="0"/>
    <s v="S07"/>
    <s v="D01-S07"/>
    <x v="6"/>
    <s v="P03"/>
    <s v="Jekora"/>
  </r>
  <r>
    <s v="D01-S07-P04"/>
    <s v="D01"/>
    <x v="0"/>
    <s v="S07"/>
    <s v="D01-S07"/>
    <x v="6"/>
    <s v="P04"/>
    <s v="Kwuabaso"/>
  </r>
  <r>
    <s v="D01-S07-P05"/>
    <s v="D01"/>
    <x v="0"/>
    <s v="S07"/>
    <s v="D01-S07"/>
    <x v="6"/>
    <s v="P05"/>
    <s v="Sado"/>
  </r>
  <r>
    <s v="D01-S07-P06"/>
    <s v="D01"/>
    <x v="0"/>
    <s v="S07"/>
    <s v="D01-S07"/>
    <x v="6"/>
    <s v="P06"/>
    <s v="Duka"/>
  </r>
  <r>
    <s v="D01-S07-P07"/>
    <s v="D01"/>
    <x v="0"/>
    <s v="S07"/>
    <s v="D01-S07"/>
    <x v="6"/>
    <s v="P07"/>
    <s v="Nange"/>
  </r>
  <r>
    <s v="D01-S08-P01"/>
    <s v="D01"/>
    <x v="0"/>
    <s v="S08"/>
    <s v="D01-S08"/>
    <x v="7"/>
    <s v="P01"/>
    <s v="Biangai"/>
  </r>
  <r>
    <s v="D01-S08-P02"/>
    <s v="D01"/>
    <x v="0"/>
    <s v="S08"/>
    <s v="D01-S08"/>
    <x v="7"/>
    <s v="P02"/>
    <s v="Biaru"/>
  </r>
  <r>
    <s v="D01-S08-P03"/>
    <s v="D01"/>
    <x v="0"/>
    <s v="S08"/>
    <s v="D01-S08"/>
    <x v="7"/>
    <s v="P03"/>
    <s v="Waria"/>
  </r>
  <r>
    <s v="D01-S08-P04"/>
    <s v="D01"/>
    <x v="0"/>
    <s v="S08"/>
    <s v="D01-S08"/>
    <x v="7"/>
    <s v="P04"/>
    <s v="Ono"/>
  </r>
  <r>
    <s v="D01-S08-P05"/>
    <s v="D01"/>
    <x v="0"/>
    <s v="S08"/>
    <s v="D01-S08"/>
    <x v="7"/>
    <s v="P05"/>
    <s v="Bubu"/>
  </r>
  <r>
    <s v="D01-S08-P06"/>
    <s v="D01"/>
    <x v="0"/>
    <s v="S08"/>
    <s v="D01-S08"/>
    <x v="7"/>
    <s v="P06"/>
    <s v="Guhusamane"/>
  </r>
  <r>
    <s v="D02-S01-P01"/>
    <s v="D02"/>
    <x v="1"/>
    <s v="S01"/>
    <s v="D02-S01"/>
    <x v="8"/>
    <s v="P01"/>
    <s v="Di Kapu"/>
  </r>
  <r>
    <s v="D02-S01-P02"/>
    <s v="D02"/>
    <x v="1"/>
    <s v="S01"/>
    <s v="D02-S01"/>
    <x v="8"/>
    <s v="P02"/>
    <s v="Kapu"/>
  </r>
  <r>
    <s v="D02-S01-P03"/>
    <s v="D02"/>
    <x v="1"/>
    <s v="S01"/>
    <s v="D02-S01"/>
    <x v="8"/>
    <s v="P03"/>
    <s v="Wayona"/>
  </r>
  <r>
    <s v="D02-S01-P04"/>
    <s v="D02"/>
    <x v="1"/>
    <s v="S01"/>
    <s v="D02-S01"/>
    <x v="8"/>
    <s v="P04"/>
    <s v="Kapao"/>
  </r>
  <r>
    <s v="D02-S01-P05"/>
    <s v="D02"/>
    <x v="1"/>
    <s v="S01"/>
    <s v="D02-S01"/>
    <x v="8"/>
    <s v="P05"/>
    <s v="Aiya"/>
  </r>
  <r>
    <s v="D02-S01-P06"/>
    <s v="D02"/>
    <x v="1"/>
    <s v="S01"/>
    <s v="D02-S01"/>
    <x v="8"/>
    <s v="P06"/>
    <s v="Pouyu"/>
  </r>
  <r>
    <s v="D02-S01-P07"/>
    <s v="D02"/>
    <x v="1"/>
    <s v="S01"/>
    <s v="D02-S01"/>
    <x v="8"/>
    <s v="P07"/>
    <s v="Tawa"/>
  </r>
  <r>
    <s v="D02-S02-P01"/>
    <s v="D02"/>
    <x v="1"/>
    <s v="S02"/>
    <s v="D02-S02"/>
    <x v="9"/>
    <s v="P01"/>
    <s v="Kaparkona"/>
  </r>
  <r>
    <s v="D02-S02-P02"/>
    <s v="D02"/>
    <x v="1"/>
    <s v="S02"/>
    <s v="D02-S02"/>
    <x v="9"/>
    <s v="P02"/>
    <s v="Busong"/>
  </r>
  <r>
    <s v="D02-S02-P03"/>
    <s v="D02"/>
    <x v="1"/>
    <s v="S02"/>
    <s v="D02-S02"/>
    <x v="9"/>
    <s v="P03"/>
    <s v="Deinzerhill"/>
  </r>
  <r>
    <s v="D02-S02-P04"/>
    <s v="D02"/>
    <x v="1"/>
    <s v="S02"/>
    <s v="D02-S02"/>
    <x v="9"/>
    <s v="P04"/>
    <s v="Busini"/>
  </r>
  <r>
    <s v="D02-S03-P01"/>
    <s v="D02"/>
    <x v="1"/>
    <s v="S03"/>
    <s v="D02-S03"/>
    <x v="10"/>
    <s v="P01"/>
    <s v="Manga"/>
  </r>
  <r>
    <s v="D02-S03-P02"/>
    <s v="D02"/>
    <x v="1"/>
    <s v="S03"/>
    <s v="D02-S03"/>
    <x v="10"/>
    <s v="P02"/>
    <s v="Sangas"/>
  </r>
  <r>
    <s v="D02-S03-P03"/>
    <s v="D02"/>
    <x v="1"/>
    <s v="S03"/>
    <s v="D02-S03"/>
    <x v="10"/>
    <s v="P03"/>
    <s v="Mapos"/>
  </r>
  <r>
    <s v="D02-S03-P04"/>
    <s v="D02"/>
    <x v="1"/>
    <s v="S03"/>
    <s v="D02-S03"/>
    <x v="10"/>
    <s v="P04"/>
    <s v="Bulantem"/>
  </r>
  <r>
    <s v="D02-S03-P05"/>
    <s v="D02"/>
    <x v="1"/>
    <s v="S03"/>
    <s v="D02-S03"/>
    <x v="10"/>
    <s v="P05"/>
    <s v="Gwein"/>
  </r>
  <r>
    <s v="D02-S03-P06"/>
    <s v="D02"/>
    <x v="1"/>
    <s v="S03"/>
    <s v="D02-S03"/>
    <x v="10"/>
    <s v="P06"/>
    <s v="Biangkoun"/>
  </r>
  <r>
    <s v="D02-S04-P01"/>
    <s v="D02"/>
    <x v="1"/>
    <s v="S04"/>
    <s v="D02-S04"/>
    <x v="11"/>
    <s v="P01"/>
    <s v="Wantun"/>
  </r>
  <r>
    <s v="D02-S04-P02"/>
    <s v="D02"/>
    <x v="1"/>
    <s v="S04"/>
    <s v="D02-S04"/>
    <x v="11"/>
    <s v="P02"/>
    <s v="Afa"/>
  </r>
  <r>
    <s v="D02-S04-P03"/>
    <s v="D02"/>
    <x v="1"/>
    <s v="S04"/>
    <s v="D02-S04"/>
    <x v="11"/>
    <s v="P03"/>
    <s v="Kisim Bek (Umi)"/>
  </r>
  <r>
    <s v="D02-S04-P04"/>
    <s v="D02"/>
    <x v="1"/>
    <s v="S04"/>
    <s v="D02-S04"/>
    <x v="11"/>
    <s v="P04"/>
    <s v="Yangkwan"/>
  </r>
  <r>
    <s v="D02-S04-P05"/>
    <s v="D02"/>
    <x v="1"/>
    <s v="S04"/>
    <s v="D02-S04"/>
    <x v="11"/>
    <s v="P05"/>
    <s v="St. Ketulam (Yawa)"/>
  </r>
  <r>
    <s v="D02-S04-P06"/>
    <s v="D02"/>
    <x v="1"/>
    <s v="S04"/>
    <s v="D02-S04"/>
    <x v="11"/>
    <s v="P06"/>
    <s v="Yarus"/>
  </r>
  <r>
    <s v="D02-S04-P07"/>
    <s v="D02"/>
    <x v="1"/>
    <s v="S04"/>
    <s v="D02-S04"/>
    <x v="11"/>
    <s v="P07"/>
    <s v="St. Josia"/>
  </r>
  <r>
    <s v="D02-S04-P08"/>
    <s v="D02"/>
    <x v="1"/>
    <s v="S04"/>
    <s v="D02-S04"/>
    <x v="11"/>
    <s v="P08"/>
    <s v="Betel"/>
  </r>
  <r>
    <s v="D02-S04-P09"/>
    <s v="D02"/>
    <x v="1"/>
    <s v="S04"/>
    <s v="D02-S04"/>
    <x v="11"/>
    <s v="P09"/>
    <s v="Yati"/>
  </r>
  <r>
    <s v="D02-S04-P10"/>
    <s v="D02"/>
    <x v="1"/>
    <s v="S04"/>
    <s v="D02-S04"/>
    <x v="11"/>
    <s v="P10"/>
    <s v="Gama"/>
  </r>
  <r>
    <s v="D02-S04-P11"/>
    <s v="D02"/>
    <x v="1"/>
    <s v="S04"/>
    <s v="D02-S04"/>
    <x v="11"/>
    <s v="P11"/>
    <s v="Gugurup"/>
  </r>
  <r>
    <s v="D02-S04-P12"/>
    <s v="D02"/>
    <x v="1"/>
    <s v="S04"/>
    <s v="D02-S04"/>
    <x v="11"/>
    <s v="P12"/>
    <s v="Guruf"/>
  </r>
  <r>
    <s v="D02-S05-P01"/>
    <s v="D02"/>
    <x v="1"/>
    <s v="S05"/>
    <s v="D02-S05"/>
    <x v="12"/>
    <s v="P01"/>
    <s v="Apataiwa"/>
  </r>
  <r>
    <s v="D02-S05-P02"/>
    <s v="D02"/>
    <x v="1"/>
    <s v="S05"/>
    <s v="D02-S05"/>
    <x v="12"/>
    <s v="P02"/>
    <s v="Kawaini"/>
  </r>
  <r>
    <s v="D02-S05-P03"/>
    <s v="D02"/>
    <x v="1"/>
    <s v="S05"/>
    <s v="D02-S05"/>
    <x v="12"/>
    <s v="P03"/>
    <s v="Ambuini"/>
  </r>
  <r>
    <s v="D02-S05-P04"/>
    <s v="D02"/>
    <x v="1"/>
    <s v="S05"/>
    <s v="D02-S05"/>
    <x v="12"/>
    <s v="P04"/>
    <s v="Tauri"/>
  </r>
  <r>
    <s v="D02-S06-P01"/>
    <s v="D02"/>
    <x v="1"/>
    <s v="S06"/>
    <s v="D02-S06"/>
    <x v="13"/>
    <s v="P01"/>
    <s v="Bethel"/>
  </r>
  <r>
    <s v="D02-S06-P02"/>
    <s v="D02"/>
    <x v="1"/>
    <s v="S06"/>
    <s v="D02-S06"/>
    <x v="13"/>
    <s v="P02"/>
    <s v="Sios of Hope"/>
  </r>
  <r>
    <s v="D02-S06-P03"/>
    <s v="D02"/>
    <x v="1"/>
    <s v="S06"/>
    <s v="D02-S06"/>
    <x v="13"/>
    <s v="P03"/>
    <s v="Wanbel"/>
  </r>
  <r>
    <s v="D02-S06-P04"/>
    <s v="D02"/>
    <x v="1"/>
    <s v="S06"/>
    <s v="D02-S06"/>
    <x v="13"/>
    <s v="P04"/>
    <s v="Kisim Bek"/>
  </r>
  <r>
    <s v="D02-S06-P05"/>
    <s v="D02"/>
    <x v="1"/>
    <s v="S06"/>
    <s v="D02-S06"/>
    <x v="13"/>
    <s v="P05"/>
    <s v="Benong"/>
  </r>
  <r>
    <s v="D02-S06-P06"/>
    <s v="D02"/>
    <x v="1"/>
    <s v="S06"/>
    <s v="D02-S06"/>
    <x v="13"/>
    <s v="P06"/>
    <s v="Kaisa"/>
  </r>
  <r>
    <s v="D02-S06-P07"/>
    <s v="D02"/>
    <x v="1"/>
    <s v="S06"/>
    <s v="D02-S06"/>
    <x v="13"/>
    <s v="P07"/>
    <s v="Our Saviour"/>
  </r>
  <r>
    <s v="D02-S06-P08"/>
    <s v="D02"/>
    <x v="1"/>
    <s v="S06"/>
    <s v="D02-S06"/>
    <x v="13"/>
    <s v="P08"/>
    <s v="Mt. Zion"/>
  </r>
  <r>
    <s v="D02-S06-P09"/>
    <s v="D02"/>
    <x v="1"/>
    <s v="S06"/>
    <s v="D02-S06"/>
    <x v="13"/>
    <s v="P09"/>
    <s v="St. Timothy"/>
  </r>
  <r>
    <s v="D02-S06-P10"/>
    <s v="D02"/>
    <x v="1"/>
    <s v="S06"/>
    <s v="D02-S06"/>
    <x v="13"/>
    <s v="P10"/>
    <s v="Trinity"/>
  </r>
  <r>
    <s v="D02-S06-P11"/>
    <s v="D02"/>
    <x v="1"/>
    <s v="S06"/>
    <s v="D02-S06"/>
    <x v="13"/>
    <s v="P11"/>
    <s v="Intung"/>
  </r>
  <r>
    <s v="D02-S06-P12"/>
    <s v="D02"/>
    <x v="1"/>
    <s v="S06"/>
    <s v="D02-S06"/>
    <x v="13"/>
    <s v="P12"/>
    <s v="St. Barnabas"/>
  </r>
  <r>
    <s v="D02-S06-P13"/>
    <s v="D02"/>
    <x v="1"/>
    <s v="S06"/>
    <s v="D02-S06"/>
    <x v="13"/>
    <s v="P13"/>
    <s v="Busu"/>
  </r>
  <r>
    <s v="D02-S06-P14"/>
    <s v="D02"/>
    <x v="1"/>
    <s v="S06"/>
    <s v="D02-S06"/>
    <x v="13"/>
    <s v="P14"/>
    <s v="Redeemer"/>
  </r>
  <r>
    <s v="D02-S06-P15"/>
    <s v="D02"/>
    <x v="1"/>
    <s v="S06"/>
    <s v="D02-S06"/>
    <x v="13"/>
    <s v="P15"/>
    <s v="Calvary"/>
  </r>
  <r>
    <s v="D02-S06-P16"/>
    <s v="D02"/>
    <x v="1"/>
    <s v="S06"/>
    <s v="D02-S06"/>
    <x v="13"/>
    <s v="P16"/>
    <s v="Resurrection"/>
  </r>
  <r>
    <s v="D02-S07-P01"/>
    <s v="D02"/>
    <x v="1"/>
    <s v="S07"/>
    <s v="D02-S07"/>
    <x v="14"/>
    <s v="P01"/>
    <s v="St. Steven"/>
  </r>
  <r>
    <s v="D02-S07-P02"/>
    <s v="D02"/>
    <x v="1"/>
    <s v="S07"/>
    <s v="D02-S07"/>
    <x v="14"/>
    <s v="P02"/>
    <s v="St. Mathew"/>
  </r>
  <r>
    <s v="D02-S07-P03"/>
    <s v="D02"/>
    <x v="1"/>
    <s v="S07"/>
    <s v="D02-S07"/>
    <x v="14"/>
    <s v="P03"/>
    <s v="St. Hiob"/>
  </r>
  <r>
    <s v="D02-S07-P04"/>
    <s v="D02"/>
    <x v="1"/>
    <s v="S07"/>
    <s v="D02-S07"/>
    <x v="14"/>
    <s v="P04"/>
    <s v="Schmutterer"/>
  </r>
  <r>
    <s v="D02-S07-P05"/>
    <s v="D02"/>
    <x v="1"/>
    <s v="S07"/>
    <s v="D02-S07"/>
    <x v="14"/>
    <s v="P05"/>
    <s v="St. Philips"/>
  </r>
  <r>
    <s v="D02-S07-P06"/>
    <s v="D02"/>
    <x v="1"/>
    <s v="S07"/>
    <s v="D02-S07"/>
    <x v="14"/>
    <s v="P06"/>
    <s v="Poaba"/>
  </r>
  <r>
    <s v="D02-S07-P07"/>
    <s v="D02"/>
    <x v="1"/>
    <s v="S07"/>
    <s v="D02-S07"/>
    <x v="14"/>
    <s v="P07"/>
    <s v="St. Peter"/>
  </r>
  <r>
    <s v="D02-S07-P08"/>
    <s v="D02"/>
    <x v="1"/>
    <s v="S07"/>
    <s v="D02-S07"/>
    <x v="14"/>
    <s v="P08"/>
    <s v="St. Andrews"/>
  </r>
  <r>
    <s v="D02-S07-P09"/>
    <s v="D02"/>
    <x v="1"/>
    <s v="S07"/>
    <s v="D02-S07"/>
    <x v="14"/>
    <s v="P09"/>
    <s v="St. Pauls"/>
  </r>
  <r>
    <s v="D02-S08-P01"/>
    <s v="D02"/>
    <x v="1"/>
    <s v="S08"/>
    <s v="D02-S08"/>
    <x v="15"/>
    <s v="P01"/>
    <s v="St. Solomon"/>
  </r>
  <r>
    <s v="D02-S08-P02"/>
    <s v="D02"/>
    <x v="1"/>
    <s v="S08"/>
    <s v="D02-S08"/>
    <x v="15"/>
    <s v="P02"/>
    <s v="Situm"/>
  </r>
  <r>
    <s v="D02-S08-P03"/>
    <s v="D02"/>
    <x v="1"/>
    <s v="S08"/>
    <s v="D02-S08"/>
    <x v="15"/>
    <s v="P03"/>
    <s v="Apo"/>
  </r>
  <r>
    <s v="D02-S08-P04"/>
    <s v="D02"/>
    <x v="1"/>
    <s v="S08"/>
    <s v="D02-S08"/>
    <x v="15"/>
    <s v="P04"/>
    <s v="Wagang"/>
  </r>
  <r>
    <s v="D02-S08-P05"/>
    <s v="D02"/>
    <x v="1"/>
    <s v="S08"/>
    <s v="D02-S08"/>
    <x v="15"/>
    <s v="P05"/>
    <s v="Mesem"/>
  </r>
  <r>
    <s v="D02-S09-P01"/>
    <s v="D02"/>
    <x v="1"/>
    <s v="S09"/>
    <s v="D02-S09"/>
    <x v="16"/>
    <s v="P01"/>
    <s v="Miya"/>
  </r>
  <r>
    <s v="D02-S09-P02"/>
    <s v="D02"/>
    <x v="1"/>
    <s v="S09"/>
    <s v="D02-S09"/>
    <x v="16"/>
    <s v="P02"/>
    <s v="Banuya"/>
  </r>
  <r>
    <s v="D02-S09-P03"/>
    <s v="D02"/>
    <x v="1"/>
    <s v="S09"/>
    <s v="D02-S09"/>
    <x v="16"/>
    <s v="P03"/>
    <s v="Ho"/>
  </r>
  <r>
    <s v="D02-S09-P04"/>
    <s v="D02"/>
    <x v="1"/>
    <s v="S09"/>
    <s v="D02-S09"/>
    <x v="16"/>
    <s v="P04"/>
    <s v="Mubo"/>
  </r>
  <r>
    <s v="D02-S09-P05"/>
    <s v="D02"/>
    <x v="1"/>
    <s v="S09"/>
    <s v="D02-S09"/>
    <x v="16"/>
    <s v="P05"/>
    <s v="Kamiatam"/>
  </r>
  <r>
    <s v="D02-S09-P06"/>
    <s v="D02"/>
    <x v="1"/>
    <s v="S09"/>
    <s v="D02-S09"/>
    <x v="16"/>
    <s v="P06"/>
    <s v="Wabubu"/>
  </r>
  <r>
    <s v="D02-S09-P07"/>
    <s v="D02"/>
    <x v="1"/>
    <s v="S09"/>
    <s v="D02-S09"/>
    <x v="16"/>
    <s v="P07"/>
    <s v="Kesiwaga"/>
  </r>
  <r>
    <s v="D02-S09-P08"/>
    <s v="D02"/>
    <x v="1"/>
    <s v="S09"/>
    <s v="D02-S09"/>
    <x v="16"/>
    <s v="P08"/>
    <s v="Buakap"/>
  </r>
  <r>
    <s v="D02-S09-P09"/>
    <s v="D02"/>
    <x v="1"/>
    <s v="S09"/>
    <s v="D02-S09"/>
    <x v="16"/>
    <s v="P09"/>
    <s v="Malalo"/>
  </r>
  <r>
    <s v="D02-S09-P10"/>
    <s v="D02"/>
    <x v="1"/>
    <s v="S09"/>
    <s v="D02-S09"/>
    <x v="16"/>
    <s v="P10"/>
    <s v="Kelamu"/>
  </r>
  <r>
    <s v="D02-S09-P11"/>
    <s v="D02"/>
    <x v="1"/>
    <s v="S09"/>
    <s v="D02-S09"/>
    <x v="16"/>
    <s v="P11"/>
    <s v="Kaia (Seyem)"/>
  </r>
  <r>
    <s v="D02-S09-P12"/>
    <s v="D02"/>
    <x v="1"/>
    <s v="S09"/>
    <s v="D02-S09"/>
    <x v="16"/>
    <s v="P12"/>
    <s v="Bananuwe"/>
  </r>
  <r>
    <s v="D02-S09-P13"/>
    <s v="D02"/>
    <x v="1"/>
    <s v="S09"/>
    <s v="D02-S09"/>
    <x v="16"/>
    <s v="P13"/>
    <s v="Bater"/>
  </r>
  <r>
    <s v="D02-S10-P01"/>
    <s v="D02"/>
    <x v="1"/>
    <s v="S10"/>
    <s v="D02-S10"/>
    <x v="17"/>
    <s v="P01"/>
    <s v="Freund Memorial"/>
  </r>
  <r>
    <s v="D02-S10-P02"/>
    <s v="D02"/>
    <x v="1"/>
    <s v="S10"/>
    <s v="D02-S10"/>
    <x v="17"/>
    <s v="P02"/>
    <s v="Hengiapa"/>
  </r>
  <r>
    <s v="D02-S10-P03"/>
    <s v="D02"/>
    <x v="1"/>
    <s v="S10"/>
    <s v="D02-S10"/>
    <x v="17"/>
    <s v="P03"/>
    <s v="Konkodia"/>
  </r>
  <r>
    <s v="D02-S10-P04"/>
    <s v="D02"/>
    <x v="1"/>
    <s v="S10"/>
    <s v="D02-S10"/>
    <x v="17"/>
    <s v="P04"/>
    <s v="Wapi"/>
  </r>
  <r>
    <s v="D02-S10-P05"/>
    <s v="D02"/>
    <x v="1"/>
    <s v="S10"/>
    <s v="D02-S10"/>
    <x v="17"/>
    <s v="P05"/>
    <s v="Himaya"/>
  </r>
  <r>
    <s v="D02-S10-P06"/>
    <s v="D02"/>
    <x v="1"/>
    <s v="S10"/>
    <s v="D02-S10"/>
    <x v="17"/>
    <s v="P06"/>
    <s v="Hakwange"/>
  </r>
  <r>
    <s v="D02-S10-P07"/>
    <s v="D02"/>
    <x v="1"/>
    <s v="S10"/>
    <s v="D02-S10"/>
    <x v="17"/>
    <s v="P07"/>
    <s v="Watama"/>
  </r>
  <r>
    <s v="D02-S10-P08"/>
    <s v="D02"/>
    <x v="1"/>
    <s v="S10"/>
    <s v="D02-S10"/>
    <x v="17"/>
    <s v="P08"/>
    <s v="St. John"/>
  </r>
  <r>
    <s v="D02-S10-P09"/>
    <s v="D02"/>
    <x v="1"/>
    <s v="S10"/>
    <s v="D02-S10"/>
    <x v="17"/>
    <s v="P09"/>
    <s v="Sikong"/>
  </r>
  <r>
    <s v="D02-S10-P10"/>
    <s v="D02"/>
    <x v="1"/>
    <s v="S10"/>
    <s v="D02-S10"/>
    <x v="17"/>
    <s v="P10"/>
    <s v="Kapo"/>
  </r>
  <r>
    <s v="D02-S10-P11"/>
    <s v="D02"/>
    <x v="1"/>
    <s v="S10"/>
    <s v="D02-S10"/>
    <x v="17"/>
    <s v="P11"/>
    <s v="Tsewi"/>
  </r>
  <r>
    <s v="D02-S10-P12"/>
    <s v="D02"/>
    <x v="1"/>
    <s v="S10"/>
    <s v="D02-S10"/>
    <x v="17"/>
    <s v="P12"/>
    <s v="Kwaplalim"/>
  </r>
  <r>
    <s v="D02-S10-P13"/>
    <s v="D02"/>
    <x v="1"/>
    <s v="S10"/>
    <s v="D02-S10"/>
    <x v="17"/>
    <s v="P13"/>
    <s v="Jai"/>
  </r>
  <r>
    <s v="D02-S11-P01"/>
    <s v="D02"/>
    <x v="1"/>
    <s v="S11"/>
    <s v="D02-S11"/>
    <x v="18"/>
    <s v="P01"/>
    <s v="Saking"/>
  </r>
  <r>
    <s v="D02-S11-P02"/>
    <s v="D02"/>
    <x v="1"/>
    <s v="S11"/>
    <s v="D02-S11"/>
    <x v="18"/>
    <s v="P02"/>
    <s v="Daum"/>
  </r>
  <r>
    <s v="D02-S11-P03"/>
    <s v="D02"/>
    <x v="1"/>
    <s v="S11"/>
    <s v="D02-S11"/>
    <x v="18"/>
    <s v="P03"/>
    <s v="Ngawasi"/>
  </r>
  <r>
    <s v="D02-S11-P04"/>
    <s v="D02"/>
    <x v="1"/>
    <s v="S11"/>
    <s v="D02-S11"/>
    <x v="18"/>
    <s v="P04"/>
    <s v="St. Steven"/>
  </r>
  <r>
    <s v="D02-S11-P05"/>
    <s v="D02"/>
    <x v="1"/>
    <s v="S11"/>
    <s v="D02-S11"/>
    <x v="18"/>
    <s v="P05"/>
    <s v="St. Paul"/>
  </r>
  <r>
    <s v="D02-S12-P01"/>
    <s v="D02"/>
    <x v="1"/>
    <s v="S12"/>
    <s v="D02-S12"/>
    <x v="19"/>
    <s v="P01"/>
    <s v="Waswas"/>
  </r>
  <r>
    <s v="D02-S12-P02"/>
    <s v="D02"/>
    <x v="1"/>
    <s v="S12"/>
    <s v="D02-S12"/>
    <x v="19"/>
    <s v="P02"/>
    <s v="St. Ben"/>
  </r>
  <r>
    <s v="D02-S12-P03"/>
    <s v="D02"/>
    <x v="1"/>
    <s v="S12"/>
    <s v="D02-S12"/>
    <x v="19"/>
    <s v="P03"/>
    <s v="St. Timothy"/>
  </r>
  <r>
    <s v="D02-S12-P04"/>
    <s v="D02"/>
    <x v="1"/>
    <s v="S12"/>
    <s v="D02-S12"/>
    <x v="19"/>
    <s v="P04"/>
    <s v="St. Titus"/>
  </r>
  <r>
    <s v="D02-S12-P05"/>
    <s v="D02"/>
    <x v="1"/>
    <s v="S12"/>
    <s v="D02-S12"/>
    <x v="19"/>
    <s v="P05"/>
    <s v="Erap"/>
  </r>
  <r>
    <s v="D02-S12-P06"/>
    <s v="D02"/>
    <x v="1"/>
    <s v="S12"/>
    <s v="D02-S12"/>
    <x v="19"/>
    <s v="P06"/>
    <s v="Sampi"/>
  </r>
  <r>
    <s v="D02-S12-P07"/>
    <s v="D02"/>
    <x v="1"/>
    <s v="S12"/>
    <s v="D02-S12"/>
    <x v="19"/>
    <s v="P07"/>
    <s v="Saga"/>
  </r>
  <r>
    <s v="D02-S13-P01"/>
    <s v="D02"/>
    <x v="1"/>
    <s v="S13"/>
    <s v="D02-S13"/>
    <x v="20"/>
    <s v="P01"/>
    <s v="Awara (Kulang)"/>
  </r>
  <r>
    <s v="D02-S13-P02"/>
    <s v="D02"/>
    <x v="1"/>
    <s v="S13"/>
    <s v="D02-S13"/>
    <x v="20"/>
    <s v="P02"/>
    <s v="Bumbum"/>
  </r>
  <r>
    <s v="D02-S13-P03"/>
    <s v="D02"/>
    <x v="1"/>
    <s v="S13"/>
    <s v="D02-S13"/>
    <x v="20"/>
    <s v="P03"/>
    <s v="Bungam"/>
  </r>
  <r>
    <s v="D02-S13-P04"/>
    <s v="D02"/>
    <x v="1"/>
    <s v="S13"/>
    <s v="D02-S13"/>
    <x v="20"/>
    <s v="P04"/>
    <s v="Waga"/>
  </r>
  <r>
    <s v="D02-S13-P05"/>
    <s v="D02"/>
    <x v="1"/>
    <s v="S13"/>
    <s v="D02-S13"/>
    <x v="20"/>
    <s v="P05"/>
    <s v="Muba"/>
  </r>
  <r>
    <s v="D02-S13-P06"/>
    <s v="D02"/>
    <x v="1"/>
    <s v="S13"/>
    <s v="D02-S13"/>
    <x v="20"/>
    <s v="P06"/>
    <s v="Liki"/>
  </r>
  <r>
    <s v="D02-S13-P07"/>
    <s v="D02"/>
    <x v="1"/>
    <s v="S13"/>
    <s v="D02-S13"/>
    <x v="20"/>
    <s v="P07"/>
    <s v="Matap"/>
  </r>
  <r>
    <s v="D02-S13-P08"/>
    <s v="D02"/>
    <x v="1"/>
    <s v="S13"/>
    <s v="D02-S13"/>
    <x v="20"/>
    <s v="P08"/>
    <s v="Gibua"/>
  </r>
  <r>
    <s v="D02-S14-P01"/>
    <s v="D02"/>
    <x v="1"/>
    <s v="S14"/>
    <s v="D02-S14"/>
    <x v="21"/>
    <s v="P01"/>
    <s v="Simbang"/>
  </r>
  <r>
    <s v="D02-S14-P02"/>
    <s v="D02"/>
    <x v="1"/>
    <s v="S14"/>
    <s v="D02-S14"/>
    <x v="21"/>
    <s v="P02"/>
    <s v="Gingala"/>
  </r>
  <r>
    <s v="D02-S14-P03"/>
    <s v="D02"/>
    <x v="1"/>
    <s v="S14"/>
    <s v="D02-S14"/>
    <x v="21"/>
    <s v="P03"/>
    <s v="Obasiga"/>
  </r>
  <r>
    <s v="D02-S14-P04"/>
    <s v="D02"/>
    <x v="1"/>
    <s v="S14"/>
    <s v="D02-S14"/>
    <x v="21"/>
    <s v="P04"/>
    <s v="Gaso"/>
  </r>
  <r>
    <s v="D02-S14-P05"/>
    <s v="D02"/>
    <x v="1"/>
    <s v="S14"/>
    <s v="D02-S14"/>
    <x v="21"/>
    <s v="P05"/>
    <s v="Buma"/>
  </r>
  <r>
    <s v="D02-S14-P06"/>
    <s v="D02"/>
    <x v="1"/>
    <s v="S14"/>
    <s v="D02-S14"/>
    <x v="21"/>
    <s v="P06"/>
    <s v="Malasiga"/>
  </r>
  <r>
    <s v="D02-S01-P01"/>
    <s v="D02"/>
    <x v="1"/>
    <s v="S01"/>
    <s v="D02-S01"/>
    <x v="8"/>
    <s v="P01"/>
    <s v="Nobonob"/>
  </r>
  <r>
    <s v="D03-S01-P02"/>
    <s v="D03"/>
    <x v="2"/>
    <s v="S01"/>
    <s v="D03-S01"/>
    <x v="22"/>
    <s v="P02"/>
    <s v="Bel"/>
  </r>
  <r>
    <s v="D03-S01-P03"/>
    <s v="D03"/>
    <x v="2"/>
    <s v="S01"/>
    <s v="D03-S01"/>
    <x v="22"/>
    <s v="P03"/>
    <s v="Furumu"/>
  </r>
  <r>
    <s v="D03-S01-P04"/>
    <s v="D03"/>
    <x v="2"/>
    <s v="S01"/>
    <s v="D03-S01"/>
    <x v="22"/>
    <s v="P04"/>
    <s v="Silopi"/>
  </r>
  <r>
    <s v="D03-S01-P05"/>
    <s v="D03"/>
    <x v="2"/>
    <s v="S01"/>
    <s v="D03-S01"/>
    <x v="22"/>
    <s v="P05"/>
    <s v="Marik"/>
  </r>
  <r>
    <s v="D03-S01-P06"/>
    <s v="D03"/>
    <x v="2"/>
    <s v="S01"/>
    <s v="D03-S01"/>
    <x v="22"/>
    <s v="P06"/>
    <s v="Banub"/>
  </r>
  <r>
    <s v="D03-S01-P07"/>
    <s v="D03"/>
    <x v="2"/>
    <s v="S01"/>
    <s v="D03-S01"/>
    <x v="22"/>
    <s v="P07"/>
    <s v="Amele"/>
  </r>
  <r>
    <s v="D03-S03-P01"/>
    <s v="D03"/>
    <x v="2"/>
    <s v="S03"/>
    <s v="D03-S03"/>
    <x v="23"/>
    <s v="P01"/>
    <s v="Sangpat"/>
  </r>
  <r>
    <s v="D03-S03-P02"/>
    <s v="D03"/>
    <x v="2"/>
    <s v="S03"/>
    <s v="D03-S03"/>
    <x v="23"/>
    <s v="P02"/>
    <s v="Mendele"/>
  </r>
  <r>
    <s v="D03-S03-P03"/>
    <s v="D03"/>
    <x v="2"/>
    <s v="S03"/>
    <s v="D03-S03"/>
    <x v="23"/>
    <s v="P03"/>
    <s v="Mebu"/>
  </r>
  <r>
    <s v="D03-S03-P04"/>
    <s v="D03"/>
    <x v="2"/>
    <s v="S03"/>
    <s v="D03-S03"/>
    <x v="23"/>
    <s v="P04"/>
    <s v="Kawandam"/>
  </r>
  <r>
    <s v="D03-S03-P05"/>
    <s v="D03"/>
    <x v="2"/>
    <s v="S03"/>
    <s v="D03-S03"/>
    <x v="23"/>
    <s v="P05"/>
    <s v="Yamkau"/>
  </r>
  <r>
    <s v="D03-S03-P06"/>
    <s v="D03"/>
    <x v="2"/>
    <s v="S03"/>
    <s v="D03-S03"/>
    <x v="23"/>
    <s v="P06"/>
    <s v="Kemeralu"/>
  </r>
  <r>
    <s v="D03-S03-P07"/>
    <s v="D03"/>
    <x v="2"/>
    <s v="S03"/>
    <s v="D03-S03"/>
    <x v="23"/>
    <s v="P07"/>
    <s v="Amoya"/>
  </r>
  <r>
    <s v="D03-S03-P08"/>
    <s v="D03"/>
    <x v="2"/>
    <s v="S03"/>
    <s v="D03-S03"/>
    <x v="23"/>
    <s v="P08"/>
    <s v="Kama"/>
  </r>
  <r>
    <s v="D03-S04-P01"/>
    <s v="D03"/>
    <x v="2"/>
    <s v="S04"/>
    <s v="D03-S04"/>
    <x v="24"/>
    <s v="P01"/>
    <s v="Kein"/>
  </r>
  <r>
    <s v="D03-S04-P02"/>
    <s v="D03"/>
    <x v="2"/>
    <s v="S04"/>
    <s v="D03-S04"/>
    <x v="24"/>
    <s v="P02"/>
    <s v="Girawa"/>
  </r>
  <r>
    <s v="D03-S04-P03"/>
    <s v="D03"/>
    <x v="2"/>
    <s v="S04"/>
    <s v="D03-S04"/>
    <x v="24"/>
    <s v="P03"/>
    <s v="Garia"/>
  </r>
  <r>
    <s v="D03-S04-P04"/>
    <s v="D03"/>
    <x v="2"/>
    <s v="S04"/>
    <s v="D03-S04"/>
    <x v="24"/>
    <s v="P04"/>
    <s v="Sop"/>
  </r>
  <r>
    <s v="D03-S04-P05"/>
    <s v="D03"/>
    <x v="2"/>
    <s v="S04"/>
    <s v="D03-S04"/>
    <x v="24"/>
    <s v="P05"/>
    <s v="Bundi"/>
  </r>
  <r>
    <s v="D03-S05-P01"/>
    <s v="D03"/>
    <x v="2"/>
    <s v="S05"/>
    <s v="D03-S05"/>
    <x v="25"/>
    <s v="P01"/>
    <s v="Badibug"/>
  </r>
  <r>
    <s v="D03-S05-P02"/>
    <s v="D03"/>
    <x v="2"/>
    <s v="S05"/>
    <s v="D03-S05"/>
    <x v="25"/>
    <s v="P02"/>
    <s v="Bunabun"/>
  </r>
  <r>
    <s v="D03-S05-P03"/>
    <s v="D03"/>
    <x v="2"/>
    <s v="S05"/>
    <s v="D03-S05"/>
    <x v="25"/>
    <s v="P03"/>
    <s v="Nami"/>
  </r>
  <r>
    <s v="D03-S06-P01"/>
    <s v="D03"/>
    <x v="2"/>
    <s v="S06"/>
    <s v="D03-S06"/>
    <x v="26"/>
    <s v="P01"/>
    <s v="Rau 1"/>
  </r>
  <r>
    <s v="D03-S06-P02"/>
    <s v="D03"/>
    <x v="2"/>
    <s v="S06"/>
    <s v="D03-S06"/>
    <x v="26"/>
    <s v="P02"/>
    <s v="Rau 2"/>
  </r>
  <r>
    <s v="D03-S06-P03"/>
    <s v="D03"/>
    <x v="2"/>
    <s v="S06"/>
    <s v="D03-S06"/>
    <x v="26"/>
    <s v="P03"/>
    <s v="Nahu 1"/>
  </r>
  <r>
    <s v="D03-S06-P04"/>
    <s v="D03"/>
    <x v="2"/>
    <s v="S06"/>
    <s v="D03-S06"/>
    <x v="26"/>
    <s v="P04"/>
    <s v="Nahu 2"/>
  </r>
  <r>
    <s v="D03-S08-P01"/>
    <s v="D03"/>
    <x v="2"/>
    <s v="S08"/>
    <s v="D03-S08"/>
    <x v="27"/>
    <s v="P01"/>
    <s v="Amben"/>
  </r>
  <r>
    <s v="D03-S08-P02"/>
    <s v="D03"/>
    <x v="2"/>
    <s v="S08"/>
    <s v="D03-S08"/>
    <x v="27"/>
    <s v="P02"/>
    <s v="Ambon"/>
  </r>
  <r>
    <s v="D03-S08-P03"/>
    <s v="D03"/>
    <x v="2"/>
    <s v="S08"/>
    <s v="D03-S08"/>
    <x v="27"/>
    <s v="P03"/>
    <s v="Mokati"/>
  </r>
  <r>
    <s v="D03-S08-P04"/>
    <s v="D03"/>
    <x v="2"/>
    <s v="S08"/>
    <s v="D03-S08"/>
    <x v="27"/>
    <s v="P04"/>
    <s v="Abisan"/>
  </r>
  <r>
    <s v="D03-S08-P05"/>
    <s v="D03"/>
    <x v="2"/>
    <s v="S08"/>
    <s v="D03-S08"/>
    <x v="27"/>
    <s v="P05"/>
    <s v="Poya"/>
  </r>
  <r>
    <s v="D03-S08-P06"/>
    <s v="D03"/>
    <x v="2"/>
    <s v="S08"/>
    <s v="D03-S08"/>
    <x v="27"/>
    <s v="P06"/>
    <s v="Aigul"/>
  </r>
  <r>
    <s v="D03-S08-P07"/>
    <s v="D03"/>
    <x v="2"/>
    <s v="S08"/>
    <s v="D03-S08"/>
    <x v="27"/>
    <s v="P07"/>
    <s v="Yamai"/>
  </r>
  <r>
    <s v="D04-S01-P01"/>
    <s v="D04"/>
    <x v="3"/>
    <s v="S01"/>
    <s v="D04-S01"/>
    <x v="28"/>
    <s v="P01"/>
    <s v="Iru"/>
  </r>
  <r>
    <s v="D04-S01-P02"/>
    <s v="D04"/>
    <x v="3"/>
    <s v="S01"/>
    <s v="D04-S01"/>
    <x v="28"/>
    <s v="P02"/>
    <s v="Malagu"/>
  </r>
  <r>
    <s v="D04-S01-P03"/>
    <s v="D04"/>
    <x v="3"/>
    <s v="S01"/>
    <s v="D04-S01"/>
    <x v="28"/>
    <s v="P03"/>
    <s v="Narer"/>
  </r>
  <r>
    <s v="D04-S01-P04"/>
    <s v="D04"/>
    <x v="3"/>
    <s v="S01"/>
    <s v="D04-S01"/>
    <x v="28"/>
    <s v="P04"/>
    <s v="Kiti"/>
  </r>
  <r>
    <s v="D04-S01-P05"/>
    <s v="D04"/>
    <x v="3"/>
    <s v="S01"/>
    <s v="D04-S01"/>
    <x v="28"/>
    <s v="P05"/>
    <s v="Miak"/>
  </r>
  <r>
    <s v="D04-S01-P06"/>
    <s v="D04"/>
    <x v="3"/>
    <s v="S01"/>
    <s v="D04-S01"/>
    <x v="28"/>
    <s v="P06"/>
    <s v="Makitu"/>
  </r>
  <r>
    <s v="D04-S02-P01"/>
    <s v="D04"/>
    <x v="3"/>
    <s v="S02"/>
    <s v="D04-S02"/>
    <x v="29"/>
    <s v="P01"/>
    <s v="Hiru"/>
  </r>
  <r>
    <s v="D04-S02-P02"/>
    <s v="D04"/>
    <x v="3"/>
    <s v="S02"/>
    <s v="D04-S02"/>
    <x v="29"/>
    <s v="P02"/>
    <s v="Titiri"/>
  </r>
  <r>
    <s v="D04-S02-P03"/>
    <s v="D04"/>
    <x v="3"/>
    <s v="S02"/>
    <s v="D04-S02"/>
    <x v="29"/>
    <s v="P03"/>
    <s v="Yakam"/>
  </r>
  <r>
    <s v="D04-S02-P04"/>
    <s v="D04"/>
    <x v="3"/>
    <s v="S02"/>
    <s v="D04-S02"/>
    <x v="29"/>
    <s v="P04"/>
    <s v="Heba"/>
  </r>
  <r>
    <s v="D04-S02-P05"/>
    <s v="D04"/>
    <x v="3"/>
    <s v="S02"/>
    <s v="D04-S02"/>
    <x v="29"/>
    <s v="P05"/>
    <s v="Miro"/>
  </r>
  <r>
    <s v="D04-S02-P06"/>
    <s v="D04"/>
    <x v="3"/>
    <s v="S02"/>
    <s v="D04-S02"/>
    <x v="29"/>
    <s v="P06"/>
    <s v="Mamak"/>
  </r>
  <r>
    <s v="D04-S02-P07"/>
    <s v="D04"/>
    <x v="3"/>
    <s v="S02"/>
    <s v="D04-S02"/>
    <x v="29"/>
    <s v="P07"/>
    <s v="Sabubu"/>
  </r>
  <r>
    <s v="D04-S02-P08"/>
    <s v="D04"/>
    <x v="3"/>
    <s v="S02"/>
    <s v="D04-S02"/>
    <x v="29"/>
    <s v="P08"/>
    <s v="Bua"/>
  </r>
  <r>
    <s v="D04-S03-P01"/>
    <s v="D04"/>
    <x v="3"/>
    <s v="S03"/>
    <s v="D04-S03"/>
    <x v="30"/>
    <s v="P01"/>
    <s v="Labuk"/>
  </r>
  <r>
    <s v="D04-S03-P02"/>
    <s v="D04"/>
    <x v="3"/>
    <s v="S03"/>
    <s v="D04-S03"/>
    <x v="30"/>
    <s v="P02"/>
    <s v="Yagudu"/>
  </r>
  <r>
    <s v="D04-S03-P03"/>
    <s v="D04"/>
    <x v="3"/>
    <s v="S03"/>
    <s v="D04-S03"/>
    <x v="30"/>
    <s v="P03"/>
    <s v="Lulfoi"/>
  </r>
  <r>
    <s v="D04-S03-P04"/>
    <s v="D04"/>
    <x v="3"/>
    <s v="S03"/>
    <s v="D04-S03"/>
    <x v="30"/>
    <s v="P04"/>
    <s v="Mugaer"/>
  </r>
  <r>
    <s v="D04-S03-P05"/>
    <s v="D04"/>
    <x v="3"/>
    <s v="S03"/>
    <s v="D04-S03"/>
    <x v="30"/>
    <s v="P05"/>
    <s v="Malbok"/>
  </r>
  <r>
    <s v="D04-S04-P01"/>
    <s v="D04"/>
    <x v="3"/>
    <s v="S04"/>
    <s v="D04-S04"/>
    <x v="31"/>
    <s v="P01"/>
    <s v="Yerr"/>
  </r>
  <r>
    <s v="D04-S04-P02"/>
    <s v="D04"/>
    <x v="3"/>
    <s v="S04"/>
    <s v="D04-S04"/>
    <x v="31"/>
    <s v="P02"/>
    <s v="Sililai"/>
  </r>
  <r>
    <s v="D04-S04-P03"/>
    <s v="D04"/>
    <x v="3"/>
    <s v="S04"/>
    <s v="D04-S04"/>
    <x v="31"/>
    <s v="P03"/>
    <s v="Kanap"/>
  </r>
  <r>
    <s v="D04-S04-P04"/>
    <s v="D04"/>
    <x v="3"/>
    <s v="S04"/>
    <s v="D04-S04"/>
    <x v="31"/>
    <s v="P04"/>
    <s v="Buvoi"/>
  </r>
  <r>
    <s v="D04-S05-P01"/>
    <s v="D04"/>
    <x v="3"/>
    <s v="S05"/>
    <s v="D04-S05"/>
    <x v="32"/>
    <s v="P01"/>
    <s v="Urit"/>
  </r>
  <r>
    <s v="D04-S05-P02"/>
    <s v="D04"/>
    <x v="3"/>
    <s v="S05"/>
    <s v="D04-S05"/>
    <x v="32"/>
    <s v="P02"/>
    <s v="Karuru"/>
  </r>
  <r>
    <s v="D04-S05-P03"/>
    <s v="D04"/>
    <x v="3"/>
    <s v="S05"/>
    <s v="D04-S05"/>
    <x v="32"/>
    <s v="P03"/>
    <s v="Makudimi"/>
  </r>
  <r>
    <s v="D04-S05-P04"/>
    <s v="D04"/>
    <x v="3"/>
    <s v="S05"/>
    <s v="D04-S05"/>
    <x v="32"/>
    <s v="P04"/>
    <s v="Kabong"/>
  </r>
  <r>
    <s v="D04-S06-P01"/>
    <s v="D04"/>
    <x v="3"/>
    <s v="S06"/>
    <s v="D04-S06"/>
    <x v="33"/>
    <s v="P01"/>
    <s v="Yau"/>
  </r>
  <r>
    <s v="D04-S06-P02"/>
    <s v="D04"/>
    <x v="3"/>
    <s v="S06"/>
    <s v="D04-S06"/>
    <x v="33"/>
    <s v="P02"/>
    <s v="Luk"/>
  </r>
  <r>
    <s v="D04-S06-P03"/>
    <s v="D04"/>
    <x v="3"/>
    <s v="S06"/>
    <s v="D04-S06"/>
    <x v="33"/>
    <s v="P03"/>
    <s v="Tador"/>
  </r>
  <r>
    <s v="D04-S06-P04"/>
    <s v="D04"/>
    <x v="3"/>
    <s v="S06"/>
    <s v="D04-S06"/>
    <x v="33"/>
    <s v="P04"/>
    <s v="Badilu"/>
  </r>
  <r>
    <s v="D05-S01-P01"/>
    <s v="D05"/>
    <x v="4"/>
    <s v="S01"/>
    <s v="D05-S01"/>
    <x v="34"/>
    <s v="P01"/>
    <s v="Aimalu"/>
  </r>
  <r>
    <s v="D05-S01-P02"/>
    <s v="D05"/>
    <x v="4"/>
    <s v="S01"/>
    <s v="D05-S01"/>
    <x v="34"/>
    <s v="P02"/>
    <s v="Samanai"/>
  </r>
  <r>
    <s v="D05-S01-P03"/>
    <s v="D05"/>
    <x v="4"/>
    <s v="S01"/>
    <s v="D05-S01"/>
    <x v="34"/>
    <s v="P03"/>
    <s v="Semo"/>
  </r>
  <r>
    <s v="D05-S01-P04"/>
    <s v="D05"/>
    <x v="4"/>
    <s v="S01"/>
    <s v="D05-S01"/>
    <x v="34"/>
    <s v="P04"/>
    <s v="Padamot"/>
  </r>
  <r>
    <s v="D05-S01-P05"/>
    <s v="D05"/>
    <x v="4"/>
    <s v="S01"/>
    <s v="D05-S01"/>
    <x v="34"/>
    <s v="P05"/>
    <s v="Tagob"/>
  </r>
  <r>
    <s v="D05-S01-P06"/>
    <s v="D05"/>
    <x v="4"/>
    <s v="S01"/>
    <s v="D05-S01"/>
    <x v="34"/>
    <s v="P06"/>
    <s v="Umgon"/>
  </r>
  <r>
    <s v="D05-S01-P07"/>
    <s v="D05"/>
    <x v="4"/>
    <s v="S01"/>
    <s v="D05-S01"/>
    <x v="34"/>
    <s v="P07"/>
    <s v="Nuru"/>
  </r>
  <r>
    <s v="D05-S01-P08"/>
    <s v="D05"/>
    <x v="4"/>
    <s v="S01"/>
    <s v="D05-S01"/>
    <x v="34"/>
    <s v="P08"/>
    <s v="Mormor"/>
  </r>
  <r>
    <s v="D05-S02-P01"/>
    <s v="D05"/>
    <x v="4"/>
    <s v="S02"/>
    <s v="D05-S02"/>
    <x v="35"/>
    <s v="P01"/>
    <s v="Mabi"/>
  </r>
  <r>
    <s v="D05-S02-P02"/>
    <s v="D05"/>
    <x v="4"/>
    <s v="S02"/>
    <s v="D05-S02"/>
    <x v="35"/>
    <s v="P02"/>
    <s v="Laplap"/>
  </r>
  <r>
    <s v="D05-S02-P03"/>
    <s v="D05"/>
    <x v="4"/>
    <s v="S02"/>
    <s v="D05-S02"/>
    <x v="35"/>
    <s v="P03"/>
    <s v="Aronai"/>
  </r>
  <r>
    <s v="D05-S02-P04"/>
    <s v="D05"/>
    <x v="4"/>
    <s v="S02"/>
    <s v="D05-S02"/>
    <x v="35"/>
    <s v="P04"/>
    <s v="Gun"/>
  </r>
  <r>
    <s v="D05-S02-P05"/>
    <s v="D05"/>
    <x v="4"/>
    <s v="S02"/>
    <s v="D05-S02"/>
    <x v="35"/>
    <s v="P05"/>
    <s v="Malai"/>
  </r>
  <r>
    <s v="D05-S02-P06"/>
    <s v="D05"/>
    <x v="4"/>
    <s v="S02"/>
    <s v="D05-S02"/>
    <x v="35"/>
    <s v="P06"/>
    <s v="Tuam"/>
  </r>
  <r>
    <s v="D05-S02-P07"/>
    <s v="D05"/>
    <x v="4"/>
    <s v="S02"/>
    <s v="D05-S02"/>
    <x v="35"/>
    <s v="P07"/>
    <s v="Giam"/>
  </r>
  <r>
    <s v="D06-S01-P01"/>
    <s v="D06"/>
    <x v="5"/>
    <s v="S01"/>
    <s v="D06-S01"/>
    <x v="36"/>
    <s v="P01"/>
    <s v="Tosin"/>
  </r>
  <r>
    <s v="D06-S01-P02"/>
    <s v="D06"/>
    <x v="5"/>
    <s v="S01"/>
    <s v="D06-S01"/>
    <x v="36"/>
    <s v="P02"/>
    <s v="Indagen"/>
  </r>
  <r>
    <s v="D06-S01-P03"/>
    <s v="D06"/>
    <x v="5"/>
    <s v="S01"/>
    <s v="D06-S01"/>
    <x v="36"/>
    <s v="P03"/>
    <s v="Lamga"/>
  </r>
  <r>
    <s v="D06-S01-P04"/>
    <s v="D06"/>
    <x v="5"/>
    <s v="S01"/>
    <s v="D06-S01"/>
    <x v="36"/>
    <s v="P04"/>
    <s v="Ununu"/>
  </r>
  <r>
    <s v="D06-S01-P05"/>
    <s v="D06"/>
    <x v="5"/>
    <s v="S01"/>
    <s v="D06-S01"/>
    <x v="36"/>
    <s v="P05"/>
    <s v="Goma"/>
  </r>
  <r>
    <s v="D06-S01-P06"/>
    <s v="D06"/>
    <x v="5"/>
    <s v="S01"/>
    <s v="D06-S01"/>
    <x v="36"/>
    <s v="P06"/>
    <s v="Usika"/>
  </r>
  <r>
    <s v="D06-S01-P07"/>
    <s v="D06"/>
    <x v="5"/>
    <s v="S01"/>
    <s v="D06-S01"/>
    <x v="36"/>
    <s v="P07"/>
    <s v="Imanuel"/>
  </r>
  <r>
    <s v="D06-S01-P08"/>
    <s v="D06"/>
    <x v="5"/>
    <s v="S01"/>
    <s v="D06-S01"/>
    <x v="36"/>
    <s v="P08"/>
    <s v="Takngawe"/>
  </r>
  <r>
    <s v="D06-S01-P09"/>
    <s v="D06"/>
    <x v="5"/>
    <s v="S01"/>
    <s v="D06-S01"/>
    <x v="36"/>
    <s v="P09"/>
    <s v="Mangam"/>
  </r>
  <r>
    <s v="D06-S02-P01"/>
    <s v="D06"/>
    <x v="5"/>
    <s v="S02"/>
    <s v="D06-S02"/>
    <x v="37"/>
    <s v="P01"/>
    <s v="Tipsit"/>
  </r>
  <r>
    <s v="D06-S02-P02"/>
    <s v="D06"/>
    <x v="5"/>
    <s v="S02"/>
    <s v="D06-S02"/>
    <x v="37"/>
    <s v="P02"/>
    <s v="Gekut"/>
  </r>
  <r>
    <s v="D06-S02-P03"/>
    <s v="D06"/>
    <x v="5"/>
    <s v="S02"/>
    <s v="D06-S02"/>
    <x v="37"/>
    <s v="P03"/>
    <s v="Inweng"/>
  </r>
  <r>
    <s v="D06-S02-P04"/>
    <s v="D06"/>
    <x v="5"/>
    <s v="S02"/>
    <s v="D06-S02"/>
    <x v="37"/>
    <s v="P04"/>
    <s v="Wanbel"/>
  </r>
  <r>
    <s v="D06-S02-P05"/>
    <s v="D06"/>
    <x v="5"/>
    <s v="S02"/>
    <s v="D06-S02"/>
    <x v="37"/>
    <s v="P05"/>
    <s v="Deguso"/>
  </r>
  <r>
    <s v="D06-S02-P06"/>
    <s v="D06"/>
    <x v="5"/>
    <s v="S02"/>
    <s v="D06-S02"/>
    <x v="37"/>
    <s v="P06"/>
    <s v="Koniwa"/>
  </r>
  <r>
    <s v="D06-S03-P01"/>
    <s v="D06"/>
    <x v="5"/>
    <s v="S03"/>
    <s v="D06-S03"/>
    <x v="38"/>
    <s v="P01"/>
    <s v="Disaen"/>
  </r>
  <r>
    <s v="D06-S03-P02"/>
    <s v="D06"/>
    <x v="5"/>
    <s v="S03"/>
    <s v="D06-S03"/>
    <x v="38"/>
    <s v="P02"/>
    <s v="Timowon"/>
  </r>
  <r>
    <s v="D06-S03-P03"/>
    <s v="D06"/>
    <x v="5"/>
    <s v="S03"/>
    <s v="D06-S03"/>
    <x v="38"/>
    <s v="P03"/>
    <s v="Motu"/>
  </r>
  <r>
    <s v="D06-S03-P04"/>
    <s v="D06"/>
    <x v="5"/>
    <s v="S03"/>
    <s v="D06-S03"/>
    <x v="38"/>
    <s v="P04"/>
    <s v="Songin"/>
  </r>
  <r>
    <s v="D06-S03-P05"/>
    <s v="D06"/>
    <x v="5"/>
    <s v="S03"/>
    <s v="D06-S03"/>
    <x v="38"/>
    <s v="P05"/>
    <s v="Derim Stesin"/>
  </r>
  <r>
    <s v="D06-S03-P06"/>
    <s v="D06"/>
    <x v="5"/>
    <s v="S03"/>
    <s v="D06-S03"/>
    <x v="38"/>
    <s v="P06"/>
    <s v="Hengune"/>
  </r>
  <r>
    <s v="D06-S03-P07"/>
    <s v="D06"/>
    <x v="5"/>
    <s v="S03"/>
    <s v="D06-S03"/>
    <x v="38"/>
    <s v="P07"/>
    <s v="Yandu"/>
  </r>
  <r>
    <s v="D06-S03-P08"/>
    <s v="D06"/>
    <x v="5"/>
    <s v="S03"/>
    <s v="D06-S03"/>
    <x v="38"/>
    <s v="P08"/>
    <s v="Ondakey"/>
  </r>
  <r>
    <s v="D06-S08-P01"/>
    <s v="D06"/>
    <x v="5"/>
    <s v="S08"/>
    <s v="D06-S08"/>
    <x v="39"/>
    <s v="P01"/>
    <s v="Munser"/>
  </r>
  <r>
    <s v="D06-S08-P02"/>
    <s v="D06"/>
    <x v="5"/>
    <s v="S08"/>
    <s v="D06-S08"/>
    <x v="39"/>
    <s v="P02"/>
    <s v="Gaptamon"/>
  </r>
  <r>
    <s v="D06-S08-P03"/>
    <s v="D06"/>
    <x v="5"/>
    <s v="S08"/>
    <s v="D06-S08"/>
    <x v="39"/>
    <s v="P03"/>
    <s v="Mabogaro"/>
  </r>
  <r>
    <s v="D06-S08-P04"/>
    <s v="D06"/>
    <x v="5"/>
    <s v="S08"/>
    <s v="D06-S08"/>
    <x v="39"/>
    <s v="P04"/>
    <s v="Yaseta"/>
  </r>
  <r>
    <s v="D06-S09-P01"/>
    <s v="D06"/>
    <x v="5"/>
    <s v="S09"/>
    <s v="D06-S09"/>
    <x v="40"/>
    <s v="P01"/>
    <s v="Wandabong"/>
  </r>
  <r>
    <s v="D06-S09-P02"/>
    <s v="D06"/>
    <x v="5"/>
    <s v="S09"/>
    <s v="D06-S09"/>
    <x v="40"/>
    <s v="P02"/>
    <s v="Isan"/>
  </r>
  <r>
    <s v="D06-S09-P03"/>
    <s v="D06"/>
    <x v="5"/>
    <s v="S09"/>
    <s v="D06-S09"/>
    <x v="40"/>
    <s v="P03"/>
    <s v="Keweng"/>
  </r>
  <r>
    <s v="D06-S09-P04"/>
    <s v="D06"/>
    <x v="5"/>
    <s v="S09"/>
    <s v="D06-S09"/>
    <x v="40"/>
    <s v="P04"/>
    <s v="Utaguka"/>
  </r>
  <r>
    <s v="D06-S09-P05"/>
    <s v="D06"/>
    <x v="5"/>
    <s v="S09"/>
    <s v="D06-S09"/>
    <x v="40"/>
    <s v="P05"/>
    <s v="Bungawat"/>
  </r>
  <r>
    <s v="D06-S09-P06"/>
    <s v="D06"/>
    <x v="5"/>
    <s v="S09"/>
    <s v="D06-S09"/>
    <x v="40"/>
    <s v="P06"/>
    <s v="Gogiok"/>
  </r>
  <r>
    <s v="D06-S09-P07"/>
    <s v="D06"/>
    <x v="5"/>
    <s v="S09"/>
    <s v="D06-S09"/>
    <x v="40"/>
    <s v="P07"/>
    <s v="Dinangat"/>
  </r>
  <r>
    <s v="D06-S09-P08"/>
    <s v="D06"/>
    <x v="5"/>
    <s v="S09"/>
    <s v="D06-S09"/>
    <x v="40"/>
    <s v="P08"/>
    <s v="Yau"/>
  </r>
  <r>
    <s v="D06-S10-P01"/>
    <s v="D06"/>
    <x v="5"/>
    <s v="S10"/>
    <s v="D06-S10"/>
    <x v="41"/>
    <s v="P01"/>
    <s v="Matamo"/>
  </r>
  <r>
    <s v="D06-S10-P02"/>
    <s v="D06"/>
    <x v="5"/>
    <s v="S10"/>
    <s v="D06-S10"/>
    <x v="41"/>
    <s v="P02"/>
    <s v="Umbek"/>
  </r>
  <r>
    <s v="D06-S10-P03"/>
    <s v="D06"/>
    <x v="5"/>
    <s v="S10"/>
    <s v="D06-S10"/>
    <x v="41"/>
    <s v="P03"/>
    <s v="Gwarawon"/>
  </r>
  <r>
    <s v="D06-S10-P04"/>
    <s v="D06"/>
    <x v="5"/>
    <s v="S10"/>
    <s v="D06-S10"/>
    <x v="41"/>
    <s v="P04"/>
    <s v="Bambu"/>
  </r>
  <r>
    <s v="D06-S10-P05"/>
    <s v="D06"/>
    <x v="5"/>
    <s v="S10"/>
    <s v="D06-S10"/>
    <x v="41"/>
    <s v="P05"/>
    <s v="?"/>
  </r>
  <r>
    <s v="D07-S01-P01"/>
    <s v="D07"/>
    <x v="6"/>
    <s v="S01"/>
    <s v="D07-S01"/>
    <x v="42"/>
    <s v="P01"/>
    <s v="Namibung"/>
  </r>
  <r>
    <s v="D07-S01-P02"/>
    <s v="D07"/>
    <x v="6"/>
    <s v="S01"/>
    <s v="D07-S01"/>
    <x v="42"/>
    <s v="P02"/>
    <s v="Figosa"/>
  </r>
  <r>
    <s v="D07-S01-P03"/>
    <s v="D07"/>
    <x v="6"/>
    <s v="S01"/>
    <s v="D07-S01"/>
    <x v="42"/>
    <s v="P03"/>
    <s v="St. Gimafa"/>
  </r>
  <r>
    <s v="D07-S01-P04"/>
    <s v="D07"/>
    <x v="6"/>
    <s v="S01"/>
    <s v="D07-S01"/>
    <x v="42"/>
    <s v="P04"/>
    <s v="Mubago"/>
  </r>
  <r>
    <s v="D07-S01-P05"/>
    <s v="D07"/>
    <x v="6"/>
    <s v="S01"/>
    <s v="D07-S01"/>
    <x v="42"/>
    <s v="P05"/>
    <s v="Sugu"/>
  </r>
  <r>
    <s v="D07-S01-P06"/>
    <s v="D07"/>
    <x v="6"/>
    <s v="S01"/>
    <s v="D07-S01"/>
    <x v="42"/>
    <s v="P06"/>
    <s v="Masiba"/>
  </r>
  <r>
    <s v="D07-S02-P01"/>
    <s v="D07"/>
    <x v="6"/>
    <s v="S02"/>
    <s v="D07-S02"/>
    <x v="43"/>
    <s v="P01"/>
    <s v="Gaing Kusip"/>
  </r>
  <r>
    <s v="D07-S02-P02"/>
    <s v="D07"/>
    <x v="6"/>
    <s v="S02"/>
    <s v="D07-S02"/>
    <x v="43"/>
    <s v="P02"/>
    <s v="Kwepunung"/>
  </r>
  <r>
    <s v="D07-S02-P03"/>
    <s v="D07"/>
    <x v="6"/>
    <s v="S02"/>
    <s v="D07-S02"/>
    <x v="43"/>
    <s v="P03"/>
    <s v="Bandong"/>
  </r>
  <r>
    <s v="D07-S02-P04"/>
    <s v="D07"/>
    <x v="6"/>
    <s v="S02"/>
    <s v="D07-S02"/>
    <x v="43"/>
    <s v="P04"/>
    <s v="Gamiki"/>
  </r>
  <r>
    <s v="D07-S02-P05"/>
    <s v="D07"/>
    <x v="6"/>
    <s v="S02"/>
    <s v="D07-S02"/>
    <x v="43"/>
    <s v="P05"/>
    <s v="Gusi"/>
  </r>
  <r>
    <s v="D07-S02-P06"/>
    <s v="D07"/>
    <x v="6"/>
    <s v="S02"/>
    <s v="D07-S02"/>
    <x v="43"/>
    <s v="P06"/>
    <s v="Gewak"/>
  </r>
  <r>
    <s v="D07-S03-P01"/>
    <s v="D07"/>
    <x v="6"/>
    <s v="S03"/>
    <s v="D07-S03"/>
    <x v="44"/>
    <s v="P01"/>
    <s v="Satukimo"/>
  </r>
  <r>
    <s v="D07-S03-P02"/>
    <s v="D07"/>
    <x v="6"/>
    <s v="S03"/>
    <s v="D07-S03"/>
    <x v="44"/>
    <s v="P02"/>
    <s v="Yaqamu"/>
  </r>
  <r>
    <s v="D07-S03-P03"/>
    <s v="D07"/>
    <x v="6"/>
    <s v="S03"/>
    <s v="D07-S03"/>
    <x v="44"/>
    <s v="P03"/>
    <s v="Baqata"/>
  </r>
  <r>
    <s v="D07-S03-P04"/>
    <s v="D07"/>
    <x v="6"/>
    <s v="S03"/>
    <s v="D07-S03"/>
    <x v="44"/>
    <s v="P04"/>
    <s v="Tuni"/>
  </r>
  <r>
    <s v="D07-S03-P05"/>
    <s v="D07"/>
    <x v="6"/>
    <s v="S03"/>
    <s v="D07-S03"/>
    <x v="44"/>
    <s v="P05"/>
    <s v="Roumi"/>
  </r>
  <r>
    <s v="D07-S03-P06"/>
    <s v="D07"/>
    <x v="6"/>
    <s v="S03"/>
    <s v="D07-S03"/>
    <x v="44"/>
    <s v="P06"/>
    <s v="Mamasi"/>
  </r>
  <r>
    <s v="D08-S01-P01"/>
    <s v="D08"/>
    <x v="7"/>
    <s v="S01"/>
    <s v="D08-S01"/>
    <x v="45"/>
    <s v="P01"/>
    <s v="Wau Taun"/>
  </r>
  <r>
    <s v="D08-S01-P02"/>
    <s v="D08"/>
    <x v="7"/>
    <s v="S01"/>
    <s v="D08-S01"/>
    <x v="45"/>
    <s v="P02"/>
    <s v="Mubuwa"/>
  </r>
  <r>
    <s v="D08-S01-P03"/>
    <s v="D08"/>
    <x v="7"/>
    <s v="S01"/>
    <s v="D08-S01"/>
    <x v="45"/>
    <s v="P03"/>
    <s v="Kaindi"/>
  </r>
  <r>
    <s v="D08-S01-P04"/>
    <s v="D08"/>
    <x v="7"/>
    <s v="S01"/>
    <s v="D08-S01"/>
    <x v="45"/>
    <s v="P04"/>
    <s v="Yawadibu"/>
  </r>
  <r>
    <s v="D08-S01-P05"/>
    <s v="D08"/>
    <x v="7"/>
    <s v="S01"/>
    <s v="D08-S01"/>
    <x v="45"/>
    <s v="P05"/>
    <s v="Moina"/>
  </r>
  <r>
    <s v="D08-S02-P01"/>
    <s v="D08"/>
    <x v="7"/>
    <s v="S02"/>
    <s v="D08-S02"/>
    <x v="46"/>
    <s v="P01"/>
    <s v="Malangta"/>
  </r>
  <r>
    <s v="D08-S02-P02"/>
    <s v="D08"/>
    <x v="7"/>
    <s v="S02"/>
    <s v="D08-S02"/>
    <x v="46"/>
    <s v="P02"/>
    <s v="St. Steven"/>
  </r>
  <r>
    <s v="D08-S02-P03"/>
    <s v="D08"/>
    <x v="7"/>
    <s v="S02"/>
    <s v="D08-S02"/>
    <x v="46"/>
    <s v="P03"/>
    <s v="Waikanda"/>
  </r>
  <r>
    <s v="D08-S02-P04"/>
    <s v="D08"/>
    <x v="7"/>
    <s v="S02"/>
    <s v="D08-S02"/>
    <x v="46"/>
    <s v="P04"/>
    <s v="Andarira"/>
  </r>
  <r>
    <s v="D08-S03-P01"/>
    <s v="D08"/>
    <x v="7"/>
    <s v="S03"/>
    <s v="D08-S03"/>
    <x v="47"/>
    <s v="P01"/>
    <s v="St. John"/>
  </r>
  <r>
    <s v="D08-S03-P02"/>
    <s v="D08"/>
    <x v="7"/>
    <s v="S03"/>
    <s v="D08-S03"/>
    <x v="47"/>
    <s v="P02"/>
    <s v="St. Loplam"/>
  </r>
  <r>
    <s v="D08-S03-P03"/>
    <s v="D08"/>
    <x v="7"/>
    <s v="S03"/>
    <s v="D08-S03"/>
    <x v="47"/>
    <s v="P03"/>
    <s v="Kaukesa"/>
  </r>
  <r>
    <s v="D08-S03-P04"/>
    <s v="D08"/>
    <x v="7"/>
    <s v="S03"/>
    <s v="D08-S03"/>
    <x v="47"/>
    <s v="P04"/>
    <s v="Interim"/>
  </r>
  <r>
    <s v="D08-S03-P05"/>
    <s v="D08"/>
    <x v="7"/>
    <s v="S03"/>
    <s v="D08-S03"/>
    <x v="47"/>
    <s v="P05"/>
    <s v="Palakris"/>
  </r>
  <r>
    <s v="D08-S04-P01"/>
    <s v="D08"/>
    <x v="7"/>
    <s v="S04"/>
    <s v="D08-S04"/>
    <x v="48"/>
    <s v="P01"/>
    <s v="Tauem"/>
  </r>
  <r>
    <s v="D08-S04-P02"/>
    <s v="D08"/>
    <x v="7"/>
    <s v="S04"/>
    <s v="D08-S04"/>
    <x v="48"/>
    <s v="P02"/>
    <s v="Gawapu"/>
  </r>
  <r>
    <s v="D08-S05-P01"/>
    <s v="D08"/>
    <x v="7"/>
    <s v="S05"/>
    <s v="D08-S05"/>
    <x v="49"/>
    <s v="P01"/>
    <s v="Timini"/>
  </r>
  <r>
    <s v="D08-S05-P02"/>
    <s v="D08"/>
    <x v="7"/>
    <s v="S05"/>
    <s v="D08-S05"/>
    <x v="49"/>
    <s v="P02"/>
    <s v="Gurakor"/>
  </r>
  <r>
    <s v="D08-S05-P03"/>
    <s v="D08"/>
    <x v="7"/>
    <s v="S05"/>
    <s v="D08-S05"/>
    <x v="49"/>
    <s v="P03"/>
    <s v="Ahiu"/>
  </r>
  <r>
    <s v="D09-S01-P01"/>
    <s v="D09"/>
    <x v="8"/>
    <s v="S01"/>
    <s v="D09-S01"/>
    <x v="50"/>
    <s v="P01"/>
    <s v="Holi Triniti"/>
  </r>
  <r>
    <s v="D09-S01-P02"/>
    <s v="D09"/>
    <x v="8"/>
    <s v="S01"/>
    <s v="D09-S01"/>
    <x v="50"/>
    <s v="P02"/>
    <s v="Buvusi"/>
  </r>
  <r>
    <s v="D09-S01-P03"/>
    <s v="D09"/>
    <x v="8"/>
    <s v="S01"/>
    <s v="D09-S01"/>
    <x v="50"/>
    <s v="P03"/>
    <s v="Nahavio"/>
  </r>
  <r>
    <s v="D09-S01-P04"/>
    <s v="D09"/>
    <x v="8"/>
    <s v="S01"/>
    <s v="D09-S01"/>
    <x v="50"/>
    <s v="P04"/>
    <s v="St. Daniel"/>
  </r>
  <r>
    <s v="D09-S01-P05"/>
    <s v="D09"/>
    <x v="8"/>
    <s v="S01"/>
    <s v="D09-S01"/>
    <x v="50"/>
    <s v="P05"/>
    <s v="Mt. Zaion"/>
  </r>
  <r>
    <s v="D12-S03-P01"/>
    <s v="D12"/>
    <x v="9"/>
    <s v="S03"/>
    <s v="D12-S03"/>
    <x v="51"/>
    <s v="P01"/>
    <s v="Sakius"/>
  </r>
  <r>
    <s v="D12-S03-P02"/>
    <s v="D12"/>
    <x v="9"/>
    <s v="S03"/>
    <s v="D12-S03"/>
    <x v="51"/>
    <s v="P02"/>
    <s v="Kisiwerol"/>
  </r>
  <r>
    <s v="D12-S03-P03"/>
    <s v="D12"/>
    <x v="9"/>
    <s v="S03"/>
    <s v="D12-S03"/>
    <x v="51"/>
    <s v="P03"/>
    <s v="Beter"/>
  </r>
  <r>
    <s v="D12-S03-P04"/>
    <s v="D12"/>
    <x v="9"/>
    <s v="S03"/>
    <s v="D12-S03"/>
    <x v="51"/>
    <s v="P04"/>
    <s v="Fusa"/>
  </r>
  <r>
    <s v="D12-S03-P05"/>
    <s v="D12"/>
    <x v="9"/>
    <s v="S03"/>
    <s v="D12-S03"/>
    <x v="51"/>
    <s v="P05"/>
    <s v="Kunai"/>
  </r>
  <r>
    <s v="D12-S03-P06"/>
    <s v="D12"/>
    <x v="9"/>
    <s v="S03"/>
    <s v="D12-S03"/>
    <x v="51"/>
    <s v="P06"/>
    <s v="Hira"/>
  </r>
  <r>
    <s v="D12-S04-P01"/>
    <s v="D12"/>
    <x v="9"/>
    <s v="S04"/>
    <s v="D12-S04"/>
    <x v="52"/>
    <s v="P01"/>
    <s v="Siwili"/>
  </r>
  <r>
    <s v="D12-S04-P02"/>
    <s v="D12"/>
    <x v="9"/>
    <s v="S04"/>
    <s v="D12-S04"/>
    <x v="52"/>
    <s v="P02"/>
    <s v="Gama"/>
  </r>
  <r>
    <s v="D12-S04-P03"/>
    <s v="D12"/>
    <x v="9"/>
    <s v="S04"/>
    <s v="D12-S04"/>
    <x v="52"/>
    <s v="P03"/>
    <s v="Gahuku"/>
  </r>
  <r>
    <s v="D12-S04-P04"/>
    <s v="D12"/>
    <x v="9"/>
    <s v="S04"/>
    <s v="D12-S04"/>
    <x v="52"/>
    <s v="P04"/>
    <s v="Zomaga"/>
  </r>
  <r>
    <s v="D12-S04-P05"/>
    <s v="D12"/>
    <x v="9"/>
    <s v="S04"/>
    <s v="D12-S04"/>
    <x v="52"/>
    <s v="P05"/>
    <s v="Ifiufa"/>
  </r>
  <r>
    <s v="D12-S04-P06"/>
    <s v="D12"/>
    <x v="9"/>
    <s v="S04"/>
    <s v="D12-S04"/>
    <x v="52"/>
    <s v="P06"/>
    <s v="Gurupoka"/>
  </r>
  <r>
    <s v="D12-S04-P07"/>
    <s v="D12"/>
    <x v="9"/>
    <s v="S04"/>
    <s v="D12-S04"/>
    <x v="52"/>
    <s v="P07"/>
    <s v="Yaukawe"/>
  </r>
  <r>
    <s v="D12-S04-P08"/>
    <s v="D12"/>
    <x v="9"/>
    <s v="S04"/>
    <s v="D12-S04"/>
    <x v="52"/>
    <s v="P08"/>
    <s v="Homoka"/>
  </r>
  <r>
    <s v="D12-S04-P09"/>
    <s v="D12"/>
    <x v="9"/>
    <s v="S04"/>
    <s v="D12-S04"/>
    <x v="52"/>
    <s v="P09"/>
    <s v="Ramu Wokmisin"/>
  </r>
  <r>
    <s v="D12-S06-P01"/>
    <s v="D12"/>
    <x v="9"/>
    <s v="S06"/>
    <s v="D12-S06"/>
    <x v="53"/>
    <s v="P01"/>
    <s v="St. Johns"/>
  </r>
  <r>
    <s v="D12-S06-P02"/>
    <s v="D12"/>
    <x v="9"/>
    <s v="S06"/>
    <s v="D12-S06"/>
    <x v="53"/>
    <s v="P02"/>
    <s v="St. Mathew"/>
  </r>
  <r>
    <s v="D12-S06-P03"/>
    <s v="D12"/>
    <x v="9"/>
    <s v="S06"/>
    <s v="D12-S06"/>
    <x v="53"/>
    <s v="P03"/>
    <s v="St. Paul"/>
  </r>
</pivotCacheRecords>
</file>

<file path=xl/pivotCache/pivotCacheRecords2.xml><?xml version="1.0" encoding="utf-8"?>
<pivotCacheRecords xmlns="http://schemas.openxmlformats.org/spreadsheetml/2006/main" xmlns:r="http://schemas.openxmlformats.org/officeDocument/2006/relationships" count="1394">
  <r>
    <s v="D01-S01-P01-K01"/>
    <s v="D01"/>
    <x v="0"/>
    <s v="S01"/>
    <s v="D01-S01"/>
    <x v="0"/>
    <s v="P01"/>
    <s v="D01-S01-P01"/>
    <x v="0"/>
    <s v="K01"/>
    <s v="Kip"/>
  </r>
  <r>
    <s v="D01-S01-P01-K02"/>
    <s v="D01"/>
    <x v="0"/>
    <s v="S01"/>
    <s v="D01-S01"/>
    <x v="0"/>
    <s v="P01"/>
    <s v="D01-S01-P01"/>
    <x v="0"/>
    <s v="K02"/>
    <s v="Kukuya"/>
  </r>
  <r>
    <s v="D01-S01-P01-K03"/>
    <s v="D01"/>
    <x v="0"/>
    <s v="S01"/>
    <s v="D01-S01"/>
    <x v="0"/>
    <s v="P01"/>
    <s v="D01-S01-P01"/>
    <x v="0"/>
    <s v="K03"/>
    <s v="Wetna"/>
  </r>
  <r>
    <s v="D01-S01-P01-K04"/>
    <s v="D01"/>
    <x v="0"/>
    <s v="S01"/>
    <s v="D01-S01"/>
    <x v="0"/>
    <s v="P01"/>
    <s v="D01-S01-P01"/>
    <x v="0"/>
    <s v="K04"/>
    <s v="Sikekea"/>
  </r>
  <r>
    <s v="D01-S01-P01-K05"/>
    <s v="D01"/>
    <x v="0"/>
    <s v="S01"/>
    <s v="D01-S01"/>
    <x v="0"/>
    <s v="P01"/>
    <s v="D01-S01-P01"/>
    <x v="0"/>
    <s v="K05"/>
    <s v="Kalasa"/>
  </r>
  <r>
    <s v="D01-S01-P01-K06"/>
    <s v="D01"/>
    <x v="0"/>
    <s v="S01"/>
    <s v="D01-S01"/>
    <x v="0"/>
    <s v="P01"/>
    <s v="D01-S01-P01"/>
    <x v="0"/>
    <s v="K06"/>
    <s v="Orara"/>
  </r>
  <r>
    <s v="D01-S01-P01-K07"/>
    <s v="D01"/>
    <x v="0"/>
    <s v="S01"/>
    <s v="D01-S01"/>
    <x v="0"/>
    <s v="P01"/>
    <s v="D01-S01-P01"/>
    <x v="0"/>
    <s v="K07"/>
    <s v="Betel"/>
  </r>
  <r>
    <s v="D01-S01-P02-K01"/>
    <s v="D01"/>
    <x v="0"/>
    <s v="S01"/>
    <s v="D01-S01"/>
    <x v="0"/>
    <s v="P02"/>
    <s v="D01-S01-P02"/>
    <x v="1"/>
    <s v="K01"/>
    <s v="Sialum"/>
  </r>
  <r>
    <s v="D01-S01-P02-K02"/>
    <s v="D01"/>
    <x v="0"/>
    <s v="S01"/>
    <s v="D01-S01"/>
    <x v="0"/>
    <s v="P02"/>
    <s v="D01-S01-P02"/>
    <x v="1"/>
    <s v="K02"/>
    <s v="Nama"/>
  </r>
  <r>
    <s v="D01-S01-P02-K03"/>
    <s v="D01"/>
    <x v="0"/>
    <s v="S01"/>
    <s v="D01-S01"/>
    <x v="0"/>
    <s v="P02"/>
    <s v="D01-S01-P02"/>
    <x v="1"/>
    <s v="K03"/>
    <s v="Qambu"/>
  </r>
  <r>
    <s v="D01-S01-P02-K04"/>
    <s v="D01"/>
    <x v="0"/>
    <s v="S01"/>
    <s v="D01-S01"/>
    <x v="0"/>
    <s v="P02"/>
    <s v="D01-S01-P02"/>
    <x v="1"/>
    <s v="K04"/>
    <s v="Romonga"/>
  </r>
  <r>
    <s v="D01-S01-P02-K05"/>
    <s v="D01"/>
    <x v="0"/>
    <s v="S01"/>
    <s v="D01-S01"/>
    <x v="0"/>
    <s v="P02"/>
    <s v="D01-S01-P02"/>
    <x v="1"/>
    <s v="K05"/>
    <s v="Station"/>
  </r>
  <r>
    <s v="D01-S01-P03-K01"/>
    <s v="D01"/>
    <x v="0"/>
    <s v="S01"/>
    <s v="D01-S01"/>
    <x v="0"/>
    <s v="P03"/>
    <s v="D01-S01-P03"/>
    <x v="2"/>
    <s v="K01"/>
    <s v="Kanome"/>
  </r>
  <r>
    <s v="D01-S01-P03-K02"/>
    <s v="D01"/>
    <x v="0"/>
    <s v="S01"/>
    <s v="D01-S01"/>
    <x v="0"/>
    <s v="P03"/>
    <s v="D01-S01-P03"/>
    <x v="2"/>
    <s v="K02"/>
    <s v="Nada"/>
  </r>
  <r>
    <s v="D01-S01-P03-K03"/>
    <s v="D01"/>
    <x v="0"/>
    <s v="S01"/>
    <s v="D01-S01"/>
    <x v="0"/>
    <s v="P03"/>
    <s v="D01-S01-P03"/>
    <x v="2"/>
    <s v="K03"/>
    <s v="Kanzarua"/>
  </r>
  <r>
    <s v="D01-S01-P03-K04"/>
    <s v="D01"/>
    <x v="0"/>
    <s v="S01"/>
    <s v="D01-S01"/>
    <x v="0"/>
    <s v="P03"/>
    <s v="D01-S01-P03"/>
    <x v="2"/>
    <s v="K04"/>
    <s v="Marimari"/>
  </r>
  <r>
    <s v="D01-S01-P04-K01"/>
    <s v="D01"/>
    <x v="0"/>
    <s v="S01"/>
    <s v="D01-S01"/>
    <x v="0"/>
    <s v="P04"/>
    <s v="D01-S01-P04"/>
    <x v="3"/>
    <s v="K01"/>
    <s v="Ririwo"/>
  </r>
  <r>
    <s v="D01-S01-P04-K02"/>
    <s v="D01"/>
    <x v="0"/>
    <s v="S01"/>
    <s v="D01-S01"/>
    <x v="0"/>
    <s v="P04"/>
    <s v="D01-S01-P04"/>
    <x v="3"/>
    <s v="K02"/>
    <s v="Ga"/>
  </r>
  <r>
    <s v="D01-S01-P04-K03"/>
    <s v="D01"/>
    <x v="0"/>
    <s v="S01"/>
    <s v="D01-S01"/>
    <x v="0"/>
    <s v="P04"/>
    <s v="D01-S01-P04"/>
    <x v="3"/>
    <s v="K03"/>
    <s v="Sabe"/>
  </r>
  <r>
    <s v="D01-S01-P04-K04"/>
    <s v="D01"/>
    <x v="0"/>
    <s v="S01"/>
    <s v="D01-S01"/>
    <x v="0"/>
    <s v="P04"/>
    <s v="D01-S01-P04"/>
    <x v="3"/>
    <s v="K04"/>
    <s v="Samep"/>
  </r>
  <r>
    <s v="D01-S01-P05-K01"/>
    <s v="D01"/>
    <x v="0"/>
    <s v="S01"/>
    <s v="D01-S01"/>
    <x v="0"/>
    <s v="P05"/>
    <s v="D01-S01-P05"/>
    <x v="4"/>
    <s v="K01"/>
    <s v="Mineneko"/>
  </r>
  <r>
    <s v="D01-S01-P05-K02"/>
    <s v="D01"/>
    <x v="0"/>
    <s v="S01"/>
    <s v="D01-S01"/>
    <x v="0"/>
    <s v="P05"/>
    <s v="D01-S01-P05"/>
    <x v="4"/>
    <s v="K02"/>
    <s v="Buamgo"/>
  </r>
  <r>
    <s v="D01-S01-P05-K03"/>
    <s v="D01"/>
    <x v="0"/>
    <s v="S01"/>
    <s v="D01-S01"/>
    <x v="0"/>
    <s v="P05"/>
    <s v="D01-S01-P05"/>
    <x v="4"/>
    <s v="K03"/>
    <s v="Zakupep"/>
  </r>
  <r>
    <s v="D01-S01-P05-K04"/>
    <s v="D01"/>
    <x v="0"/>
    <s v="S01"/>
    <s v="D01-S01"/>
    <x v="0"/>
    <s v="P05"/>
    <s v="D01-S01-P05"/>
    <x v="4"/>
    <s v="K04"/>
    <s v="Zankoa"/>
  </r>
  <r>
    <s v="D01-S01-P05-K05"/>
    <s v="D01"/>
    <x v="0"/>
    <s v="S01"/>
    <s v="D01-S01"/>
    <x v="0"/>
    <s v="P05"/>
    <s v="D01-S01-P05"/>
    <x v="4"/>
    <s v="K05"/>
    <s v="Karako"/>
  </r>
  <r>
    <s v="D01-S01-P06-K01"/>
    <s v="D01"/>
    <x v="0"/>
    <s v="S01"/>
    <s v="D01-S01"/>
    <x v="0"/>
    <s v="P06"/>
    <s v="D01-S01-P06"/>
    <x v="5"/>
    <s v="K01"/>
    <s v="Gitukia"/>
  </r>
  <r>
    <s v="D01-S01-P06-K02"/>
    <s v="D01"/>
    <x v="0"/>
    <s v="S01"/>
    <s v="D01-S01"/>
    <x v="0"/>
    <s v="P06"/>
    <s v="D01-S01-P06"/>
    <x v="5"/>
    <s v="K02"/>
    <s v="Qabi"/>
  </r>
  <r>
    <s v="D01-S01-P06-K03"/>
    <s v="D01"/>
    <x v="0"/>
    <s v="S01"/>
    <s v="D01-S01"/>
    <x v="0"/>
    <s v="P06"/>
    <s v="D01-S01-P06"/>
    <x v="5"/>
    <s v="K03"/>
    <s v="Ejango"/>
  </r>
  <r>
    <s v="D01-S01-P06-K04"/>
    <s v="D01"/>
    <x v="0"/>
    <s v="S01"/>
    <s v="D01-S01"/>
    <x v="0"/>
    <s v="P06"/>
    <s v="D01-S01-P06"/>
    <x v="5"/>
    <s v="K04"/>
    <s v="Kinalakna"/>
  </r>
  <r>
    <s v="D01-S01-P07-K01"/>
    <s v="D01"/>
    <x v="0"/>
    <s v="S01"/>
    <s v="D01-S01"/>
    <x v="0"/>
    <s v="P07"/>
    <s v="D01-S01-P07"/>
    <x v="6"/>
    <s v="K01"/>
    <s v="Gitua"/>
  </r>
  <r>
    <s v="D01-S01-P07-K02"/>
    <s v="D01"/>
    <x v="0"/>
    <s v="S01"/>
    <s v="D01-S01"/>
    <x v="0"/>
    <s v="P07"/>
    <s v="D01-S01-P07"/>
    <x v="6"/>
    <s v="K02"/>
    <s v="Boru"/>
  </r>
  <r>
    <s v="D01-S01-P07-K03"/>
    <s v="D01"/>
    <x v="0"/>
    <s v="S01"/>
    <s v="D01-S01"/>
    <x v="0"/>
    <s v="P07"/>
    <s v="D01-S01-P07"/>
    <x v="6"/>
    <s v="K03"/>
    <s v="Wenga"/>
  </r>
  <r>
    <s v="D01-S01-P08-K01"/>
    <s v="D01"/>
    <x v="0"/>
    <s v="S01"/>
    <s v="D01-S01"/>
    <x v="0"/>
    <s v="P08"/>
    <s v="D01-S01-P08"/>
    <x v="7"/>
    <s v="K01"/>
    <s v="Wagum"/>
  </r>
  <r>
    <s v="D01-S01-P08-K02"/>
    <s v="D01"/>
    <x v="0"/>
    <s v="S01"/>
    <s v="D01-S01"/>
    <x v="0"/>
    <s v="P08"/>
    <s v="D01-S01-P08"/>
    <x v="7"/>
    <s v="K02"/>
    <s v="Kolakia"/>
  </r>
  <r>
    <s v="D01-S01-P08-K03"/>
    <s v="D01"/>
    <x v="0"/>
    <s v="S01"/>
    <s v="D01-S01"/>
    <x v="0"/>
    <s v="P08"/>
    <s v="D01-S01-P08"/>
    <x v="7"/>
    <s v="K03"/>
    <s v="Kumukio"/>
  </r>
  <r>
    <s v="D01-S01-P08-K04"/>
    <s v="D01"/>
    <x v="0"/>
    <s v="S01"/>
    <s v="D01-S01"/>
    <x v="0"/>
    <s v="P08"/>
    <s v="D01-S01-P08"/>
    <x v="7"/>
    <s v="K04"/>
    <s v="Soleng"/>
  </r>
  <r>
    <s v="D01-S02-P01-K01"/>
    <s v="D01"/>
    <x v="0"/>
    <s v="S02"/>
    <s v="D01-S02"/>
    <x v="1"/>
    <s v="P01"/>
    <s v="D01-S02-P01"/>
    <x v="8"/>
    <s v="K01"/>
    <s v="Yunziang"/>
  </r>
  <r>
    <s v="D01-S02-P01-K02"/>
    <s v="D01"/>
    <x v="0"/>
    <s v="S02"/>
    <s v="D01-S02"/>
    <x v="1"/>
    <s v="P01"/>
    <s v="D01-S02-P01"/>
    <x v="8"/>
    <s v="K02"/>
    <s v="Yomeng"/>
  </r>
  <r>
    <s v="D01-S02-P01-K03"/>
    <s v="D01"/>
    <x v="0"/>
    <s v="S02"/>
    <s v="D01-S02"/>
    <x v="1"/>
    <s v="P01"/>
    <s v="D01-S02-P01"/>
    <x v="8"/>
    <s v="K03"/>
    <s v="Faseu"/>
  </r>
  <r>
    <s v="D01-S02-P01-K04"/>
    <s v="D01"/>
    <x v="0"/>
    <s v="S02"/>
    <s v="D01-S02"/>
    <x v="1"/>
    <s v="P01"/>
    <s v="D01-S02-P01"/>
    <x v="8"/>
    <s v="K04"/>
    <s v="Moracgoc"/>
  </r>
  <r>
    <s v="D01-S02-P02-K01"/>
    <s v="D01"/>
    <x v="0"/>
    <s v="S02"/>
    <s v="D01-S02"/>
    <x v="1"/>
    <s v="P02"/>
    <s v="D01-S02-P02"/>
    <x v="9"/>
    <s v="K01"/>
    <s v="Hoboc"/>
  </r>
  <r>
    <s v="D01-S02-P02-K02"/>
    <s v="D01"/>
    <x v="0"/>
    <s v="S02"/>
    <s v="D01-S02"/>
    <x v="1"/>
    <s v="P02"/>
    <s v="D01-S02-P02"/>
    <x v="9"/>
    <s v="K02"/>
    <s v="Turuo"/>
  </r>
  <r>
    <s v="D01-S02-P03-K01"/>
    <s v="D01"/>
    <x v="0"/>
    <s v="S02"/>
    <s v="D01-S02"/>
    <x v="1"/>
    <s v="P03"/>
    <s v="D01-S02-P03"/>
    <x v="10"/>
    <s v="K01"/>
    <s v="Zembeac"/>
  </r>
  <r>
    <s v="D01-S02-P03-K02"/>
    <s v="D01"/>
    <x v="0"/>
    <s v="S02"/>
    <s v="D01-S02"/>
    <x v="1"/>
    <s v="P03"/>
    <s v="D01-S02-P03"/>
    <x v="10"/>
    <s v="K02"/>
    <s v="Soseku"/>
  </r>
  <r>
    <s v="D01-S02-P03-K03"/>
    <s v="D01"/>
    <x v="0"/>
    <s v="S02"/>
    <s v="D01-S02"/>
    <x v="1"/>
    <s v="P03"/>
    <s v="D01-S02-P03"/>
    <x v="10"/>
    <s v="K03"/>
    <s v="Besaiba"/>
  </r>
  <r>
    <s v="D01-S02-P03-K04"/>
    <s v="D01"/>
    <x v="0"/>
    <s v="S02"/>
    <s v="D01-S02"/>
    <x v="1"/>
    <s v="P03"/>
    <s v="D01-S02-P03"/>
    <x v="10"/>
    <s v="K04"/>
    <s v="Banziu"/>
  </r>
  <r>
    <s v="D01-S02-P03-K05"/>
    <s v="D01"/>
    <x v="0"/>
    <s v="S02"/>
    <s v="D01-S02"/>
    <x v="1"/>
    <s v="P03"/>
    <s v="D01-S02-P03"/>
    <x v="10"/>
    <s v="K05"/>
    <s v="Ondeu"/>
  </r>
  <r>
    <s v="D01-S02-P03-K06"/>
    <s v="D01"/>
    <x v="0"/>
    <s v="S02"/>
    <s v="D01-S02"/>
    <x v="1"/>
    <s v="P03"/>
    <s v="D01-S02-P03"/>
    <x v="10"/>
    <s v="K06"/>
    <s v="Singfanic"/>
  </r>
  <r>
    <s v="D01-S02-P04-K01"/>
    <s v="D01"/>
    <x v="0"/>
    <s v="S02"/>
    <s v="D01-S02"/>
    <x v="1"/>
    <s v="P04"/>
    <s v="D01-S02-P04"/>
    <x v="11"/>
    <s v="K01"/>
    <s v="Yamino"/>
  </r>
  <r>
    <s v="D01-S02-P04-K02"/>
    <s v="D01"/>
    <x v="0"/>
    <s v="S02"/>
    <s v="D01-S02"/>
    <x v="1"/>
    <s v="P04"/>
    <s v="D01-S02-P04"/>
    <x v="11"/>
    <s v="K02"/>
    <s v="Siwea"/>
  </r>
  <r>
    <s v="D01-S02-P04-K03"/>
    <s v="D01"/>
    <x v="0"/>
    <s v="S02"/>
    <s v="D01-S02"/>
    <x v="1"/>
    <s v="P04"/>
    <s v="D01-S02-P04"/>
    <x v="11"/>
    <s v="K03"/>
    <s v="Rebafu"/>
  </r>
  <r>
    <s v="D01-S02-P05-K01"/>
    <s v="D01"/>
    <x v="0"/>
    <s v="S02"/>
    <s v="D01-S02"/>
    <x v="1"/>
    <s v="P05"/>
    <s v="D01-S02-P05"/>
    <x v="12"/>
    <s v="K01"/>
    <s v="Korongmanau"/>
  </r>
  <r>
    <s v="D01-S02-P05-K02"/>
    <s v="D01"/>
    <x v="0"/>
    <s v="S02"/>
    <s v="D01-S02"/>
    <x v="1"/>
    <s v="P05"/>
    <s v="D01-S02-P05"/>
    <x v="12"/>
    <s v="K02"/>
    <s v="Yomozoko"/>
  </r>
  <r>
    <s v="D01-S02-P05-K03"/>
    <s v="D01"/>
    <x v="0"/>
    <s v="S02"/>
    <s v="D01-S02"/>
    <x v="1"/>
    <s v="P05"/>
    <s v="D01-S02-P05"/>
    <x v="12"/>
    <s v="K03"/>
    <s v="Zangganu"/>
  </r>
  <r>
    <s v="D01-S02-P06-K01"/>
    <s v="D01"/>
    <x v="0"/>
    <s v="S02"/>
    <s v="D01-S02"/>
    <x v="1"/>
    <s v="P06"/>
    <s v="D01-S02-P06"/>
    <x v="13"/>
    <s v="K01"/>
    <s v="Zagehemec"/>
  </r>
  <r>
    <s v="D01-S02-P06-K02"/>
    <s v="D01"/>
    <x v="0"/>
    <s v="S02"/>
    <s v="D01-S02"/>
    <x v="1"/>
    <s v="P06"/>
    <s v="D01-S02-P06"/>
    <x v="13"/>
    <s v="K02"/>
    <s v="Zongefifi"/>
  </r>
  <r>
    <s v="D01-S02-P06-K03"/>
    <s v="D01"/>
    <x v="0"/>
    <s v="S02"/>
    <s v="D01-S02"/>
    <x v="1"/>
    <s v="P06"/>
    <s v="D01-S02-P06"/>
    <x v="13"/>
    <s v="K03"/>
    <s v="Zorogo"/>
  </r>
  <r>
    <s v="D01-S02-P07-K01"/>
    <s v="D01"/>
    <x v="0"/>
    <s v="S02"/>
    <s v="D01-S02"/>
    <x v="1"/>
    <s v="P07"/>
    <s v="D01-S02-P07"/>
    <x v="14"/>
    <s v="K01"/>
    <s v="Hudewa"/>
  </r>
  <r>
    <s v="D01-S02-P07-K02"/>
    <s v="D01"/>
    <x v="0"/>
    <s v="S02"/>
    <s v="D01-S02"/>
    <x v="1"/>
    <s v="P07"/>
    <s v="D01-S02-P07"/>
    <x v="14"/>
    <s v="K02"/>
    <s v="Waringai"/>
  </r>
  <r>
    <s v="D01-S02-P07-K03"/>
    <s v="D01"/>
    <x v="0"/>
    <s v="S02"/>
    <s v="D01-S02"/>
    <x v="1"/>
    <s v="P07"/>
    <s v="D01-S02-P07"/>
    <x v="14"/>
    <s v="K03"/>
    <s v="Ago"/>
  </r>
  <r>
    <s v="D01-S03-P01-K01"/>
    <s v="D01"/>
    <x v="0"/>
    <s v="S03"/>
    <s v="D01-S03"/>
    <x v="2"/>
    <s v="P01"/>
    <s v="D01-S03-P01"/>
    <x v="15"/>
    <s v="K01"/>
    <s v="Embewoneng"/>
  </r>
  <r>
    <s v="D01-S03-P01-K02"/>
    <s v="D01"/>
    <x v="0"/>
    <s v="S03"/>
    <s v="D01-S03"/>
    <x v="2"/>
    <s v="P01"/>
    <s v="D01-S03-P01"/>
    <x v="15"/>
    <s v="K02"/>
    <s v="Sofifi"/>
  </r>
  <r>
    <s v="D01-S03-P02-K01"/>
    <s v="D01"/>
    <x v="0"/>
    <s v="S03"/>
    <s v="D01-S03"/>
    <x v="2"/>
    <s v="P02"/>
    <s v="D01-S03-P02"/>
    <x v="16"/>
    <s v="K01"/>
    <s v="Mawoneng"/>
  </r>
  <r>
    <s v="D01-S03-P02-K02"/>
    <s v="D01"/>
    <x v="0"/>
    <s v="S03"/>
    <s v="D01-S03"/>
    <x v="2"/>
    <s v="P02"/>
    <s v="D01-S03-P02"/>
    <x v="16"/>
    <s v="K02"/>
    <s v="Maguecko"/>
  </r>
  <r>
    <s v="D01-S03-P02-K03"/>
    <s v="D01"/>
    <x v="0"/>
    <s v="S03"/>
    <s v="D01-S03"/>
    <x v="2"/>
    <s v="P02"/>
    <s v="D01-S03-P02"/>
    <x v="16"/>
    <s v="K03"/>
    <s v="Zuqong?"/>
  </r>
  <r>
    <s v="D01-S03-P03-K01"/>
    <s v="D01"/>
    <x v="0"/>
    <s v="S03"/>
    <s v="D01-S03"/>
    <x v="2"/>
    <s v="P03"/>
    <s v="D01-S03-P03"/>
    <x v="17"/>
    <s v="K01"/>
    <s v="Zuqong?"/>
  </r>
  <r>
    <s v="D01-S03-P03-K02"/>
    <s v="D01"/>
    <x v="0"/>
    <s v="S03"/>
    <s v="D01-S03"/>
    <x v="2"/>
    <s v="P03"/>
    <s v="D01-S03-P03"/>
    <x v="17"/>
    <s v="K02"/>
    <s v="Beding"/>
  </r>
  <r>
    <s v="D01-S03-P04-K01"/>
    <s v="D01"/>
    <x v="0"/>
    <s v="S03"/>
    <s v="D01-S03"/>
    <x v="2"/>
    <s v="P04"/>
    <s v="D01-S03-P04"/>
    <x v="18"/>
    <s v="K01"/>
    <s v="Fondengko"/>
  </r>
  <r>
    <s v="D01-S03-P04-K02"/>
    <s v="D01"/>
    <x v="0"/>
    <s v="S03"/>
    <s v="D01-S03"/>
    <x v="2"/>
    <s v="P04"/>
    <s v="D01-S03-P04"/>
    <x v="18"/>
    <s v="K02"/>
    <s v="Samantiki"/>
  </r>
  <r>
    <s v="D01-S03-P04-K03"/>
    <s v="D01"/>
    <x v="0"/>
    <s v="S03"/>
    <s v="D01-S03"/>
    <x v="2"/>
    <s v="P04"/>
    <s v="D01-S03-P04"/>
    <x v="18"/>
    <s v="K03"/>
    <s v="Maiwoneng"/>
  </r>
  <r>
    <s v="D01-S03-P05-K01"/>
    <s v="D01"/>
    <x v="0"/>
    <s v="S03"/>
    <s v="D01-S03"/>
    <x v="2"/>
    <s v="P05"/>
    <s v="D01-S03-P05"/>
    <x v="19"/>
    <s v="K01"/>
    <s v="Junziang"/>
  </r>
  <r>
    <s v="D01-S03-P05-K02"/>
    <s v="D01"/>
    <x v="0"/>
    <s v="S03"/>
    <s v="D01-S03"/>
    <x v="2"/>
    <s v="P05"/>
    <s v="D01-S03-P05"/>
    <x v="19"/>
    <s v="K02"/>
    <s v="Anung"/>
  </r>
  <r>
    <s v="D01-S03-P06-K01"/>
    <s v="D01"/>
    <x v="0"/>
    <s v="S03"/>
    <s v="D01-S03"/>
    <x v="2"/>
    <s v="P06"/>
    <s v="D01-S03-P06"/>
    <x v="20"/>
    <s v="K01"/>
    <s v="Nonduo"/>
  </r>
  <r>
    <s v="D01-S03-P06-K02"/>
    <s v="D01"/>
    <x v="0"/>
    <s v="S03"/>
    <s v="D01-S03"/>
    <x v="2"/>
    <s v="P06"/>
    <s v="D01-S03-P06"/>
    <x v="20"/>
    <s v="K02"/>
    <s v="Zozoningko"/>
  </r>
  <r>
    <s v="D01-S03-P06-K03"/>
    <s v="D01"/>
    <x v="0"/>
    <s v="S03"/>
    <s v="D01-S03"/>
    <x v="2"/>
    <s v="P06"/>
    <s v="D01-S03-P06"/>
    <x v="20"/>
    <s v="K03"/>
    <s v="Siririo"/>
  </r>
  <r>
    <s v="D01-S03-P06-K04"/>
    <s v="D01"/>
    <x v="0"/>
    <s v="S03"/>
    <s v="D01-S03"/>
    <x v="2"/>
    <s v="P06"/>
    <s v="D01-S03-P06"/>
    <x v="20"/>
    <s v="K04"/>
    <s v="Boringbongeng"/>
  </r>
  <r>
    <s v="D01-S03-P07-K01"/>
    <s v="D01"/>
    <x v="0"/>
    <s v="S03"/>
    <s v="D01-S03"/>
    <x v="2"/>
    <s v="P07"/>
    <s v="D01-S03-P07"/>
    <x v="21"/>
    <s v="K01"/>
    <s v="Masangko"/>
  </r>
  <r>
    <s v="D01-S03-P07-K02"/>
    <s v="D01"/>
    <x v="0"/>
    <s v="S03"/>
    <s v="D01-S03"/>
    <x v="2"/>
    <s v="P07"/>
    <s v="D01-S03-P07"/>
    <x v="21"/>
    <s v="K02"/>
    <s v="Fio"/>
  </r>
  <r>
    <s v="D01-S03-P07-K03"/>
    <s v="D01"/>
    <x v="0"/>
    <s v="S03"/>
    <s v="D01-S03"/>
    <x v="2"/>
    <s v="P07"/>
    <s v="D01-S03-P07"/>
    <x v="21"/>
    <s v="K03"/>
    <s v="Qorangko"/>
  </r>
  <r>
    <s v="D01-S03-P07-K04"/>
    <s v="D01"/>
    <x v="0"/>
    <s v="S03"/>
    <s v="D01-S03"/>
    <x v="2"/>
    <s v="P07"/>
    <s v="D01-S03-P07"/>
    <x v="21"/>
    <s v="K04"/>
    <s v="Qeraharuc"/>
  </r>
  <r>
    <s v="D01-S03-P07-K05"/>
    <s v="D01"/>
    <x v="0"/>
    <s v="S03"/>
    <s v="D01-S03"/>
    <x v="2"/>
    <s v="P07"/>
    <s v="D01-S03-P07"/>
    <x v="21"/>
    <s v="K05"/>
    <s v="Moruruo"/>
  </r>
  <r>
    <s v="D01-S03-P07-K06"/>
    <s v="D01"/>
    <x v="0"/>
    <s v="S03"/>
    <s v="D01-S03"/>
    <x v="2"/>
    <s v="P07"/>
    <s v="D01-S03-P07"/>
    <x v="21"/>
    <s v="K06"/>
    <s v="Dopao"/>
  </r>
  <r>
    <s v="D01-S03-P07-K07"/>
    <s v="D01"/>
    <x v="0"/>
    <s v="S03"/>
    <s v="D01-S03"/>
    <x v="2"/>
    <s v="P07"/>
    <s v="D01-S03-P07"/>
    <x v="21"/>
    <s v="K07"/>
    <s v="Kumowo"/>
  </r>
  <r>
    <s v="D01-S03-P07-K08"/>
    <s v="D01"/>
    <x v="0"/>
    <s v="S03"/>
    <s v="D01-S03"/>
    <x v="2"/>
    <s v="P07"/>
    <s v="D01-S03-P07"/>
    <x v="21"/>
    <s v="K08"/>
    <s v="Sisi"/>
  </r>
  <r>
    <s v="D01-S03-P07-K09"/>
    <s v="D01"/>
    <x v="0"/>
    <s v="S03"/>
    <s v="D01-S03"/>
    <x v="2"/>
    <s v="P07"/>
    <s v="D01-S03-P07"/>
    <x v="21"/>
    <s v="K09"/>
    <s v="Ziwewoneng"/>
  </r>
  <r>
    <s v="D01-S03-P07-K10"/>
    <s v="D01"/>
    <x v="0"/>
    <s v="S03"/>
    <s v="D01-S03"/>
    <x v="2"/>
    <s v="P07"/>
    <s v="D01-S03-P07"/>
    <x v="21"/>
    <s v="K10"/>
    <s v="Wengune"/>
  </r>
  <r>
    <s v="D01-S03-P08-K01"/>
    <s v="D01"/>
    <x v="0"/>
    <s v="S03"/>
    <s v="D01-S03"/>
    <x v="2"/>
    <s v="P08"/>
    <s v="D01-S03-P08"/>
    <x v="22"/>
    <s v="K01"/>
    <s v="Kiwsawa"/>
  </r>
  <r>
    <s v="D01-S03-P08-K02"/>
    <s v="D01"/>
    <x v="0"/>
    <s v="S03"/>
    <s v="D01-S03"/>
    <x v="2"/>
    <s v="P08"/>
    <s v="D01-S03-P08"/>
    <x v="22"/>
    <s v="K02"/>
    <s v="Qoja"/>
  </r>
  <r>
    <s v="D01-S03-P08-K03"/>
    <s v="D01"/>
    <x v="0"/>
    <s v="S03"/>
    <s v="D01-S03"/>
    <x v="2"/>
    <s v="P08"/>
    <s v="D01-S03-P08"/>
    <x v="22"/>
    <s v="K03"/>
    <s v="Torecko"/>
  </r>
  <r>
    <s v="D01-S03-P08-K04"/>
    <s v="D01"/>
    <x v="0"/>
    <s v="S03"/>
    <s v="D01-S03"/>
    <x v="2"/>
    <s v="P08"/>
    <s v="D01-S03-P08"/>
    <x v="22"/>
    <s v="K04"/>
    <s v="Gougou"/>
  </r>
  <r>
    <s v="D01-S03-P08-K05"/>
    <s v="D01"/>
    <x v="0"/>
    <s v="S03"/>
    <s v="D01-S03"/>
    <x v="2"/>
    <s v="P08"/>
    <s v="D01-S03-P08"/>
    <x v="22"/>
    <s v="K05"/>
    <s v="Recko"/>
  </r>
  <r>
    <s v="D01-S03-P08-K06"/>
    <s v="D01"/>
    <x v="0"/>
    <s v="S03"/>
    <s v="D01-S03"/>
    <x v="2"/>
    <s v="P08"/>
    <s v="D01-S03-P08"/>
    <x v="22"/>
    <s v="K06"/>
    <s v="Kurue?"/>
  </r>
  <r>
    <s v="D01-S03-P08-K07"/>
    <s v="D01"/>
    <x v="0"/>
    <s v="S03"/>
    <s v="D01-S03"/>
    <x v="2"/>
    <s v="P08"/>
    <s v="D01-S03-P08"/>
    <x v="22"/>
    <s v="K07"/>
    <s v="Heldsbach"/>
  </r>
  <r>
    <s v="D01-S03-P09-K01"/>
    <s v="D01"/>
    <x v="0"/>
    <s v="S03"/>
    <s v="D01-S03"/>
    <x v="2"/>
    <s v="P09"/>
    <s v="D01-S03-P09"/>
    <x v="23"/>
    <s v="K01"/>
    <s v="Bonga"/>
  </r>
  <r>
    <s v="D01-S03-P09-K02"/>
    <s v="D01"/>
    <x v="0"/>
    <s v="S03"/>
    <s v="D01-S03"/>
    <x v="2"/>
    <s v="P09"/>
    <s v="D01-S03-P09"/>
    <x v="23"/>
    <s v="K02"/>
    <s v="Keregia"/>
  </r>
  <r>
    <s v="D01-S03-P09-K03"/>
    <s v="D01"/>
    <x v="0"/>
    <s v="S03"/>
    <s v="D01-S03"/>
    <x v="2"/>
    <s v="P09"/>
    <s v="D01-S03-P09"/>
    <x v="23"/>
    <s v="K03"/>
    <s v="Kurue?"/>
  </r>
  <r>
    <s v="D01-S03-P09-K04"/>
    <s v="D01"/>
    <x v="0"/>
    <s v="S03"/>
    <s v="D01-S03"/>
    <x v="2"/>
    <s v="P09"/>
    <s v="D01-S03-P09"/>
    <x v="23"/>
    <s v="K04"/>
    <s v="Rakona"/>
  </r>
  <r>
    <s v="D01-S03-P09-K05"/>
    <s v="D01"/>
    <x v="0"/>
    <s v="S03"/>
    <s v="D01-S03"/>
    <x v="2"/>
    <s v="P09"/>
    <s v="D01-S03-P09"/>
    <x v="23"/>
    <s v="K05"/>
    <s v="Aimora"/>
  </r>
  <r>
    <s v="D01-S03-P10-K01"/>
    <s v="D01"/>
    <x v="0"/>
    <s v="S03"/>
    <s v="D01-S03"/>
    <x v="2"/>
    <s v="P10"/>
    <s v="D01-S03-P10"/>
    <x v="24"/>
    <s v="K01"/>
    <s v="Wandokai"/>
  </r>
  <r>
    <s v="D01-S03-P10-K02"/>
    <s v="D01"/>
    <x v="0"/>
    <s v="S03"/>
    <s v="D01-S03"/>
    <x v="2"/>
    <s v="P10"/>
    <s v="D01-S03-P10"/>
    <x v="24"/>
    <s v="K02"/>
    <s v="Tangka"/>
  </r>
  <r>
    <s v="D01-S03-P10-K03"/>
    <s v="D01"/>
    <x v="0"/>
    <s v="S03"/>
    <s v="D01-S03"/>
    <x v="2"/>
    <s v="P10"/>
    <s v="D01-S03-P10"/>
    <x v="24"/>
    <s v="K03"/>
    <s v="Daumbore"/>
  </r>
  <r>
    <s v="D01-S03-P10-K04"/>
    <s v="D01"/>
    <x v="0"/>
    <s v="S03"/>
    <s v="D01-S03"/>
    <x v="2"/>
    <s v="P10"/>
    <s v="D01-S03-P10"/>
    <x v="24"/>
    <s v="K04"/>
    <s v="Kapawa"/>
  </r>
  <r>
    <s v="D01-S03-P10-K05"/>
    <s v="D01"/>
    <x v="0"/>
    <s v="S03"/>
    <s v="D01-S03"/>
    <x v="2"/>
    <s v="P10"/>
    <s v="D01-S03-P10"/>
    <x v="24"/>
    <s v="K05"/>
    <s v="Butengka"/>
  </r>
  <r>
    <s v="D01-S03-P10-K06"/>
    <s v="D01"/>
    <x v="0"/>
    <s v="S03"/>
    <s v="D01-S03"/>
    <x v="2"/>
    <s v="P10"/>
    <s v="D01-S03-P10"/>
    <x v="24"/>
    <s v="K06"/>
    <s v="Ubecgong"/>
  </r>
  <r>
    <s v="D01-S03-P11-K01"/>
    <s v="D01"/>
    <x v="0"/>
    <s v="S03"/>
    <s v="D01-S03"/>
    <x v="2"/>
    <s v="P11"/>
    <s v="D01-S03-P11"/>
    <x v="25"/>
    <s v="K01"/>
    <s v="Wareo"/>
  </r>
  <r>
    <s v="D01-S03-P11-K02"/>
    <s v="D01"/>
    <x v="0"/>
    <s v="S03"/>
    <s v="D01-S03"/>
    <x v="2"/>
    <s v="P11"/>
    <s v="D01-S03-P11"/>
    <x v="25"/>
    <s v="K02"/>
    <s v="Kaungko"/>
  </r>
  <r>
    <s v="D01-S03-P11-K03"/>
    <s v="D01"/>
    <x v="0"/>
    <s v="S03"/>
    <s v="D01-S03"/>
    <x v="2"/>
    <s v="P11"/>
    <s v="D01-S03-P11"/>
    <x v="25"/>
    <s v="K03"/>
    <s v="Serongko"/>
  </r>
  <r>
    <s v="D01-S03-P11-K04"/>
    <s v="D01"/>
    <x v="0"/>
    <s v="S03"/>
    <s v="D01-S03"/>
    <x v="2"/>
    <s v="P11"/>
    <s v="D01-S03-P11"/>
    <x v="25"/>
    <s v="K04"/>
    <s v="Bâzuro"/>
  </r>
  <r>
    <s v="D01-S03-P11-K05"/>
    <s v="D01"/>
    <x v="0"/>
    <s v="S03"/>
    <s v="D01-S03"/>
    <x v="2"/>
    <s v="P11"/>
    <s v="D01-S03-P11"/>
    <x v="25"/>
    <s v="K05"/>
    <s v="Birangko"/>
  </r>
  <r>
    <s v="D01-S03-P11-K06"/>
    <s v="D01"/>
    <x v="0"/>
    <s v="S03"/>
    <s v="D01-S03"/>
    <x v="2"/>
    <s v="P11"/>
    <s v="D01-S03-P11"/>
    <x v="25"/>
    <s v="K06"/>
    <s v="Uruo"/>
  </r>
  <r>
    <s v="D01-S03-P12-K01"/>
    <s v="D01"/>
    <x v="0"/>
    <s v="S03"/>
    <s v="D01-S03"/>
    <x v="2"/>
    <s v="P12"/>
    <s v="D01-S03-P12"/>
    <x v="26"/>
    <s v="K01"/>
    <s v="Samunzang"/>
  </r>
  <r>
    <s v="D01-S03-P12-K02"/>
    <s v="D01"/>
    <x v="0"/>
    <s v="S03"/>
    <s v="D01-S03"/>
    <x v="2"/>
    <s v="P12"/>
    <s v="D01-S03-P12"/>
    <x v="26"/>
    <s v="K02"/>
    <s v="Merikio"/>
  </r>
  <r>
    <s v="D01-S03-P12-K03"/>
    <s v="D01"/>
    <x v="0"/>
    <s v="S03"/>
    <s v="D01-S03"/>
    <x v="2"/>
    <s v="P12"/>
    <s v="D01-S03-P12"/>
    <x v="26"/>
    <s v="K03"/>
    <s v="Zafirio"/>
  </r>
  <r>
    <s v="D01-S03-P12-K04"/>
    <s v="D01"/>
    <x v="0"/>
    <s v="S03"/>
    <s v="D01-S03"/>
    <x v="2"/>
    <s v="P12"/>
    <s v="D01-S03-P12"/>
    <x v="26"/>
    <s v="K04"/>
    <s v="Hompua"/>
  </r>
  <r>
    <s v="D01-S04-P01-K01"/>
    <s v="D01"/>
    <x v="0"/>
    <s v="S04"/>
    <s v="D01-S04"/>
    <x v="3"/>
    <s v="P01"/>
    <s v="D01-S04-P01"/>
    <x v="27"/>
    <s v="K01"/>
    <s v="Gurungko"/>
  </r>
  <r>
    <s v="D01-S04-P01-K02"/>
    <s v="D01"/>
    <x v="0"/>
    <s v="S04"/>
    <s v="D01-S04"/>
    <x v="3"/>
    <s v="P01"/>
    <s v="D01-S04-P01"/>
    <x v="27"/>
    <s v="K02"/>
    <s v="Moreng"/>
  </r>
  <r>
    <s v="D01-S04-P01-K03"/>
    <s v="D01"/>
    <x v="0"/>
    <s v="S04"/>
    <s v="D01-S04"/>
    <x v="3"/>
    <s v="P01"/>
    <s v="D01-S04-P01"/>
    <x v="27"/>
    <s v="K03"/>
    <s v="Ranizera"/>
  </r>
  <r>
    <s v="D01-S04-P01-K04"/>
    <s v="D01"/>
    <x v="0"/>
    <s v="S04"/>
    <s v="D01-S04"/>
    <x v="3"/>
    <s v="P01"/>
    <s v="D01-S04-P01"/>
    <x v="27"/>
    <s v="K04"/>
    <s v="Buang"/>
  </r>
  <r>
    <s v="D01-S04-P01-K05"/>
    <s v="D01"/>
    <x v="0"/>
    <s v="S04"/>
    <s v="D01-S04"/>
    <x v="3"/>
    <s v="P01"/>
    <s v="D01-S04-P01"/>
    <x v="27"/>
    <s v="K05"/>
    <s v="Siucko"/>
  </r>
  <r>
    <s v="D01-S04-P01-K06"/>
    <s v="D01"/>
    <x v="0"/>
    <s v="S04"/>
    <s v="D01-S04"/>
    <x v="3"/>
    <s v="P01"/>
    <s v="D01-S04-P01"/>
    <x v="27"/>
    <s v="K06"/>
    <s v="Pongacko"/>
  </r>
  <r>
    <s v="D01-S04-P02-K01"/>
    <s v="D01"/>
    <x v="0"/>
    <s v="S04"/>
    <s v="D01-S04"/>
    <x v="3"/>
    <s v="P02"/>
    <s v="D01-S04-P02"/>
    <x v="28"/>
    <s v="K01"/>
    <s v="Suqang"/>
  </r>
  <r>
    <s v="D01-S04-P02-K02"/>
    <s v="D01"/>
    <x v="0"/>
    <s v="S04"/>
    <s v="D01-S04"/>
    <x v="3"/>
    <s v="P02"/>
    <s v="D01-S04-P02"/>
    <x v="28"/>
    <s v="K02"/>
    <s v="Hapohondong"/>
  </r>
  <r>
    <s v="D01-S04-P02-K03"/>
    <s v="D01"/>
    <x v="0"/>
    <s v="S04"/>
    <s v="D01-S04"/>
    <x v="3"/>
    <s v="P02"/>
    <s v="D01-S04-P02"/>
    <x v="28"/>
    <s v="K03"/>
    <s v="Magazaing"/>
  </r>
  <r>
    <s v="D01-S04-P02-K04"/>
    <s v="D01"/>
    <x v="0"/>
    <s v="S04"/>
    <s v="D01-S04"/>
    <x v="3"/>
    <s v="P02"/>
    <s v="D01-S04-P02"/>
    <x v="28"/>
    <s v="K04"/>
    <s v="Keta"/>
  </r>
  <r>
    <s v="D01-S04-P02-K05"/>
    <s v="D01"/>
    <x v="0"/>
    <s v="S04"/>
    <s v="D01-S04"/>
    <x v="3"/>
    <s v="P02"/>
    <s v="D01-S04-P02"/>
    <x v="28"/>
    <s v="K05"/>
    <s v="Kanengokoc"/>
  </r>
  <r>
    <s v="D01-S04-P03-K01"/>
    <s v="D01"/>
    <x v="0"/>
    <s v="S04"/>
    <s v="D01-S04"/>
    <x v="3"/>
    <s v="P03"/>
    <s v="D01-S04-P03"/>
    <x v="29"/>
    <s v="K01"/>
    <s v="Mangac"/>
  </r>
  <r>
    <s v="D01-S04-P03-K02"/>
    <s v="D01"/>
    <x v="0"/>
    <s v="S04"/>
    <s v="D01-S04"/>
    <x v="3"/>
    <s v="P03"/>
    <s v="D01-S04-P03"/>
    <x v="29"/>
    <s v="K02"/>
    <s v="Zingko"/>
  </r>
  <r>
    <s v="D01-S04-P03-K03"/>
    <s v="D01"/>
    <x v="0"/>
    <s v="S04"/>
    <s v="D01-S04"/>
    <x v="3"/>
    <s v="P03"/>
    <s v="D01-S04-P03"/>
    <x v="29"/>
    <s v="K03"/>
    <s v="Jombong"/>
  </r>
  <r>
    <s v="D01-S04-P03-K04"/>
    <s v="D01"/>
    <x v="0"/>
    <s v="S04"/>
    <s v="D01-S04"/>
    <x v="3"/>
    <s v="P03"/>
    <s v="D01-S04-P03"/>
    <x v="29"/>
    <s v="K04"/>
    <s v="Kiseng"/>
  </r>
  <r>
    <s v="D01-S04-P03-K05"/>
    <s v="D01"/>
    <x v="0"/>
    <s v="S04"/>
    <s v="D01-S04"/>
    <x v="3"/>
    <s v="P03"/>
    <s v="D01-S04-P03"/>
    <x v="29"/>
    <s v="K05"/>
    <s v="Belemu"/>
  </r>
  <r>
    <s v="D01-S04-P03-K06"/>
    <s v="D01"/>
    <x v="0"/>
    <s v="S04"/>
    <s v="D01-S04"/>
    <x v="3"/>
    <s v="P03"/>
    <s v="D01-S04-P03"/>
    <x v="29"/>
    <s v="K06"/>
    <s v="Mugisung"/>
  </r>
  <r>
    <s v="D01-S04-P03-K07"/>
    <s v="D01"/>
    <x v="0"/>
    <s v="S04"/>
    <s v="D01-S04"/>
    <x v="3"/>
    <s v="P03"/>
    <s v="D01-S04-P03"/>
    <x v="29"/>
    <s v="K07"/>
    <s v="Sialang"/>
  </r>
  <r>
    <s v="D01-S05-P01-K01"/>
    <s v="D01"/>
    <x v="0"/>
    <s v="S05"/>
    <s v="D01-S05"/>
    <x v="4"/>
    <s v="P01"/>
    <s v="D01-S05-P01"/>
    <x v="30"/>
    <s v="K01"/>
    <s v="Gamaheng"/>
  </r>
  <r>
    <s v="D01-S05-P01-K02"/>
    <s v="D01"/>
    <x v="0"/>
    <s v="S05"/>
    <s v="D01-S05"/>
    <x v="4"/>
    <s v="P01"/>
    <s v="D01-S05-P01"/>
    <x v="30"/>
    <s v="K02"/>
    <s v="Tireng"/>
  </r>
  <r>
    <s v="D01-S05-P01-K03"/>
    <s v="D01"/>
    <x v="0"/>
    <s v="S05"/>
    <s v="D01-S05"/>
    <x v="4"/>
    <s v="P01"/>
    <s v="D01-S05-P01"/>
    <x v="30"/>
    <s v="K03"/>
    <s v="Makiwoneng"/>
  </r>
  <r>
    <s v="D01-S05-P01-K04"/>
    <s v="D01"/>
    <x v="0"/>
    <s v="S05"/>
    <s v="D01-S05"/>
    <x v="4"/>
    <s v="P01"/>
    <s v="D01-S05-P01"/>
    <x v="30"/>
    <s v="K04"/>
    <s v="Gurungko"/>
  </r>
  <r>
    <s v="D01-S05-P01-K05"/>
    <s v="D01"/>
    <x v="0"/>
    <s v="S05"/>
    <s v="D01-S05"/>
    <x v="4"/>
    <s v="P01"/>
    <s v="D01-S05-P01"/>
    <x v="30"/>
    <s v="K05"/>
    <s v="Wagizareng"/>
  </r>
  <r>
    <s v="D01-S05-P01-K06"/>
    <s v="D01"/>
    <x v="0"/>
    <s v="S05"/>
    <s v="D01-S05"/>
    <x v="4"/>
    <s v="P01"/>
    <s v="D01-S05-P01"/>
    <x v="30"/>
    <s v="K06"/>
    <s v="Kesu"/>
  </r>
  <r>
    <s v="D01-S05-P01-K07"/>
    <s v="D01"/>
    <x v="0"/>
    <s v="S05"/>
    <s v="D01-S05"/>
    <x v="4"/>
    <s v="P01"/>
    <s v="D01-S05-P01"/>
    <x v="30"/>
    <s v="K07"/>
    <s v="Qantumu"/>
  </r>
  <r>
    <s v="D01-S05-P01-K08"/>
    <s v="D01"/>
    <x v="0"/>
    <s v="S05"/>
    <s v="D01-S05"/>
    <x v="4"/>
    <s v="P01"/>
    <s v="D01-S05-P01"/>
    <x v="30"/>
    <s v="K08"/>
    <s v="Qafiu"/>
  </r>
  <r>
    <s v="D01-S05-P01-K09"/>
    <s v="D01"/>
    <x v="0"/>
    <s v="S05"/>
    <s v="D01-S05"/>
    <x v="4"/>
    <s v="P01"/>
    <s v="D01-S05-P01"/>
    <x v="30"/>
    <s v="K09"/>
    <s v="Kuluntufu"/>
  </r>
  <r>
    <s v="D01-S05-P02-K01"/>
    <s v="D01"/>
    <x v="0"/>
    <s v="S05"/>
    <s v="D01-S05"/>
    <x v="4"/>
    <s v="P02"/>
    <s v="D01-S05-P02"/>
    <x v="31"/>
    <s v="K01"/>
    <s v="Afong"/>
  </r>
  <r>
    <s v="D01-S05-P02-K02"/>
    <s v="D01"/>
    <x v="0"/>
    <s v="S05"/>
    <s v="D01-S05"/>
    <x v="4"/>
    <s v="P02"/>
    <s v="D01-S05-P02"/>
    <x v="31"/>
    <s v="K02"/>
    <s v="Silemana"/>
  </r>
  <r>
    <s v="D01-S05-P02-K03"/>
    <s v="D01"/>
    <x v="0"/>
    <s v="S05"/>
    <s v="D01-S05"/>
    <x v="4"/>
    <s v="P02"/>
    <s v="D01-S05-P02"/>
    <x v="31"/>
    <s v="K03"/>
    <s v="Yauwo"/>
  </r>
  <r>
    <s v="D01-S05-P02-K04"/>
    <s v="D01"/>
    <x v="0"/>
    <s v="S05"/>
    <s v="D01-S05"/>
    <x v="4"/>
    <s v="P02"/>
    <s v="D01-S05-P02"/>
    <x v="31"/>
    <s v="K04"/>
    <s v="Qiqicko"/>
  </r>
  <r>
    <s v="D01-S05-P02-K05"/>
    <s v="D01"/>
    <x v="0"/>
    <s v="S05"/>
    <s v="D01-S05"/>
    <x v="4"/>
    <s v="P02"/>
    <s v="D01-S05-P02"/>
    <x v="31"/>
    <s v="K05"/>
    <s v="Gaeng"/>
  </r>
  <r>
    <s v="D01-S05-P02-K06"/>
    <s v="D01"/>
    <x v="0"/>
    <s v="S05"/>
    <s v="D01-S05"/>
    <x v="4"/>
    <s v="P02"/>
    <s v="D01-S05-P02"/>
    <x v="31"/>
    <s v="K06"/>
    <s v="Kobao"/>
  </r>
  <r>
    <s v="D01-S05-P02-K07"/>
    <s v="D01"/>
    <x v="0"/>
    <s v="S05"/>
    <s v="D01-S05"/>
    <x v="4"/>
    <s v="P02"/>
    <s v="D01-S05-P02"/>
    <x v="31"/>
    <s v="K07"/>
    <s v="Zeriweri"/>
  </r>
  <r>
    <s v="D01-S05-P03-K01"/>
    <s v="D01"/>
    <x v="0"/>
    <s v="S05"/>
    <s v="D01-S05"/>
    <x v="4"/>
    <s v="P03"/>
    <s v="D01-S05-P03"/>
    <x v="32"/>
    <s v="K01"/>
    <s v="Beraqayu"/>
  </r>
  <r>
    <s v="D01-S05-P03-K02"/>
    <s v="D01"/>
    <x v="0"/>
    <s v="S05"/>
    <s v="D01-S05"/>
    <x v="4"/>
    <s v="P03"/>
    <s v="D01-S05-P03"/>
    <x v="32"/>
    <s v="K02"/>
    <s v="Lumbo"/>
  </r>
  <r>
    <s v="D01-S05-P03-K03"/>
    <s v="D01"/>
    <x v="0"/>
    <s v="S05"/>
    <s v="D01-S05"/>
    <x v="4"/>
    <s v="P03"/>
    <s v="D01-S05-P03"/>
    <x v="32"/>
    <s v="K03"/>
    <s v="Zengeru"/>
  </r>
  <r>
    <s v="D01-S05-P03-K04"/>
    <s v="D01"/>
    <x v="0"/>
    <s v="S05"/>
    <s v="D01-S05"/>
    <x v="4"/>
    <s v="P03"/>
    <s v="D01-S05-P03"/>
    <x v="32"/>
    <s v="K04"/>
    <s v="Kwezengzeng"/>
  </r>
  <r>
    <s v="D01-S05-P03-K05"/>
    <s v="D01"/>
    <x v="0"/>
    <s v="S05"/>
    <s v="D01-S05"/>
    <x v="4"/>
    <s v="P03"/>
    <s v="D01-S05-P03"/>
    <x v="32"/>
    <s v="K05"/>
    <s v="Tongucbo"/>
  </r>
  <r>
    <s v="D01-S05-P03-K06"/>
    <s v="D01"/>
    <x v="0"/>
    <s v="S05"/>
    <s v="D01-S05"/>
    <x v="4"/>
    <s v="P03"/>
    <s v="D01-S05-P03"/>
    <x v="32"/>
    <s v="K06"/>
    <s v="Sososc"/>
  </r>
  <r>
    <s v="D01-S05-P03-K07"/>
    <s v="D01"/>
    <x v="0"/>
    <s v="S05"/>
    <s v="D01-S05"/>
    <x v="4"/>
    <s v="P03"/>
    <s v="D01-S05-P03"/>
    <x v="32"/>
    <s v="K07"/>
    <s v="Fareng"/>
  </r>
  <r>
    <s v="D01-S05-P04-K01"/>
    <s v="D01"/>
    <x v="0"/>
    <s v="S05"/>
    <s v="D01-S05"/>
    <x v="4"/>
    <s v="P04"/>
    <s v="D01-S05-P04"/>
    <x v="33"/>
    <s v="K01"/>
    <s v="Kukuya"/>
  </r>
  <r>
    <s v="D01-S05-P04-K02"/>
    <s v="D01"/>
    <x v="0"/>
    <s v="S05"/>
    <s v="D01-S05"/>
    <x v="4"/>
    <s v="P04"/>
    <s v="D01-S05-P04"/>
    <x v="33"/>
    <s v="K02"/>
    <s v="Zaningu"/>
  </r>
  <r>
    <s v="D01-S05-P04-K03"/>
    <s v="D01"/>
    <x v="0"/>
    <s v="S05"/>
    <s v="D01-S05"/>
    <x v="4"/>
    <s v="P04"/>
    <s v="D01-S05-P04"/>
    <x v="33"/>
    <s v="K03"/>
    <s v="Sanzeng"/>
  </r>
  <r>
    <s v="D01-S05-P04-K04"/>
    <s v="D01"/>
    <x v="0"/>
    <s v="S05"/>
    <s v="D01-S05"/>
    <x v="4"/>
    <s v="P04"/>
    <s v="D01-S05-P04"/>
    <x v="33"/>
    <s v="K04"/>
    <s v="Qesic"/>
  </r>
  <r>
    <s v="D01-S05-P04-K05"/>
    <s v="D01"/>
    <x v="0"/>
    <s v="S05"/>
    <s v="D01-S05"/>
    <x v="4"/>
    <s v="P04"/>
    <s v="D01-S05-P04"/>
    <x v="33"/>
    <s v="K05"/>
    <s v="Sanangac"/>
  </r>
  <r>
    <s v="D01-S05-P04-K06"/>
    <s v="D01"/>
    <x v="0"/>
    <s v="S05"/>
    <s v="D01-S05"/>
    <x v="4"/>
    <s v="P04"/>
    <s v="D01-S05-P04"/>
    <x v="33"/>
    <s v="K06"/>
    <s v="Masuang"/>
  </r>
  <r>
    <s v="D01-S05-P04-K07"/>
    <s v="D01"/>
    <x v="0"/>
    <s v="S05"/>
    <s v="D01-S05"/>
    <x v="4"/>
    <s v="P04"/>
    <s v="D01-S05-P04"/>
    <x v="33"/>
    <s v="K07"/>
    <s v="Haringkec"/>
  </r>
  <r>
    <s v="D01-S05-P05-K01"/>
    <s v="D01"/>
    <x v="0"/>
    <s v="S05"/>
    <s v="D01-S05"/>
    <x v="4"/>
    <s v="P05"/>
    <s v="D01-S05-P05"/>
    <x v="34"/>
    <s v="K01"/>
    <s v="Gema "/>
  </r>
  <r>
    <s v="D01-S05-P05-K02"/>
    <s v="D01"/>
    <x v="0"/>
    <s v="S05"/>
    <s v="D01-S05"/>
    <x v="4"/>
    <s v="P05"/>
    <s v="D01-S05-P05"/>
    <x v="34"/>
    <s v="K02"/>
    <s v="Qela"/>
  </r>
  <r>
    <s v="D01-S05-P05-K03"/>
    <s v="D01"/>
    <x v="0"/>
    <s v="S05"/>
    <s v="D01-S05"/>
    <x v="4"/>
    <s v="P05"/>
    <s v="D01-S05-P05"/>
    <x v="34"/>
    <s v="K03"/>
    <s v="Naijalo"/>
  </r>
  <r>
    <s v="D01-S05-P05-K04"/>
    <s v="D01"/>
    <x v="0"/>
    <s v="S05"/>
    <s v="D01-S05"/>
    <x v="4"/>
    <s v="P05"/>
    <s v="D01-S05-P05"/>
    <x v="34"/>
    <s v="K04"/>
    <s v="Esianda"/>
  </r>
  <r>
    <s v="D01-S05-P05-K05"/>
    <s v="D01"/>
    <x v="0"/>
    <s v="S05"/>
    <s v="D01-S05"/>
    <x v="4"/>
    <s v="P05"/>
    <s v="D01-S05-P05"/>
    <x v="34"/>
    <s v="K05"/>
    <s v="Bulu"/>
  </r>
  <r>
    <s v="D01-S05-P05-K06"/>
    <s v="D01"/>
    <x v="0"/>
    <s v="S05"/>
    <s v="D01-S05"/>
    <x v="4"/>
    <s v="P05"/>
    <s v="D01-S05-P05"/>
    <x v="34"/>
    <s v="K06"/>
    <s v="Besibong"/>
  </r>
  <r>
    <s v="D01-S05-P06-K01"/>
    <s v="D01"/>
    <x v="0"/>
    <s v="S05"/>
    <s v="D01-S05"/>
    <x v="4"/>
    <s v="P06"/>
    <s v="D01-S05-P06"/>
    <x v="35"/>
    <s v="K01"/>
    <s v="Ebabang"/>
  </r>
  <r>
    <s v="D01-S05-P06-K02"/>
    <s v="D01"/>
    <x v="0"/>
    <s v="S05"/>
    <s v="D01-S05"/>
    <x v="4"/>
    <s v="P06"/>
    <s v="D01-S05-P06"/>
    <x v="35"/>
    <s v="K02"/>
    <s v="Gaboc"/>
  </r>
  <r>
    <s v="D01-S05-P06-K03"/>
    <s v="D01"/>
    <x v="0"/>
    <s v="S05"/>
    <s v="D01-S05"/>
    <x v="4"/>
    <s v="P06"/>
    <s v="D01-S05-P06"/>
    <x v="35"/>
    <s v="K03"/>
    <s v="Songong "/>
  </r>
  <r>
    <s v="D01-S05-P06-K04"/>
    <s v="D01"/>
    <x v="0"/>
    <s v="S05"/>
    <s v="D01-S05"/>
    <x v="4"/>
    <s v="P06"/>
    <s v="D01-S05-P06"/>
    <x v="35"/>
    <s v="K04"/>
    <s v="Muleng"/>
  </r>
  <r>
    <s v="D01-S05-P06-K05"/>
    <s v="D01"/>
    <x v="0"/>
    <s v="S05"/>
    <s v="D01-S05"/>
    <x v="4"/>
    <s v="P06"/>
    <s v="D01-S05-P06"/>
    <x v="35"/>
    <s v="K05"/>
    <s v="Wamukic"/>
  </r>
  <r>
    <s v="D01-S05-P06-K06"/>
    <s v="D01"/>
    <x v="0"/>
    <s v="S05"/>
    <s v="D01-S05"/>
    <x v="4"/>
    <s v="P06"/>
    <s v="D01-S05-P06"/>
    <x v="35"/>
    <s v="K06"/>
    <s v="Burang"/>
  </r>
  <r>
    <s v="D01-S05-P06-K07"/>
    <s v="D01"/>
    <x v="0"/>
    <s v="S05"/>
    <s v="D01-S05"/>
    <x v="4"/>
    <s v="P06"/>
    <s v="D01-S05-P06"/>
    <x v="35"/>
    <s v="K07"/>
    <s v="Otokae"/>
  </r>
  <r>
    <s v="D01-S05-P06-K08"/>
    <s v="D01"/>
    <x v="0"/>
    <s v="S05"/>
    <s v="D01-S05"/>
    <x v="4"/>
    <s v="P06"/>
    <s v="D01-S05-P06"/>
    <x v="35"/>
    <s v="K08"/>
    <s v="Tawamboc"/>
  </r>
  <r>
    <s v="D01-S05-P06-K09"/>
    <s v="D01"/>
    <x v="0"/>
    <s v="S05"/>
    <s v="D01-S05"/>
    <x v="4"/>
    <s v="P06"/>
    <s v="D01-S05-P06"/>
    <x v="35"/>
    <s v="K09"/>
    <s v="Marimbu"/>
  </r>
  <r>
    <s v="D01-S05-P07-K01"/>
    <s v="D01"/>
    <x v="0"/>
    <s v="S05"/>
    <s v="D01-S05"/>
    <x v="4"/>
    <s v="P07"/>
    <s v="D01-S05-P07"/>
    <x v="36"/>
    <s v="K01"/>
    <s v="Hamorong"/>
  </r>
  <r>
    <s v="D01-S05-P07-K02"/>
    <s v="D01"/>
    <x v="0"/>
    <s v="S05"/>
    <s v="D01-S05"/>
    <x v="4"/>
    <s v="P07"/>
    <s v="D01-S05-P07"/>
    <x v="36"/>
    <s v="K02"/>
    <s v="Nowong"/>
  </r>
  <r>
    <s v="D01-S05-P07-K03"/>
    <s v="D01"/>
    <x v="0"/>
    <s v="S05"/>
    <s v="D01-S05"/>
    <x v="4"/>
    <s v="P07"/>
    <s v="D01-S05-P07"/>
    <x v="36"/>
    <s v="K03"/>
    <s v="Namatung"/>
  </r>
  <r>
    <s v="D01-S05-P07-K04"/>
    <s v="D01"/>
    <x v="0"/>
    <s v="S05"/>
    <s v="D01-S05"/>
    <x v="4"/>
    <s v="P07"/>
    <s v="D01-S05-P07"/>
    <x v="36"/>
    <s v="K04"/>
    <s v="Sengararang"/>
  </r>
  <r>
    <s v="D01-S05-P07-K05"/>
    <s v="D01"/>
    <x v="0"/>
    <s v="S05"/>
    <s v="D01-S05"/>
    <x v="4"/>
    <s v="P07"/>
    <s v="D01-S05-P07"/>
    <x v="36"/>
    <s v="K05"/>
    <s v="Andec"/>
  </r>
  <r>
    <s v="D01-S05-P08-K01"/>
    <s v="D01"/>
    <x v="0"/>
    <s v="S05"/>
    <s v="D01-S05"/>
    <x v="4"/>
    <s v="P08"/>
    <s v="D01-S05-P08"/>
    <x v="37"/>
    <s v="K01"/>
    <s v="Lalang"/>
  </r>
  <r>
    <s v="D01-S05-P08-K02"/>
    <s v="D01"/>
    <x v="0"/>
    <s v="S05"/>
    <s v="D01-S05"/>
    <x v="4"/>
    <s v="P08"/>
    <s v="D01-S05-P08"/>
    <x v="37"/>
    <s v="K02"/>
    <s v="Qozorong"/>
  </r>
  <r>
    <s v="D01-S05-P08-K03"/>
    <s v="D01"/>
    <x v="0"/>
    <s v="S05"/>
    <s v="D01-S05"/>
    <x v="4"/>
    <s v="P08"/>
    <s v="D01-S05-P08"/>
    <x v="37"/>
    <s v="K03"/>
    <s v="bokou"/>
  </r>
  <r>
    <s v="D01-S05-P08-K04"/>
    <s v="D01"/>
    <x v="0"/>
    <s v="S05"/>
    <s v="D01-S05"/>
    <x v="4"/>
    <s v="P08"/>
    <s v="D01-S05-P08"/>
    <x v="37"/>
    <s v="K04"/>
    <s v="Yapung"/>
  </r>
  <r>
    <s v="D01-S05-P08-K05"/>
    <s v="D01"/>
    <x v="0"/>
    <s v="S05"/>
    <s v="D01-S05"/>
    <x v="4"/>
    <s v="P08"/>
    <s v="D01-S05-P08"/>
    <x v="37"/>
    <s v="K05"/>
    <s v="Sangu"/>
  </r>
  <r>
    <s v="D01-S05-P09-K01"/>
    <s v="D01"/>
    <x v="0"/>
    <s v="S05"/>
    <s v="D01-S05"/>
    <x v="4"/>
    <s v="P09"/>
    <s v="D01-S05-P09"/>
    <x v="38"/>
    <s v="K01"/>
    <s v="Mindik"/>
  </r>
  <r>
    <s v="D01-S05-P09-K02"/>
    <s v="D01"/>
    <x v="0"/>
    <s v="S05"/>
    <s v="D01-S05"/>
    <x v="4"/>
    <s v="P09"/>
    <s v="D01-S05-P09"/>
    <x v="38"/>
    <s v="K02"/>
    <s v="Tiriring"/>
  </r>
  <r>
    <s v="D01-S05-P09-K03"/>
    <s v="D01"/>
    <x v="0"/>
    <s v="S05"/>
    <s v="D01-S05"/>
    <x v="4"/>
    <s v="P09"/>
    <s v="D01-S05-P09"/>
    <x v="38"/>
    <s v="K03"/>
    <s v="Tumneng"/>
  </r>
  <r>
    <s v="D01-S05-P09-K04"/>
    <s v="D01"/>
    <x v="0"/>
    <s v="S05"/>
    <s v="D01-S05"/>
    <x v="4"/>
    <s v="P09"/>
    <s v="D01-S05-P09"/>
    <x v="38"/>
    <s v="K04"/>
    <s v="Mamus"/>
  </r>
  <r>
    <s v="D01-S05-P09-K05"/>
    <s v="D01"/>
    <x v="0"/>
    <s v="S05"/>
    <s v="D01-S05"/>
    <x v="4"/>
    <s v="P09"/>
    <s v="D01-S05-P09"/>
    <x v="38"/>
    <s v="K05"/>
    <s v="Namorak"/>
  </r>
  <r>
    <s v="D01-S05-P10-K01"/>
    <s v="D01"/>
    <x v="0"/>
    <s v="S05"/>
    <s v="D01-S05"/>
    <x v="4"/>
    <s v="P10"/>
    <s v="D01-S05-P10"/>
    <x v="39"/>
    <s v="K01"/>
    <s v="Tobou"/>
  </r>
  <r>
    <s v="D01-S05-P10-K02"/>
    <s v="D01"/>
    <x v="0"/>
    <s v="S05"/>
    <s v="D01-S05"/>
    <x v="4"/>
    <s v="P10"/>
    <s v="D01-S05-P10"/>
    <x v="39"/>
    <s v="K02"/>
    <s v="Lembati"/>
  </r>
  <r>
    <s v="D01-S05-P10-K03"/>
    <s v="D01"/>
    <x v="0"/>
    <s v="S05"/>
    <s v="D01-S05"/>
    <x v="4"/>
    <s v="P10"/>
    <s v="D01-S05-P10"/>
    <x v="39"/>
    <s v="K03"/>
    <s v="Awengu"/>
  </r>
  <r>
    <s v="D01-S05-P10-K04"/>
    <s v="D01"/>
    <x v="0"/>
    <s v="S05"/>
    <s v="D01-S05"/>
    <x v="4"/>
    <s v="P10"/>
    <s v="D01-S05-P10"/>
    <x v="39"/>
    <s v="K04"/>
    <s v="Tepmarang"/>
  </r>
  <r>
    <s v="D01-S05-P10-K05"/>
    <s v="D01"/>
    <x v="0"/>
    <s v="S05"/>
    <s v="D01-S05"/>
    <x v="4"/>
    <s v="P10"/>
    <s v="D01-S05-P10"/>
    <x v="39"/>
    <s v="K05"/>
    <s v="Wagang"/>
  </r>
  <r>
    <s v="D01-S05-P10-K06"/>
    <s v="D01"/>
    <x v="0"/>
    <s v="S05"/>
    <s v="D01-S05"/>
    <x v="4"/>
    <s v="P10"/>
    <s v="D01-S05-P10"/>
    <x v="39"/>
    <s v="K06"/>
    <s v="Laula"/>
  </r>
  <r>
    <s v="D01-S05-P10-K07"/>
    <s v="D01"/>
    <x v="0"/>
    <s v="S05"/>
    <s v="D01-S05"/>
    <x v="4"/>
    <s v="P10"/>
    <s v="D01-S05-P10"/>
    <x v="39"/>
    <s v="K07"/>
    <s v="Yapang"/>
  </r>
  <r>
    <s v="D01-S05-P11-K01"/>
    <s v="D01"/>
    <x v="0"/>
    <s v="S05"/>
    <s v="D01-S05"/>
    <x v="4"/>
    <s v="P11"/>
    <s v="D01-S05-P11"/>
    <x v="40"/>
    <s v="K01"/>
    <s v="Sakneng"/>
  </r>
  <r>
    <s v="D01-S05-P11-K02"/>
    <s v="D01"/>
    <x v="0"/>
    <s v="S05"/>
    <s v="D01-S05"/>
    <x v="4"/>
    <s v="P11"/>
    <s v="D01-S05-P11"/>
    <x v="40"/>
    <s v="K02"/>
    <s v="Sambinong"/>
  </r>
  <r>
    <s v="D01-S05-P11-K03"/>
    <s v="D01"/>
    <x v="0"/>
    <s v="S05"/>
    <s v="D01-S05"/>
    <x v="4"/>
    <s v="P11"/>
    <s v="D01-S05-P11"/>
    <x v="40"/>
    <s v="K03"/>
    <s v="Bu"/>
  </r>
  <r>
    <s v="D01-S05-P11-K04"/>
    <s v="D01"/>
    <x v="0"/>
    <s v="S05"/>
    <s v="D01-S05"/>
    <x v="4"/>
    <s v="P11"/>
    <s v="D01-S05-P11"/>
    <x v="40"/>
    <s v="K04"/>
    <s v="Diwilo"/>
  </r>
  <r>
    <s v="D01-S05-P11-K05"/>
    <s v="D01"/>
    <x v="0"/>
    <s v="S05"/>
    <s v="D01-S05"/>
    <x v="4"/>
    <s v="P11"/>
    <s v="D01-S05-P11"/>
    <x v="40"/>
    <s v="K05"/>
    <s v="Wageng"/>
  </r>
  <r>
    <s v="D01-S06-P01-K01"/>
    <s v="D01"/>
    <x v="0"/>
    <s v="S06"/>
    <s v="D01-S06"/>
    <x v="5"/>
    <s v="P01"/>
    <s v="D01-S06-P01"/>
    <x v="41"/>
    <s v="K01"/>
    <s v="Numbut"/>
  </r>
  <r>
    <s v="D01-S06-P01-K02"/>
    <s v="D01"/>
    <x v="0"/>
    <s v="S06"/>
    <s v="D01-S06"/>
    <x v="5"/>
    <s v="P01"/>
    <s v="D01-S06-P01"/>
    <x v="41"/>
    <s v="K02"/>
    <s v="Suwak"/>
  </r>
  <r>
    <s v="D01-S06-P01-K03"/>
    <s v="D01"/>
    <x v="0"/>
    <s v="S06"/>
    <s v="D01-S06"/>
    <x v="5"/>
    <s v="P01"/>
    <s v="D01-S06-P01"/>
    <x v="41"/>
    <s v="K03"/>
    <s v="Zengari"/>
  </r>
  <r>
    <s v="D01-S06-P01-K04"/>
    <s v="D01"/>
    <x v="0"/>
    <s v="S06"/>
    <s v="D01-S06"/>
    <x v="5"/>
    <s v="P01"/>
    <s v="D01-S06-P01"/>
    <x v="41"/>
    <s v="K04"/>
    <s v="Kotken"/>
  </r>
  <r>
    <s v="D01-S06-P01-K05"/>
    <s v="D01"/>
    <x v="0"/>
    <s v="S06"/>
    <s v="D01-S06"/>
    <x v="5"/>
    <s v="P01"/>
    <s v="D01-S06-P01"/>
    <x v="41"/>
    <s v="K05"/>
    <s v="Sarang "/>
  </r>
  <r>
    <s v="D01-S06-P01-K06"/>
    <s v="D01"/>
    <x v="0"/>
    <s v="S06"/>
    <s v="D01-S06"/>
    <x v="5"/>
    <s v="P01"/>
    <s v="D01-S06-P01"/>
    <x v="41"/>
    <s v="K06"/>
    <s v="Budmbi"/>
  </r>
  <r>
    <s v="D01-S06-P02-K01"/>
    <s v="D01"/>
    <x v="0"/>
    <s v="S06"/>
    <s v="D01-S06"/>
    <x v="5"/>
    <s v="P02"/>
    <s v="D01-S06-P02"/>
    <x v="42"/>
    <s v="K01"/>
    <s v="Nomaneneng"/>
  </r>
  <r>
    <s v="D01-S06-P02-K02"/>
    <s v="D01"/>
    <x v="0"/>
    <s v="S06"/>
    <s v="D01-S06"/>
    <x v="5"/>
    <s v="P02"/>
    <s v="D01-S06-P02"/>
    <x v="42"/>
    <s v="K02"/>
    <s v="Zemburang"/>
  </r>
  <r>
    <s v="D01-S06-P02-K03"/>
    <s v="D01"/>
    <x v="0"/>
    <s v="S06"/>
    <s v="D01-S06"/>
    <x v="5"/>
    <s v="P02"/>
    <s v="D01-S06-P02"/>
    <x v="42"/>
    <s v="K03"/>
    <s v="Tarap"/>
  </r>
  <r>
    <s v="D01-S06-P02-K04"/>
    <s v="D01"/>
    <x v="0"/>
    <s v="S06"/>
    <s v="D01-S06"/>
    <x v="5"/>
    <s v="P02"/>
    <s v="D01-S06-P02"/>
    <x v="42"/>
    <s v="K04"/>
    <s v="Songolok"/>
  </r>
  <r>
    <s v="D01-S06-P02-K05"/>
    <s v="D01"/>
    <x v="0"/>
    <s v="S06"/>
    <s v="D01-S06"/>
    <x v="5"/>
    <s v="P02"/>
    <s v="D01-S06-P02"/>
    <x v="42"/>
    <s v="K05"/>
    <s v="Zangom"/>
  </r>
  <r>
    <s v="D01-S06-P02-K06"/>
    <s v="D01"/>
    <x v="0"/>
    <s v="S06"/>
    <s v="D01-S06"/>
    <x v="5"/>
    <s v="P02"/>
    <s v="D01-S06-P02"/>
    <x v="42"/>
    <s v="K06"/>
    <s v="Bemgesing"/>
  </r>
  <r>
    <s v="D01-S06-P03-K01"/>
    <s v="D01"/>
    <x v="0"/>
    <s v="S06"/>
    <s v="D01-S06"/>
    <x v="5"/>
    <s v="P03"/>
    <s v="D01-S06-P03"/>
    <x v="43"/>
    <s v="K01"/>
    <s v="Qan (Ogeranang)"/>
  </r>
  <r>
    <s v="D01-S06-P03-K02"/>
    <s v="D01"/>
    <x v="0"/>
    <s v="S06"/>
    <s v="D01-S06"/>
    <x v="5"/>
    <s v="P03"/>
    <s v="D01-S06-P03"/>
    <x v="43"/>
    <s v="K02"/>
    <s v="Dubi"/>
  </r>
  <r>
    <s v="D01-S06-P03-K03"/>
    <s v="D01"/>
    <x v="0"/>
    <s v="S06"/>
    <s v="D01-S06"/>
    <x v="5"/>
    <s v="P03"/>
    <s v="D01-S06-P03"/>
    <x v="43"/>
    <s v="K03"/>
    <s v="Simbeng"/>
  </r>
  <r>
    <s v="D01-S06-P03-K04"/>
    <s v="D01"/>
    <x v="0"/>
    <s v="S06"/>
    <s v="D01-S06"/>
    <x v="5"/>
    <s v="P03"/>
    <s v="D01-S06-P03"/>
    <x v="43"/>
    <s v="K04"/>
    <s v="Sagiro"/>
  </r>
  <r>
    <s v="D01-S06-P03-K05"/>
    <s v="D01"/>
    <x v="0"/>
    <s v="S06"/>
    <s v="D01-S06"/>
    <x v="5"/>
    <s v="P03"/>
    <s v="D01-S06-P03"/>
    <x v="43"/>
    <s v="K05"/>
    <s v="Soukopop"/>
  </r>
  <r>
    <s v="D01-S06-P04-K01"/>
    <s v="D01"/>
    <x v="0"/>
    <s v="S06"/>
    <s v="D01-S06"/>
    <x v="5"/>
    <s v="P04"/>
    <s v="D01-S06-P04"/>
    <x v="44"/>
    <s v="K01"/>
    <s v="Qera"/>
  </r>
  <r>
    <s v="D01-S06-P04-K02"/>
    <s v="D01"/>
    <x v="0"/>
    <s v="S06"/>
    <s v="D01-S06"/>
    <x v="5"/>
    <s v="P04"/>
    <s v="D01-S06-P04"/>
    <x v="44"/>
    <s v="K02"/>
    <s v="Sagaum"/>
  </r>
  <r>
    <s v="D01-S06-P04-K03"/>
    <s v="D01"/>
    <x v="0"/>
    <s v="S06"/>
    <s v="D01-S06"/>
    <x v="5"/>
    <s v="P04"/>
    <s v="D01-S06-P04"/>
    <x v="44"/>
    <s v="K03"/>
    <s v="Raitning"/>
  </r>
  <r>
    <s v="D01-S06-P04-K04"/>
    <s v="D01"/>
    <x v="0"/>
    <s v="S06"/>
    <s v="D01-S06"/>
    <x v="5"/>
    <s v="P04"/>
    <s v="D01-S06-P04"/>
    <x v="44"/>
    <s v="K04"/>
    <s v="Origenang"/>
  </r>
  <r>
    <s v="D01-S06-P04-K05"/>
    <s v="D01"/>
    <x v="0"/>
    <s v="S06"/>
    <s v="D01-S06"/>
    <x v="5"/>
    <s v="P04"/>
    <s v="D01-S06-P04"/>
    <x v="44"/>
    <s v="K05"/>
    <s v="Semkita"/>
  </r>
  <r>
    <s v="D01-S06-P04-K06"/>
    <s v="D01"/>
    <x v="0"/>
    <s v="S06"/>
    <s v="D01-S06"/>
    <x v="5"/>
    <s v="P04"/>
    <s v="D01-S06-P04"/>
    <x v="44"/>
    <s v="K06"/>
    <s v="Kombuk"/>
  </r>
  <r>
    <s v="D01-S06-P04-K07"/>
    <s v="D01"/>
    <x v="0"/>
    <s v="S06"/>
    <s v="D01-S06"/>
    <x v="5"/>
    <s v="P04"/>
    <s v="D01-S06-P04"/>
    <x v="44"/>
    <s v="K07"/>
    <s v="Selembeng"/>
  </r>
  <r>
    <s v="D01-S06-P04-K08"/>
    <s v="D01"/>
    <x v="0"/>
    <s v="S06"/>
    <s v="D01-S06"/>
    <x v="5"/>
    <s v="P04"/>
    <s v="D01-S06-P04"/>
    <x v="44"/>
    <s v="K08"/>
    <s v="Malang"/>
  </r>
  <r>
    <s v="D01-S06-P04-K09"/>
    <s v="D01"/>
    <x v="0"/>
    <s v="S06"/>
    <s v="D01-S06"/>
    <x v="5"/>
    <s v="P04"/>
    <s v="D01-S06-P04"/>
    <x v="44"/>
    <s v="K09"/>
    <s v="Awanding"/>
  </r>
  <r>
    <s v="D01-S06-P04-K10"/>
    <s v="D01"/>
    <x v="0"/>
    <s v="S06"/>
    <s v="D01-S06"/>
    <x v="5"/>
    <s v="P04"/>
    <s v="D01-S06-P04"/>
    <x v="44"/>
    <s v="K10"/>
    <s v="Ogeramnang"/>
  </r>
  <r>
    <s v="D01-S06-P05-K01"/>
    <s v="D01"/>
    <x v="0"/>
    <s v="S06"/>
    <s v="D01-S06"/>
    <x v="5"/>
    <s v="P05"/>
    <s v="D01-S06-P05"/>
    <x v="45"/>
    <s v="K01"/>
    <s v="Koile"/>
  </r>
  <r>
    <s v="D01-S06-P05-K02"/>
    <s v="D01"/>
    <x v="0"/>
    <s v="S06"/>
    <s v="D01-S06"/>
    <x v="5"/>
    <s v="P05"/>
    <s v="D01-S06-P05"/>
    <x v="45"/>
    <s v="K02"/>
    <s v="Tengbanong"/>
  </r>
  <r>
    <s v="D01-S06-P05-K03"/>
    <s v="D01"/>
    <x v="0"/>
    <s v="S06"/>
    <s v="D01-S06"/>
    <x v="5"/>
    <s v="P05"/>
    <s v="D01-S06-P05"/>
    <x v="45"/>
    <s v="K03"/>
    <s v="Koc"/>
  </r>
  <r>
    <s v="D01-S06-P05-K04"/>
    <s v="D01"/>
    <x v="0"/>
    <s v="S06"/>
    <s v="D01-S06"/>
    <x v="5"/>
    <s v="P05"/>
    <s v="D01-S06-P05"/>
    <x v="45"/>
    <s v="K04"/>
    <s v="Zamu"/>
  </r>
  <r>
    <s v="D01-S06-P05-K05"/>
    <s v="D01"/>
    <x v="0"/>
    <s v="S06"/>
    <s v="D01-S06"/>
    <x v="5"/>
    <s v="P05"/>
    <s v="D01-S06-P05"/>
    <x v="45"/>
    <s v="K05"/>
    <s v="Konem"/>
  </r>
  <r>
    <s v="D01-S06-P05-K06"/>
    <s v="D01"/>
    <x v="0"/>
    <s v="S06"/>
    <s v="D01-S06"/>
    <x v="5"/>
    <s v="P05"/>
    <s v="D01-S06-P05"/>
    <x v="45"/>
    <s v="K06"/>
    <s v="Wesap"/>
  </r>
  <r>
    <s v="D01-S06-P05-K07"/>
    <s v="D01"/>
    <x v="0"/>
    <s v="S06"/>
    <s v="D01-S06"/>
    <x v="5"/>
    <s v="P05"/>
    <s v="D01-S06-P05"/>
    <x v="45"/>
    <s v="K07"/>
    <s v="Nomboneng"/>
  </r>
  <r>
    <s v="D01-S07-P01-K01"/>
    <s v="D01"/>
    <x v="0"/>
    <s v="S07"/>
    <s v="D01-S07"/>
    <x v="6"/>
    <s v="P01"/>
    <s v="D01-S07-P01"/>
    <x v="46"/>
    <s v="K01"/>
    <s v="Mayama"/>
  </r>
  <r>
    <s v="D01-S07-P01-K02"/>
    <s v="D01"/>
    <x v="0"/>
    <s v="S07"/>
    <s v="D01-S07"/>
    <x v="6"/>
    <s v="P01"/>
    <s v="D01-S07-P01"/>
    <x v="46"/>
    <s v="K02"/>
    <s v="Amoa"/>
  </r>
  <r>
    <s v="D01-S07-P01-K03"/>
    <s v="D01"/>
    <x v="0"/>
    <s v="S07"/>
    <s v="D01-S07"/>
    <x v="6"/>
    <s v="P01"/>
    <s v="D01-S07-P01"/>
    <x v="46"/>
    <s v="K03"/>
    <s v="Zigori"/>
  </r>
  <r>
    <s v="D01-S07-P01-K04"/>
    <s v="D01"/>
    <x v="0"/>
    <s v="S07"/>
    <s v="D01-S07"/>
    <x v="6"/>
    <s v="P01"/>
    <s v="D01-S07-P01"/>
    <x v="46"/>
    <s v="K04"/>
    <s v="Bematu"/>
  </r>
  <r>
    <s v="D01-S07-P01-K05"/>
    <s v="D01"/>
    <x v="0"/>
    <s v="S07"/>
    <s v="D01-S07"/>
    <x v="6"/>
    <s v="P01"/>
    <s v="D01-S07-P01"/>
    <x v="46"/>
    <s v="K05"/>
    <s v="Kobio"/>
  </r>
  <r>
    <s v="D01-S07-P01-K06"/>
    <s v="D01"/>
    <x v="0"/>
    <s v="S07"/>
    <s v="D01-S07"/>
    <x v="6"/>
    <s v="P01"/>
    <s v="D01-S07-P01"/>
    <x v="46"/>
    <s v="K06"/>
    <s v="Mangoro"/>
  </r>
  <r>
    <s v="D01-S07-P02-K01"/>
    <s v="D01"/>
    <x v="0"/>
    <s v="S07"/>
    <s v="D01-S07"/>
    <x v="6"/>
    <s v="P02"/>
    <s v="D01-S07-P02"/>
    <x v="47"/>
    <s v="K01"/>
    <s v="Bosadi"/>
  </r>
  <r>
    <s v="D01-S07-P02-K02"/>
    <s v="D01"/>
    <x v="0"/>
    <s v="S07"/>
    <s v="D01-S07"/>
    <x v="6"/>
    <s v="P02"/>
    <s v="D01-S07-P02"/>
    <x v="47"/>
    <s v="K02"/>
    <s v="Mou"/>
  </r>
  <r>
    <s v="D01-S07-P02-K03"/>
    <s v="D01"/>
    <x v="0"/>
    <s v="S07"/>
    <s v="D01-S07"/>
    <x v="6"/>
    <s v="P02"/>
    <s v="D01-S07-P02"/>
    <x v="47"/>
    <s v="K03"/>
    <s v="Morobe Stesin"/>
  </r>
  <r>
    <s v="D01-S07-P02-K04"/>
    <s v="D01"/>
    <x v="0"/>
    <s v="S07"/>
    <s v="D01-S07"/>
    <x v="6"/>
    <s v="P02"/>
    <s v="D01-S07-P02"/>
    <x v="47"/>
    <s v="K04"/>
    <s v="Evare"/>
  </r>
  <r>
    <s v="D01-S07-P03-K01"/>
    <s v="D01"/>
    <x v="0"/>
    <s v="S07"/>
    <s v="D01-S07"/>
    <x v="6"/>
    <s v="P03"/>
    <s v="D01-S07-P03"/>
    <x v="48"/>
    <s v="K01"/>
    <s v="Anapose"/>
  </r>
  <r>
    <s v="D01-S07-P03-K02"/>
    <s v="D01"/>
    <x v="0"/>
    <s v="S07"/>
    <s v="D01-S07"/>
    <x v="6"/>
    <s v="P03"/>
    <s v="D01-S07-P03"/>
    <x v="48"/>
    <s v="K02"/>
    <s v="Nazi"/>
  </r>
  <r>
    <s v="D01-S07-P03-K03"/>
    <s v="D01"/>
    <x v="0"/>
    <s v="S07"/>
    <s v="D01-S07"/>
    <x v="6"/>
    <s v="P03"/>
    <s v="D01-S07-P03"/>
    <x v="48"/>
    <s v="K03"/>
    <s v="Sapa"/>
  </r>
  <r>
    <s v="D01-S07-P04-K01"/>
    <s v="D01"/>
    <x v="0"/>
    <s v="S07"/>
    <s v="D01-S07"/>
    <x v="6"/>
    <s v="P04"/>
    <s v="D01-S07-P04"/>
    <x v="49"/>
    <s v="K01"/>
    <s v="Kobo"/>
  </r>
  <r>
    <s v="D01-S07-P04-K02"/>
    <s v="D01"/>
    <x v="0"/>
    <s v="S07"/>
    <s v="D01-S07"/>
    <x v="6"/>
    <s v="P04"/>
    <s v="D01-S07-P04"/>
    <x v="49"/>
    <s v="K02"/>
    <s v="Waiosoduma"/>
  </r>
  <r>
    <s v="D01-S07-P04-K03"/>
    <s v="D01"/>
    <x v="0"/>
    <s v="S07"/>
    <s v="D01-S07"/>
    <x v="6"/>
    <s v="P04"/>
    <s v="D01-S07-P04"/>
    <x v="49"/>
    <s v="K03"/>
    <s v="Bau"/>
  </r>
  <r>
    <s v="D01-S07-P04-K04"/>
    <s v="D01"/>
    <x v="0"/>
    <s v="S07"/>
    <s v="D01-S07"/>
    <x v="6"/>
    <s v="P04"/>
    <s v="D01-S07-P04"/>
    <x v="49"/>
    <s v="K04"/>
    <s v="Auro"/>
  </r>
  <r>
    <s v="D01-S07-P04-K05"/>
    <s v="D01"/>
    <x v="0"/>
    <s v="S07"/>
    <s v="D01-S07"/>
    <x v="6"/>
    <s v="P04"/>
    <s v="D01-S07-P04"/>
    <x v="49"/>
    <s v="K05"/>
    <s v="Sowara"/>
  </r>
  <r>
    <s v="D01-S07-P05-K01"/>
    <s v="D01"/>
    <x v="0"/>
    <s v="S07"/>
    <s v="D01-S07"/>
    <x v="6"/>
    <s v="P05"/>
    <s v="D01-S07-P05"/>
    <x v="50"/>
    <s v="K01"/>
    <s v="Dona"/>
  </r>
  <r>
    <s v="D01-S07-P05-K02"/>
    <s v="D01"/>
    <x v="0"/>
    <s v="S07"/>
    <s v="D01-S07"/>
    <x v="6"/>
    <s v="P05"/>
    <s v="D01-S07-P05"/>
    <x v="50"/>
    <s v="K02"/>
    <s v="Saigara"/>
  </r>
  <r>
    <s v="D01-S07-P05-K03"/>
    <s v="D01"/>
    <x v="0"/>
    <s v="S07"/>
    <s v="D01-S07"/>
    <x v="6"/>
    <s v="P05"/>
    <s v="D01-S07-P05"/>
    <x v="50"/>
    <s v="K03"/>
    <s v="Zare"/>
  </r>
  <r>
    <s v="D01-S07-P05-K04"/>
    <s v="D01"/>
    <x v="0"/>
    <s v="S07"/>
    <s v="D01-S07"/>
    <x v="6"/>
    <s v="P05"/>
    <s v="D01-S07-P05"/>
    <x v="50"/>
    <s v="K04"/>
    <s v="Ainse"/>
  </r>
  <r>
    <s v="D01-S07-P06-K01"/>
    <s v="D01"/>
    <x v="0"/>
    <s v="S07"/>
    <s v="D01-S07"/>
    <x v="6"/>
    <s v="P06"/>
    <s v="D01-S07-P06"/>
    <x v="51"/>
    <s v="K01"/>
    <s v="Siu "/>
  </r>
  <r>
    <s v="D01-S07-P06-K02"/>
    <s v="D01"/>
    <x v="0"/>
    <s v="S07"/>
    <s v="D01-S07"/>
    <x v="6"/>
    <s v="P06"/>
    <s v="D01-S07-P06"/>
    <x v="51"/>
    <s v="K02"/>
    <s v="Putair"/>
  </r>
  <r>
    <s v="D01-S07-P06-K03"/>
    <s v="D01"/>
    <x v="0"/>
    <s v="S07"/>
    <s v="D01-S07"/>
    <x v="6"/>
    <s v="P06"/>
    <s v="D01-S07-P06"/>
    <x v="51"/>
    <s v="K03"/>
    <s v="Popoe"/>
  </r>
  <r>
    <s v="D01-S07-P06-K04"/>
    <s v="D01"/>
    <x v="0"/>
    <s v="S07"/>
    <s v="D01-S07"/>
    <x v="6"/>
    <s v="P06"/>
    <s v="D01-S07-P06"/>
    <x v="51"/>
    <s v="K04"/>
    <s v="Yae"/>
  </r>
  <r>
    <s v="D01-S07-P06-K05"/>
    <s v="D01"/>
    <x v="0"/>
    <s v="S07"/>
    <s v="D01-S07"/>
    <x v="6"/>
    <s v="P06"/>
    <s v="D01-S07-P06"/>
    <x v="51"/>
    <s v="K05"/>
    <s v="Gauzu"/>
  </r>
  <r>
    <s v="D01-S07-P06-K06"/>
    <s v="D01"/>
    <x v="0"/>
    <s v="S07"/>
    <s v="D01-S07"/>
    <x v="6"/>
    <s v="P06"/>
    <s v="D01-S07-P06"/>
    <x v="51"/>
    <s v="K06"/>
    <s v="Omazi"/>
  </r>
  <r>
    <s v="D01-S07-P07-K01"/>
    <s v="D01"/>
    <x v="0"/>
    <s v="S07"/>
    <s v="D01-S07"/>
    <x v="6"/>
    <s v="P07"/>
    <s v="D01-S07-P07"/>
    <x v="52"/>
    <s v="K01"/>
    <s v="Pema"/>
  </r>
  <r>
    <s v="D01-S07-P07-K02"/>
    <s v="D01"/>
    <x v="0"/>
    <s v="S07"/>
    <s v="D01-S07"/>
    <x v="6"/>
    <s v="P07"/>
    <s v="D01-S07-P07"/>
    <x v="52"/>
    <s v="K02"/>
    <s v="Pepeware"/>
  </r>
  <r>
    <s v="D01-S07-P07-K03"/>
    <s v="D01"/>
    <x v="0"/>
    <s v="S07"/>
    <s v="D01-S07"/>
    <x v="6"/>
    <s v="P07"/>
    <s v="D01-S07-P07"/>
    <x v="52"/>
    <s v="K03"/>
    <s v="Agotame"/>
  </r>
  <r>
    <s v="D01-S07-P07-K04"/>
    <s v="D01"/>
    <x v="0"/>
    <s v="S07"/>
    <s v="D01-S07"/>
    <x v="6"/>
    <s v="P07"/>
    <s v="D01-S07-P07"/>
    <x v="52"/>
    <s v="K04"/>
    <s v="Gobe"/>
  </r>
  <r>
    <s v="D01-S07-P07-K05"/>
    <s v="D01"/>
    <x v="0"/>
    <s v="S07"/>
    <s v="D01-S07"/>
    <x v="6"/>
    <s v="P07"/>
    <s v="D01-S07-P07"/>
    <x v="52"/>
    <s v="K05"/>
    <s v="Jema"/>
  </r>
  <r>
    <s v="D01-S07-P07-K06"/>
    <s v="D01"/>
    <x v="0"/>
    <s v="S07"/>
    <s v="D01-S07"/>
    <x v="6"/>
    <s v="P07"/>
    <s v="D01-S07-P07"/>
    <x v="52"/>
    <s v="K06"/>
    <s v="Tube"/>
  </r>
  <r>
    <s v="D01-S07-P07-K07"/>
    <s v="D01"/>
    <x v="0"/>
    <s v="S07"/>
    <s v="D01-S07"/>
    <x v="6"/>
    <s v="P07"/>
    <s v="D01-S07-P07"/>
    <x v="52"/>
    <s v="K07"/>
    <s v="Agiyw"/>
  </r>
  <r>
    <s v="D01-S07-P07-K08"/>
    <s v="D01"/>
    <x v="0"/>
    <s v="S07"/>
    <s v="D01-S07"/>
    <x v="6"/>
    <s v="P07"/>
    <s v="D01-S07-P07"/>
    <x v="52"/>
    <s v="K08"/>
    <s v="Dona"/>
  </r>
  <r>
    <s v="D01-S08-P02-K01"/>
    <s v="D01"/>
    <x v="0"/>
    <s v="S08"/>
    <s v="D01-S08"/>
    <x v="7"/>
    <s v="P02"/>
    <s v="D01-S08-P02"/>
    <x v="53"/>
    <s v="K01"/>
    <s v="Kasangare"/>
  </r>
  <r>
    <s v="D01-S08-P02-K02"/>
    <s v="D01"/>
    <x v="0"/>
    <s v="S08"/>
    <s v="D01-S08"/>
    <x v="7"/>
    <s v="P02"/>
    <s v="D01-S08-P02"/>
    <x v="53"/>
    <s v="K02"/>
    <s v="Wisini"/>
  </r>
  <r>
    <s v="D01-S08-P02-K03"/>
    <s v="D01"/>
    <x v="0"/>
    <s v="S08"/>
    <s v="D01-S08"/>
    <x v="7"/>
    <s v="P02"/>
    <s v="D01-S08-P02"/>
    <x v="53"/>
    <s v="K03"/>
    <s v="Ilapu"/>
  </r>
  <r>
    <s v="D01-S08-P02-K04"/>
    <s v="D01"/>
    <x v="0"/>
    <s v="S08"/>
    <s v="D01-S08"/>
    <x v="7"/>
    <s v="P02"/>
    <s v="D01-S08-P02"/>
    <x v="53"/>
    <s v="K04"/>
    <s v="Taulins"/>
  </r>
  <r>
    <s v="D01-S08-P02-K05"/>
    <s v="D01"/>
    <x v="0"/>
    <s v="S08"/>
    <s v="D01-S08"/>
    <x v="7"/>
    <s v="P02"/>
    <s v="D01-S08-P02"/>
    <x v="53"/>
    <s v="K05"/>
    <s v="Nako"/>
  </r>
  <r>
    <s v="D01-S08-P02-K06"/>
    <s v="D01"/>
    <x v="0"/>
    <s v="S08"/>
    <s v="D01-S08"/>
    <x v="7"/>
    <s v="P02"/>
    <s v="D01-S08-P02"/>
    <x v="53"/>
    <s v="K06"/>
    <s v="Kambaka"/>
  </r>
  <r>
    <s v="D01-S08-P02-K07"/>
    <s v="D01"/>
    <x v="0"/>
    <s v="S08"/>
    <s v="D01-S08"/>
    <x v="7"/>
    <s v="P02"/>
    <s v="D01-S08-P02"/>
    <x v="53"/>
    <s v="K07"/>
    <s v="Toli"/>
  </r>
  <r>
    <s v="D01-S08-P02-K08"/>
    <s v="D01"/>
    <x v="0"/>
    <s v="S08"/>
    <s v="D01-S08"/>
    <x v="7"/>
    <s v="P02"/>
    <s v="D01-S08-P02"/>
    <x v="53"/>
    <s v="K08"/>
    <s v="Korua"/>
  </r>
  <r>
    <s v="D01-S08-P02-K09"/>
    <s v="D01"/>
    <x v="0"/>
    <s v="S08"/>
    <s v="D01-S08"/>
    <x v="7"/>
    <s v="P02"/>
    <s v="D01-S08-P02"/>
    <x v="53"/>
    <s v="K09"/>
    <s v="Kakolo"/>
  </r>
  <r>
    <s v="D02-S01-P01-K01"/>
    <s v="D02"/>
    <x v="1"/>
    <s v="S01"/>
    <s v="D02-S01"/>
    <x v="8"/>
    <s v="P01"/>
    <s v="D02-S01-P01"/>
    <x v="54"/>
    <s v="K01"/>
    <s v="Equato"/>
  </r>
  <r>
    <s v="D02-S01-P01-K02"/>
    <s v="D02"/>
    <x v="1"/>
    <s v="S01"/>
    <s v="D02-S01"/>
    <x v="8"/>
    <s v="P01"/>
    <s v="D02-S01-P01"/>
    <x v="54"/>
    <s v="K02"/>
    <s v="Kapu - Anga"/>
  </r>
  <r>
    <s v="D02-S01-P01-K03"/>
    <s v="D02"/>
    <x v="1"/>
    <s v="S01"/>
    <s v="D02-S01"/>
    <x v="8"/>
    <s v="P01"/>
    <s v="D02-S01-P01"/>
    <x v="54"/>
    <s v="K03"/>
    <s v="Hadadua"/>
  </r>
  <r>
    <s v="D02-S01-P01-K04"/>
    <s v="D02"/>
    <x v="1"/>
    <s v="S01"/>
    <s v="D02-S01"/>
    <x v="8"/>
    <s v="P01"/>
    <s v="D02-S01-P01"/>
    <x v="54"/>
    <s v="K04"/>
    <s v="Aweaka"/>
  </r>
  <r>
    <s v="D02-S01-P01-K05"/>
    <s v="D02"/>
    <x v="1"/>
    <s v="S01"/>
    <s v="D02-S01"/>
    <x v="8"/>
    <s v="P01"/>
    <s v="D02-S01-P01"/>
    <x v="54"/>
    <s v="K05"/>
    <s v="Kakiwana"/>
  </r>
  <r>
    <s v="D02-S01-P01-K06"/>
    <s v="D02"/>
    <x v="1"/>
    <s v="S01"/>
    <s v="D02-S01"/>
    <x v="8"/>
    <s v="P01"/>
    <s v="D02-S01-P01"/>
    <x v="54"/>
    <s v="K06"/>
    <s v="Awairi"/>
  </r>
  <r>
    <s v="D02-S01-P01-K07"/>
    <s v="D02"/>
    <x v="1"/>
    <s v="S01"/>
    <s v="D02-S01"/>
    <x v="8"/>
    <s v="P01"/>
    <s v="D02-S01-P01"/>
    <x v="54"/>
    <s v="K07"/>
    <s v="Mekim"/>
  </r>
  <r>
    <s v="D02-S01-P02-K01"/>
    <s v="D02"/>
    <x v="1"/>
    <s v="S01"/>
    <s v="D02-S01"/>
    <x v="8"/>
    <s v="P02"/>
    <s v="D02-S01-P02"/>
    <x v="55"/>
    <s v="K01"/>
    <s v="Yeke"/>
  </r>
  <r>
    <s v="D02-S01-P02-K02"/>
    <s v="D02"/>
    <x v="1"/>
    <s v="S01"/>
    <s v="D02-S01"/>
    <x v="8"/>
    <s v="P02"/>
    <s v="D02-S01-P02"/>
    <x v="55"/>
    <s v="K02"/>
    <s v="Quajtinge"/>
  </r>
  <r>
    <s v="D02-S01-P02-K03"/>
    <s v="D02"/>
    <x v="1"/>
    <s v="S01"/>
    <s v="D02-S01"/>
    <x v="8"/>
    <s v="P02"/>
    <s v="D02-S01-P02"/>
    <x v="55"/>
    <s v="K03"/>
    <s v="Keango"/>
  </r>
  <r>
    <s v="D02-S01-P02-K04"/>
    <s v="D02"/>
    <x v="1"/>
    <s v="S01"/>
    <s v="D02-S01"/>
    <x v="8"/>
    <s v="P02"/>
    <s v="D02-S01-P02"/>
    <x v="55"/>
    <s v="K04"/>
    <s v="Dumawa"/>
  </r>
  <r>
    <s v="D02-S01-P02-K05"/>
    <s v="D02"/>
    <x v="1"/>
    <s v="S01"/>
    <s v="D02-S01"/>
    <x v="8"/>
    <s v="P02"/>
    <s v="D02-S01-P02"/>
    <x v="55"/>
    <s v="K05"/>
    <s v="Papito"/>
  </r>
  <r>
    <s v="D02-S01-P03-K01"/>
    <s v="D02"/>
    <x v="1"/>
    <s v="S01"/>
    <s v="D02-S01"/>
    <x v="8"/>
    <s v="P03"/>
    <s v="D02-S01-P03"/>
    <x v="56"/>
    <s v="K01"/>
    <s v="Okaneiwa"/>
  </r>
  <r>
    <s v="D02-S01-P03-K02"/>
    <s v="D02"/>
    <x v="1"/>
    <s v="S01"/>
    <s v="D02-S01"/>
    <x v="8"/>
    <s v="P03"/>
    <s v="D02-S01-P03"/>
    <x v="56"/>
    <s v="K02"/>
    <s v="Konaweiyuy"/>
  </r>
  <r>
    <s v="D02-S01-P03-K03"/>
    <s v="D02"/>
    <x v="1"/>
    <s v="S01"/>
    <s v="D02-S01"/>
    <x v="8"/>
    <s v="P03"/>
    <s v="D02-S01-P03"/>
    <x v="56"/>
    <s v="K03"/>
    <s v="Quamdawati"/>
  </r>
  <r>
    <s v="D02-S01-P04-K01"/>
    <s v="D02"/>
    <x v="1"/>
    <s v="S01"/>
    <s v="D02-S01"/>
    <x v="8"/>
    <s v="P04"/>
    <s v="D02-S01-P04"/>
    <x v="57"/>
    <s v="K01"/>
    <s v="Kopakini"/>
  </r>
  <r>
    <s v="D02-S01-P04-K02"/>
    <s v="D02"/>
    <x v="1"/>
    <s v="S01"/>
    <s v="D02-S01"/>
    <x v="8"/>
    <s v="P04"/>
    <s v="D02-S01-P04"/>
    <x v="57"/>
    <s v="K02"/>
    <s v="Akewamuanga"/>
  </r>
  <r>
    <s v="D02-S01-P04-K03"/>
    <s v="D02"/>
    <x v="1"/>
    <s v="S01"/>
    <s v="D02-S01"/>
    <x v="8"/>
    <s v="P04"/>
    <s v="D02-S01-P04"/>
    <x v="57"/>
    <s v="K03"/>
    <s v="Yakopeiya"/>
  </r>
  <r>
    <s v="D02-S01-P04-K04"/>
    <s v="D02"/>
    <x v="1"/>
    <s v="S01"/>
    <s v="D02-S01"/>
    <x v="8"/>
    <s v="P04"/>
    <s v="D02-S01-P04"/>
    <x v="57"/>
    <s v="K04"/>
    <s v="Palowa"/>
  </r>
  <r>
    <s v="D02-S01-P05-K01"/>
    <s v="D02"/>
    <x v="1"/>
    <s v="S01"/>
    <s v="D02-S01"/>
    <x v="8"/>
    <s v="P05"/>
    <s v="D02-S01-P05"/>
    <x v="58"/>
    <s v="K01"/>
    <s v="Kokea"/>
  </r>
  <r>
    <s v="D02-S01-P05-K02"/>
    <s v="D02"/>
    <x v="1"/>
    <s v="S01"/>
    <s v="D02-S01"/>
    <x v="8"/>
    <s v="P05"/>
    <s v="D02-S01-P05"/>
    <x v="58"/>
    <s v="K02"/>
    <s v="Iwatimnga"/>
  </r>
  <r>
    <s v="D02-S01-P05-K03"/>
    <s v="D02"/>
    <x v="1"/>
    <s v="S01"/>
    <s v="D02-S01"/>
    <x v="8"/>
    <s v="P05"/>
    <s v="D02-S01-P05"/>
    <x v="58"/>
    <s v="K03"/>
    <s v="Daumnga"/>
  </r>
  <r>
    <s v="D02-S01-P05-K04"/>
    <s v="D02"/>
    <x v="1"/>
    <s v="S01"/>
    <s v="D02-S01"/>
    <x v="8"/>
    <s v="P05"/>
    <s v="D02-S01-P05"/>
    <x v="58"/>
    <s v="K04"/>
    <s v="Oiwa"/>
  </r>
  <r>
    <s v="D02-S01-P05-K05"/>
    <s v="D02"/>
    <x v="1"/>
    <s v="S01"/>
    <s v="D02-S01"/>
    <x v="8"/>
    <s v="P05"/>
    <s v="D02-S01-P05"/>
    <x v="58"/>
    <s v="K05"/>
    <s v="Aiya"/>
  </r>
  <r>
    <s v="D02-S01-P05-K06"/>
    <s v="D02"/>
    <x v="1"/>
    <s v="S01"/>
    <s v="D02-S01"/>
    <x v="8"/>
    <s v="P05"/>
    <s v="D02-S01-P05"/>
    <x v="58"/>
    <s v="K06"/>
    <s v="Hawamnga"/>
  </r>
  <r>
    <s v="D02-S01-P05-K07"/>
    <s v="D02"/>
    <x v="1"/>
    <s v="S01"/>
    <s v="D02-S01"/>
    <x v="8"/>
    <s v="P05"/>
    <s v="D02-S01-P05"/>
    <x v="58"/>
    <s v="K07"/>
    <s v="Widue"/>
  </r>
  <r>
    <s v="D02-S01-P06-K01"/>
    <s v="D02"/>
    <x v="1"/>
    <s v="S01"/>
    <s v="D02-S01"/>
    <x v="8"/>
    <s v="P06"/>
    <s v="D02-S01-P06"/>
    <x v="59"/>
    <s v="K01"/>
    <s v="Wema"/>
  </r>
  <r>
    <s v="D02-S01-P06-K02"/>
    <s v="D02"/>
    <x v="1"/>
    <s v="S01"/>
    <s v="D02-S01"/>
    <x v="8"/>
    <s v="P06"/>
    <s v="D02-S01-P06"/>
    <x v="59"/>
    <s v="K02"/>
    <s v="Habeawini"/>
  </r>
  <r>
    <s v="D02-S01-P06-K03"/>
    <s v="D02"/>
    <x v="1"/>
    <s v="S01"/>
    <s v="D02-S01"/>
    <x v="8"/>
    <s v="P06"/>
    <s v="D02-S01-P06"/>
    <x v="59"/>
    <s v="K03"/>
    <s v="Bau"/>
  </r>
  <r>
    <s v="D02-S01-P06-K04"/>
    <s v="D02"/>
    <x v="1"/>
    <s v="S01"/>
    <s v="D02-S01"/>
    <x v="8"/>
    <s v="P06"/>
    <s v="D02-S01-P06"/>
    <x v="59"/>
    <s v="K04"/>
    <s v="Pouyu I"/>
  </r>
  <r>
    <s v="D02-S01-P06-K05"/>
    <s v="D02"/>
    <x v="1"/>
    <s v="S01"/>
    <s v="D02-S01"/>
    <x v="8"/>
    <s v="P06"/>
    <s v="D02-S01-P06"/>
    <x v="59"/>
    <s v="K05"/>
    <s v="Odaidawa"/>
  </r>
  <r>
    <s v="D02-S01-P06-K06"/>
    <s v="D02"/>
    <x v="1"/>
    <s v="S01"/>
    <s v="D02-S01"/>
    <x v="8"/>
    <s v="P06"/>
    <s v="D02-S01-P06"/>
    <x v="59"/>
    <s v="K06"/>
    <s v="Pakea"/>
  </r>
  <r>
    <s v="D02-S01-P06-K07"/>
    <s v="D02"/>
    <x v="1"/>
    <s v="S01"/>
    <s v="D02-S01"/>
    <x v="8"/>
    <s v="P06"/>
    <s v="D02-S01-P06"/>
    <x v="59"/>
    <s v="K07"/>
    <s v="Ayewa"/>
  </r>
  <r>
    <s v="D02-S01-P07-K01"/>
    <s v="D02"/>
    <x v="1"/>
    <s v="S01"/>
    <s v="D02-S01"/>
    <x v="8"/>
    <s v="P07"/>
    <s v="D02-S01-P07"/>
    <x v="60"/>
    <s v="K01"/>
    <s v="Jona-a"/>
  </r>
  <r>
    <s v="D02-S01-P07-K02"/>
    <s v="D02"/>
    <x v="1"/>
    <s v="S01"/>
    <s v="D02-S01"/>
    <x v="8"/>
    <s v="P07"/>
    <s v="D02-S01-P07"/>
    <x v="60"/>
    <s v="K02"/>
    <s v="Onawa"/>
  </r>
  <r>
    <s v="D02-S01-P07-K03"/>
    <s v="D02"/>
    <x v="1"/>
    <s v="S01"/>
    <s v="D02-S01"/>
    <x v="8"/>
    <s v="P07"/>
    <s v="D02-S01-P07"/>
    <x v="60"/>
    <s v="K03"/>
    <s v="Wopa"/>
  </r>
  <r>
    <s v="D02-S01-P07-K04"/>
    <s v="D02"/>
    <x v="1"/>
    <s v="S01"/>
    <s v="D02-S01"/>
    <x v="8"/>
    <s v="P07"/>
    <s v="D02-S01-P07"/>
    <x v="60"/>
    <s v="K04"/>
    <s v="Neandulo"/>
  </r>
  <r>
    <s v="D02-S01-P07-K05"/>
    <s v="D02"/>
    <x v="1"/>
    <s v="S01"/>
    <s v="D02-S01"/>
    <x v="8"/>
    <s v="P07"/>
    <s v="D02-S01-P07"/>
    <x v="60"/>
    <s v="K05"/>
    <s v="Hikinangowe"/>
  </r>
  <r>
    <s v="D02-S01-P07-K06"/>
    <s v="D02"/>
    <x v="1"/>
    <s v="S01"/>
    <s v="D02-S01"/>
    <x v="8"/>
    <s v="P07"/>
    <s v="D02-S01-P07"/>
    <x v="60"/>
    <s v="K06"/>
    <s v="Tiwata'"/>
  </r>
  <r>
    <s v="D02-S01-P07-K07"/>
    <s v="D02"/>
    <x v="1"/>
    <s v="S01"/>
    <s v="D02-S01"/>
    <x v="8"/>
    <s v="P07"/>
    <s v="D02-S01-P07"/>
    <x v="60"/>
    <s v="K07"/>
    <s v="Yangayu"/>
  </r>
  <r>
    <s v="D02-S01-P07-K08"/>
    <s v="D02"/>
    <x v="1"/>
    <s v="S01"/>
    <s v="D02-S01"/>
    <x v="8"/>
    <s v="P07"/>
    <s v="D02-S01-P07"/>
    <x v="60"/>
    <s v="K08"/>
    <s v="Aitu"/>
  </r>
  <r>
    <s v="D02-S02-P01-K01"/>
    <s v="D02"/>
    <x v="1"/>
    <s v="S02"/>
    <s v="D02-S02"/>
    <x v="9"/>
    <s v="P01"/>
    <s v="D02-S02-P01"/>
    <x v="61"/>
    <s v="K01"/>
    <s v="Bukawa"/>
  </r>
  <r>
    <s v="D02-S02-P01-K02"/>
    <s v="D02"/>
    <x v="1"/>
    <s v="S02"/>
    <s v="D02-S02"/>
    <x v="9"/>
    <s v="P01"/>
    <s v="D02-S02-P01"/>
    <x v="61"/>
    <s v="K02"/>
    <s v="Awadec"/>
  </r>
  <r>
    <s v="D02-S02-P01-K03"/>
    <s v="D02"/>
    <x v="1"/>
    <s v="S02"/>
    <s v="D02-S02"/>
    <x v="9"/>
    <s v="P01"/>
    <s v="D02-S02-P01"/>
    <x v="61"/>
    <s v="K03"/>
    <s v="Bocgambung"/>
  </r>
  <r>
    <s v="D02-S02-P01-K04"/>
    <s v="D02"/>
    <x v="1"/>
    <s v="S02"/>
    <s v="D02-S02"/>
    <x v="9"/>
    <s v="P01"/>
    <s v="D02-S02-P01"/>
    <x v="61"/>
    <s v="K04"/>
    <s v="Mundala"/>
  </r>
  <r>
    <s v="D02-S02-P01-K05"/>
    <s v="D02"/>
    <x v="1"/>
    <s v="S02"/>
    <s v="D02-S02"/>
    <x v="9"/>
    <s v="P01"/>
    <s v="D02-S02-P01"/>
    <x v="61"/>
    <s v="K05"/>
    <s v="Ukilim"/>
  </r>
  <r>
    <s v="D02-S02-P01-K06"/>
    <s v="D02"/>
    <x v="1"/>
    <s v="S02"/>
    <s v="D02-S02"/>
    <x v="9"/>
    <s v="P01"/>
    <s v="D02-S02-P01"/>
    <x v="61"/>
    <s v="K06"/>
    <s v="Yambo"/>
  </r>
  <r>
    <s v="D02-S02-P02-K01"/>
    <s v="D02"/>
    <x v="1"/>
    <s v="S02"/>
    <s v="D02-S02"/>
    <x v="9"/>
    <s v="P02"/>
    <s v="D02-S02-P02"/>
    <x v="62"/>
    <s v="K01"/>
    <s v="Wedilu"/>
  </r>
  <r>
    <s v="D02-S02-P02-K02"/>
    <s v="D02"/>
    <x v="1"/>
    <s v="S02"/>
    <s v="D02-S02"/>
    <x v="9"/>
    <s v="P02"/>
    <s v="D02-S02-P02"/>
    <x v="62"/>
    <s v="K02"/>
    <s v="Eec"/>
  </r>
  <r>
    <s v="D02-S02-P02-K03"/>
    <s v="D02"/>
    <x v="1"/>
    <s v="S02"/>
    <s v="D02-S02"/>
    <x v="9"/>
    <s v="P02"/>
    <s v="D02-S02-P02"/>
    <x v="62"/>
    <s v="K03"/>
    <s v="Buinggim"/>
  </r>
  <r>
    <s v="D02-S02-P02-K04"/>
    <s v="D02"/>
    <x v="1"/>
    <s v="S02"/>
    <s v="D02-S02"/>
    <x v="9"/>
    <s v="P02"/>
    <s v="D02-S02-P02"/>
    <x v="62"/>
    <s v="K04"/>
    <s v="Busong"/>
  </r>
  <r>
    <s v="D02-S02-P03-K01"/>
    <s v="D02"/>
    <x v="1"/>
    <s v="S02"/>
    <s v="D02-S02"/>
    <x v="9"/>
    <s v="P03"/>
    <s v="D02-S02-P03"/>
    <x v="63"/>
    <s v="K01"/>
    <s v="Bugang"/>
  </r>
  <r>
    <s v="D02-S02-P03-K02"/>
    <s v="D02"/>
    <x v="1"/>
    <s v="S02"/>
    <s v="D02-S02"/>
    <x v="9"/>
    <s v="P03"/>
    <s v="D02-S02-P03"/>
    <x v="63"/>
    <s v="K02"/>
    <s v="Boac"/>
  </r>
  <r>
    <s v="D02-S02-P03-K03"/>
    <s v="D02"/>
    <x v="1"/>
    <s v="S02"/>
    <s v="D02-S02"/>
    <x v="9"/>
    <s v="P03"/>
    <s v="D02-S02-P03"/>
    <x v="63"/>
    <s v="K03"/>
    <s v="Taemi"/>
  </r>
  <r>
    <s v="D02-S02-P03-K04"/>
    <s v="D02"/>
    <x v="1"/>
    <s v="S02"/>
    <s v="D02-S02"/>
    <x v="9"/>
    <s v="P03"/>
    <s v="D02-S02-P03"/>
    <x v="63"/>
    <s v="K04"/>
    <s v="Ologedo"/>
  </r>
  <r>
    <s v="D02-S02-P04-K01"/>
    <s v="D02"/>
    <x v="1"/>
    <s v="S02"/>
    <s v="D02-S02"/>
    <x v="9"/>
    <s v="P04"/>
    <s v="D02-S02-P04"/>
    <x v="64"/>
    <s v="K01"/>
    <s v="Butala 1"/>
  </r>
  <r>
    <s v="D02-S02-P04-K02"/>
    <s v="D02"/>
    <x v="1"/>
    <s v="S02"/>
    <s v="D02-S02"/>
    <x v="9"/>
    <s v="P04"/>
    <s v="D02-S02-P04"/>
    <x v="64"/>
    <s v="K02"/>
    <s v="Butala 2"/>
  </r>
  <r>
    <s v="D02-S02-P04-K03"/>
    <s v="D02"/>
    <x v="1"/>
    <s v="S02"/>
    <s v="D02-S02"/>
    <x v="9"/>
    <s v="P04"/>
    <s v="D02-S02-P04"/>
    <x v="64"/>
    <s v="K03"/>
    <s v="Tigidu"/>
  </r>
  <r>
    <s v="D02-S02-P04-K04"/>
    <s v="D02"/>
    <x v="1"/>
    <s v="S02"/>
    <s v="D02-S02"/>
    <x v="9"/>
    <s v="P04"/>
    <s v="D02-S02-P04"/>
    <x v="64"/>
    <s v="K04"/>
    <s v="Busen"/>
  </r>
  <r>
    <s v="D02-S03-P01-K01"/>
    <s v="D02"/>
    <x v="1"/>
    <s v="S03"/>
    <s v="D02-S03"/>
    <x v="10"/>
    <s v="P01"/>
    <s v="D02-S03-P01"/>
    <x v="65"/>
    <s v="K01"/>
    <s v="Pepekane"/>
  </r>
  <r>
    <s v="D02-S03-P01-K02"/>
    <s v="D02"/>
    <x v="1"/>
    <s v="S03"/>
    <s v="D02-S03"/>
    <x v="10"/>
    <s v="P01"/>
    <s v="D02-S03-P01"/>
    <x v="65"/>
    <s v="K02"/>
    <s v="lagis"/>
  </r>
  <r>
    <s v="D02-S03-P01-K03"/>
    <s v="D02"/>
    <x v="1"/>
    <s v="S03"/>
    <s v="D02-S03"/>
    <x v="10"/>
    <s v="P01"/>
    <s v="D02-S03-P01"/>
    <x v="65"/>
    <s v="K03"/>
    <s v="Tokanen"/>
  </r>
  <r>
    <s v="D02-S03-P01-K04"/>
    <s v="D02"/>
    <x v="1"/>
    <s v="S03"/>
    <s v="D02-S03"/>
    <x v="10"/>
    <s v="P01"/>
    <s v="D02-S03-P01"/>
    <x v="65"/>
    <s v="K04"/>
    <s v="Ded"/>
  </r>
  <r>
    <s v="D02-S03-P01-K05"/>
    <s v="D02"/>
    <x v="1"/>
    <s v="S03"/>
    <s v="D02-S03"/>
    <x v="10"/>
    <s v="P01"/>
    <s v="D02-S03-P01"/>
    <x v="65"/>
    <s v="K05"/>
    <s v="Baiarriatus"/>
  </r>
  <r>
    <s v="D02-S03-P01-K06"/>
    <s v="D02"/>
    <x v="1"/>
    <s v="S03"/>
    <s v="D02-S03"/>
    <x v="10"/>
    <s v="P01"/>
    <s v="D02-S03-P01"/>
    <x v="65"/>
    <s v="K06"/>
    <s v="Kwasapg"/>
  </r>
  <r>
    <s v="D02-S03-P01-K07"/>
    <s v="D02"/>
    <x v="1"/>
    <s v="S03"/>
    <s v="D02-S03"/>
    <x v="10"/>
    <s v="P01"/>
    <s v="D02-S03-P01"/>
    <x v="65"/>
    <s v="K07"/>
    <s v="Zaba"/>
  </r>
  <r>
    <s v="D02-S03-P02-K01"/>
    <s v="D02"/>
    <x v="1"/>
    <s v="S03"/>
    <s v="D02-S03"/>
    <x v="10"/>
    <s v="P02"/>
    <s v="D02-S03-P02"/>
    <x v="66"/>
    <s v="K01"/>
    <s v="Baiyum"/>
  </r>
  <r>
    <s v="D02-S03-P02-K02"/>
    <s v="D02"/>
    <x v="1"/>
    <s v="S03"/>
    <s v="D02-S03"/>
    <x v="10"/>
    <s v="P02"/>
    <s v="D02-S03-P02"/>
    <x v="66"/>
    <s v="K02"/>
    <s v="Bainea"/>
  </r>
  <r>
    <s v="D02-S03-P02-K03"/>
    <s v="D02"/>
    <x v="1"/>
    <s v="S03"/>
    <s v="D02-S03"/>
    <x v="10"/>
    <s v="P02"/>
    <s v="D02-S03-P02"/>
    <x v="66"/>
    <s v="K03"/>
    <s v="Namba 8-1"/>
  </r>
  <r>
    <s v="D02-S03-P02-K04"/>
    <s v="D02"/>
    <x v="1"/>
    <s v="S03"/>
    <s v="D02-S03"/>
    <x v="10"/>
    <s v="P02"/>
    <s v="D02-S03-P02"/>
    <x v="66"/>
    <s v="K04"/>
    <s v="Anamapi"/>
  </r>
  <r>
    <s v="D02-S03-P03-K01"/>
    <s v="D02"/>
    <x v="1"/>
    <s v="S03"/>
    <s v="D02-S03"/>
    <x v="10"/>
    <s v="P03"/>
    <s v="D02-S03-P03"/>
    <x v="67"/>
    <s v="K01"/>
    <s v="Mapos"/>
  </r>
  <r>
    <s v="D02-S03-P03-K02"/>
    <s v="D02"/>
    <x v="1"/>
    <s v="S03"/>
    <s v="D02-S03"/>
    <x v="10"/>
    <s v="P03"/>
    <s v="D02-S03-P03"/>
    <x v="67"/>
    <s v="K02"/>
    <s v="Seunge"/>
  </r>
  <r>
    <s v="D02-S03-P03-K03"/>
    <s v="D02"/>
    <x v="1"/>
    <s v="S03"/>
    <s v="D02-S03"/>
    <x v="10"/>
    <s v="P03"/>
    <s v="D02-S03-P03"/>
    <x v="67"/>
    <s v="K03"/>
    <s v="Sengayo"/>
  </r>
  <r>
    <s v="D02-S03-P03-K04"/>
    <s v="D02"/>
    <x v="1"/>
    <s v="S03"/>
    <s v="D02-S03"/>
    <x v="10"/>
    <s v="P03"/>
    <s v="D02-S03-P03"/>
    <x v="67"/>
    <s v="K04"/>
    <s v="Simbruk"/>
  </r>
  <r>
    <s v="D02-S03-P03-K05"/>
    <s v="D02"/>
    <x v="1"/>
    <s v="S03"/>
    <s v="D02-S03"/>
    <x v="10"/>
    <s v="P03"/>
    <s v="D02-S03-P03"/>
    <x v="67"/>
    <s v="K05"/>
    <s v="Samge"/>
  </r>
  <r>
    <s v="D02-S03-P04-K01"/>
    <s v="D02"/>
    <x v="1"/>
    <s v="S03"/>
    <s v="D02-S03"/>
    <x v="10"/>
    <s v="P04"/>
    <s v="D02-S03-P04"/>
    <x v="68"/>
    <s v="K01"/>
    <s v="Banic?"/>
  </r>
  <r>
    <s v="D02-S03-P04-K02"/>
    <s v="D02"/>
    <x v="1"/>
    <s v="S03"/>
    <s v="D02-S03"/>
    <x v="10"/>
    <s v="P04"/>
    <s v="D02-S03-P04"/>
    <x v="68"/>
    <s v="K02"/>
    <s v="Bowowe?"/>
  </r>
  <r>
    <s v="D02-S03-P04-K03"/>
    <s v="D02"/>
    <x v="1"/>
    <s v="S03"/>
    <s v="D02-S03"/>
    <x v="10"/>
    <s v="P04"/>
    <s v="D02-S03-P04"/>
    <x v="68"/>
    <s v="K03"/>
    <s v="Bogong?"/>
  </r>
  <r>
    <s v="D02-S03-P05-K01"/>
    <s v="D02"/>
    <x v="1"/>
    <s v="S03"/>
    <s v="D02-S03"/>
    <x v="10"/>
    <s v="P05"/>
    <s v="D02-S03-P05"/>
    <x v="69"/>
    <s v="K01"/>
    <s v="Lomlem"/>
  </r>
  <r>
    <s v="D02-S03-P05-K02"/>
    <s v="D02"/>
    <x v="1"/>
    <s v="S03"/>
    <s v="D02-S03"/>
    <x v="10"/>
    <s v="P05"/>
    <s v="D02-S03-P05"/>
    <x v="69"/>
    <s v="K02"/>
    <s v="Dawong"/>
  </r>
  <r>
    <s v="D02-S03-P05-K03"/>
    <s v="D02"/>
    <x v="1"/>
    <s v="S03"/>
    <s v="D02-S03"/>
    <x v="10"/>
    <s v="P05"/>
    <s v="D02-S03-P05"/>
    <x v="69"/>
    <s v="K03"/>
    <s v="Raft"/>
  </r>
  <r>
    <s v="D02-S03-P05-K04"/>
    <s v="D02"/>
    <x v="1"/>
    <s v="S03"/>
    <s v="D02-S03"/>
    <x v="10"/>
    <s v="P05"/>
    <s v="D02-S03-P05"/>
    <x v="69"/>
    <s v="K04"/>
    <s v="Wuner"/>
  </r>
  <r>
    <s v="D02-S03-P06-K01"/>
    <s v="D02"/>
    <x v="1"/>
    <s v="S03"/>
    <s v="D02-S03"/>
    <x v="10"/>
    <s v="P06"/>
    <s v="D02-S03-P06"/>
    <x v="70"/>
    <s v="K01"/>
    <s v="Bungian"/>
  </r>
  <r>
    <s v="D02-S03-P06-K02"/>
    <s v="D02"/>
    <x v="1"/>
    <s v="S03"/>
    <s v="D02-S03"/>
    <x v="10"/>
    <s v="P06"/>
    <s v="D02-S03-P06"/>
    <x v="70"/>
    <s v="K02"/>
    <s v="Wangarn"/>
  </r>
  <r>
    <s v="D02-S03-P06-K03"/>
    <s v="D02"/>
    <x v="1"/>
    <s v="S03"/>
    <s v="D02-S03"/>
    <x v="10"/>
    <s v="P06"/>
    <s v="D02-S03-P06"/>
    <x v="70"/>
    <s v="K03"/>
    <s v="Mabula"/>
  </r>
  <r>
    <s v="D02-S03-P06-K04"/>
    <s v="D02"/>
    <x v="1"/>
    <s v="S03"/>
    <s v="D02-S03"/>
    <x v="10"/>
    <s v="P06"/>
    <s v="D02-S03-P06"/>
    <x v="70"/>
    <s v="K04"/>
    <s v="Moniua"/>
  </r>
  <r>
    <s v="D02-S03-P06-K05"/>
    <s v="D02"/>
    <x v="1"/>
    <s v="S03"/>
    <s v="D02-S03"/>
    <x v="10"/>
    <s v="P06"/>
    <s v="D02-S03-P06"/>
    <x v="70"/>
    <s v="K05"/>
    <s v="Aiejok"/>
  </r>
  <r>
    <s v="D02-S03-P06-K06"/>
    <s v="D02"/>
    <x v="1"/>
    <s v="S03"/>
    <s v="D02-S03"/>
    <x v="10"/>
    <s v="P06"/>
    <s v="D02-S03-P06"/>
    <x v="70"/>
    <s v="K06"/>
    <s v="Apele"/>
  </r>
  <r>
    <s v="D02-S04-P01-K01"/>
    <s v="D02"/>
    <x v="1"/>
    <s v="S04"/>
    <s v="D02-S04"/>
    <x v="11"/>
    <s v="P01"/>
    <s v="D02-S04-P01"/>
    <x v="71"/>
    <s v="K01"/>
    <s v="Emmanuel"/>
  </r>
  <r>
    <s v="D02-S04-P01-K02"/>
    <s v="D02"/>
    <x v="1"/>
    <s v="S04"/>
    <s v="D02-S04"/>
    <x v="11"/>
    <s v="P01"/>
    <s v="D02-S04-P01"/>
    <x v="71"/>
    <s v="K02"/>
    <s v="Singas"/>
  </r>
  <r>
    <s v="D02-S04-P01-K03"/>
    <s v="D02"/>
    <x v="1"/>
    <s v="S04"/>
    <s v="D02-S04"/>
    <x v="11"/>
    <s v="P01"/>
    <s v="D02-S04-P01"/>
    <x v="71"/>
    <s v="K03"/>
    <s v="Awan"/>
  </r>
  <r>
    <s v="D02-S04-P01-K04"/>
    <s v="D02"/>
    <x v="1"/>
    <s v="S04"/>
    <s v="D02-S04"/>
    <x v="11"/>
    <s v="P01"/>
    <s v="D02-S04-P01"/>
    <x v="71"/>
    <s v="K04"/>
    <s v="Onga"/>
  </r>
  <r>
    <s v="D02-S04-P01-K05"/>
    <s v="D02"/>
    <x v="1"/>
    <s v="S04"/>
    <s v="D02-S04"/>
    <x v="11"/>
    <s v="P01"/>
    <s v="D02-S04-P01"/>
    <x v="71"/>
    <s v="K05"/>
    <s v="Ngarubuain"/>
  </r>
  <r>
    <s v="D02-S04-P01-K06"/>
    <s v="D02"/>
    <x v="1"/>
    <s v="S04"/>
    <s v="D02-S04"/>
    <x v="11"/>
    <s v="P01"/>
    <s v="D02-S04-P01"/>
    <x v="71"/>
    <s v="K06"/>
    <s v="Ziaz"/>
  </r>
  <r>
    <s v="D02-S04-P02-K01"/>
    <s v="D02"/>
    <x v="1"/>
    <s v="S04"/>
    <s v="D02-S04"/>
    <x v="11"/>
    <s v="P02"/>
    <s v="D02-S04-P02"/>
    <x v="72"/>
    <s v="K01"/>
    <s v="Yasru"/>
  </r>
  <r>
    <s v="D02-S04-P02-K02"/>
    <s v="D02"/>
    <x v="1"/>
    <s v="S04"/>
    <s v="D02-S04"/>
    <x v="11"/>
    <s v="P02"/>
    <s v="D02-S04-P02"/>
    <x v="72"/>
    <s v="K02"/>
    <s v="Kapakaus"/>
  </r>
  <r>
    <s v="D02-S04-P02-K03"/>
    <s v="D02"/>
    <x v="1"/>
    <s v="S04"/>
    <s v="D02-S04"/>
    <x v="11"/>
    <s v="P02"/>
    <s v="D02-S04-P02"/>
    <x v="72"/>
    <s v="K03"/>
    <s v="Sianga Urint"/>
  </r>
  <r>
    <s v="D02-S04-P02-K04"/>
    <s v="D02"/>
    <x v="1"/>
    <s v="S04"/>
    <s v="D02-S04"/>
    <x v="11"/>
    <s v="P02"/>
    <s v="D02-S04-P02"/>
    <x v="72"/>
    <s v="K04"/>
    <s v="Imani"/>
  </r>
  <r>
    <s v="D02-S04-P02-K05"/>
    <s v="D02"/>
    <x v="1"/>
    <s v="S04"/>
    <s v="D02-S04"/>
    <x v="11"/>
    <s v="P02"/>
    <s v="D02-S04-P02"/>
    <x v="72"/>
    <s v="K05"/>
    <s v="Waisaram"/>
  </r>
  <r>
    <s v="D02-S04-P02-K06"/>
    <s v="D02"/>
    <x v="1"/>
    <s v="S04"/>
    <s v="D02-S04"/>
    <x v="11"/>
    <s v="P02"/>
    <s v="D02-S04-P02"/>
    <x v="72"/>
    <s v="K06"/>
    <s v="Tapa Kainantu"/>
  </r>
  <r>
    <s v="D02-S04-P03-K01"/>
    <s v="D02"/>
    <x v="1"/>
    <s v="S04"/>
    <s v="D02-S04"/>
    <x v="11"/>
    <s v="P03"/>
    <s v="D02-S04-P03"/>
    <x v="73"/>
    <s v="K01"/>
    <s v="Mitsing tari"/>
  </r>
  <r>
    <s v="D02-S04-P03-K02"/>
    <s v="D02"/>
    <x v="1"/>
    <s v="S04"/>
    <s v="D02-S04"/>
    <x v="11"/>
    <s v="P03"/>
    <s v="D02-S04-P03"/>
    <x v="73"/>
    <s v="K02"/>
    <s v="Marafau"/>
  </r>
  <r>
    <s v="D02-S04-P03-K03"/>
    <s v="D02"/>
    <x v="1"/>
    <s v="S04"/>
    <s v="D02-S04"/>
    <x v="11"/>
    <s v="P03"/>
    <s v="D02-S04-P03"/>
    <x v="73"/>
    <s v="K03"/>
    <s v="Zumara 1"/>
  </r>
  <r>
    <s v="D02-S04-P03-K04"/>
    <s v="D02"/>
    <x v="1"/>
    <s v="S04"/>
    <s v="D02-S04"/>
    <x v="11"/>
    <s v="P03"/>
    <s v="D02-S04-P03"/>
    <x v="73"/>
    <s v="K04"/>
    <s v="Zumara 2"/>
  </r>
  <r>
    <s v="D02-S04-P04-K01"/>
    <s v="D02"/>
    <x v="1"/>
    <s v="S04"/>
    <s v="D02-S04"/>
    <x v="11"/>
    <s v="P04"/>
    <s v="D02-S04-P04"/>
    <x v="74"/>
    <s v="K01"/>
    <s v="Rumpa"/>
  </r>
  <r>
    <s v="D02-S04-P04-K02"/>
    <s v="D02"/>
    <x v="1"/>
    <s v="S04"/>
    <s v="D02-S04"/>
    <x v="11"/>
    <s v="P04"/>
    <s v="D02-S04-P04"/>
    <x v="74"/>
    <s v="K02"/>
    <s v="Bawa"/>
  </r>
  <r>
    <s v="D02-S04-P04-K03"/>
    <s v="D02"/>
    <x v="1"/>
    <s v="S04"/>
    <s v="D02-S04"/>
    <x v="11"/>
    <s v="P04"/>
    <s v="D02-S04-P04"/>
    <x v="74"/>
    <s v="K03"/>
    <s v="Hingia"/>
  </r>
  <r>
    <s v="D02-S04-P04-K04"/>
    <s v="D02"/>
    <x v="1"/>
    <s v="S04"/>
    <s v="D02-S04"/>
    <x v="11"/>
    <s v="P04"/>
    <s v="D02-S04-P04"/>
    <x v="74"/>
    <s v="K04"/>
    <s v="Gusap"/>
  </r>
  <r>
    <s v="D02-S04-P04-K05"/>
    <s v="D02"/>
    <x v="1"/>
    <s v="S04"/>
    <s v="D02-S04"/>
    <x v="11"/>
    <s v="P04"/>
    <s v="D02-S04-P04"/>
    <x v="74"/>
    <s v="K05"/>
    <s v="Marabuai"/>
  </r>
  <r>
    <s v="D02-S04-P05-K01"/>
    <s v="D02"/>
    <x v="1"/>
    <s v="S04"/>
    <s v="D02-S04"/>
    <x v="11"/>
    <s v="P05"/>
    <s v="D02-S04-P05"/>
    <x v="75"/>
    <s v="K01"/>
    <s v="Kapra"/>
  </r>
  <r>
    <s v="D02-S04-P05-K02"/>
    <s v="D02"/>
    <x v="1"/>
    <s v="S04"/>
    <s v="D02-S04"/>
    <x v="11"/>
    <s v="P05"/>
    <s v="D02-S04-P05"/>
    <x v="75"/>
    <s v="K02"/>
    <s v="Rangkuian"/>
  </r>
  <r>
    <s v="D02-S04-P05-K03"/>
    <s v="D02"/>
    <x v="1"/>
    <s v="S04"/>
    <s v="D02-S04"/>
    <x v="11"/>
    <s v="P05"/>
    <s v="D02-S04-P05"/>
    <x v="75"/>
    <s v="K03"/>
    <s v="Numbugu"/>
  </r>
  <r>
    <s v="D02-S04-P05-K04"/>
    <s v="D02"/>
    <x v="1"/>
    <s v="S04"/>
    <s v="D02-S04"/>
    <x v="11"/>
    <s v="P05"/>
    <s v="D02-S04-P05"/>
    <x v="75"/>
    <s v="K04"/>
    <s v="Samura"/>
  </r>
  <r>
    <s v="D02-S04-P05-K05"/>
    <s v="D02"/>
    <x v="1"/>
    <s v="S04"/>
    <s v="D02-S04"/>
    <x v="11"/>
    <s v="P05"/>
    <s v="D02-S04-P05"/>
    <x v="75"/>
    <s v="K05"/>
    <s v="Benahe"/>
  </r>
  <r>
    <s v="D02-S04-P06-K01"/>
    <s v="D02"/>
    <x v="1"/>
    <s v="S04"/>
    <s v="D02-S04"/>
    <x v="11"/>
    <s v="P06"/>
    <s v="D02-S04-P06"/>
    <x v="76"/>
    <s v="K01"/>
    <s v="Nawantmaran"/>
  </r>
  <r>
    <s v="D02-S04-P06-K02"/>
    <s v="D02"/>
    <x v="1"/>
    <s v="S04"/>
    <s v="D02-S04"/>
    <x v="11"/>
    <s v="P06"/>
    <s v="D02-S04-P06"/>
    <x v="76"/>
    <s v="K02"/>
    <s v="Amari"/>
  </r>
  <r>
    <s v="D02-S04-P06-K03"/>
    <s v="D02"/>
    <x v="1"/>
    <s v="S04"/>
    <s v="D02-S04"/>
    <x v="11"/>
    <s v="P06"/>
    <s v="D02-S04-P06"/>
    <x v="76"/>
    <s v="K03"/>
    <s v="Samaran"/>
  </r>
  <r>
    <s v="D02-S04-P06-K04"/>
    <s v="D02"/>
    <x v="1"/>
    <s v="S04"/>
    <s v="D02-S04"/>
    <x v="11"/>
    <s v="P06"/>
    <s v="D02-S04-P06"/>
    <x v="76"/>
    <s v="K04"/>
    <s v="Yampua"/>
  </r>
  <r>
    <s v="D02-S04-P06-K05"/>
    <s v="D02"/>
    <x v="1"/>
    <s v="S04"/>
    <s v="D02-S04"/>
    <x v="11"/>
    <s v="P06"/>
    <s v="D02-S04-P06"/>
    <x v="76"/>
    <s v="K05"/>
    <s v="Da-antap"/>
  </r>
  <r>
    <s v="D02-S04-P07-K01"/>
    <s v="D02"/>
    <x v="1"/>
    <s v="S04"/>
    <s v="D02-S04"/>
    <x v="11"/>
    <s v="P07"/>
    <s v="D02-S04-P07"/>
    <x v="77"/>
    <s v="K01"/>
    <s v="St. Kituram"/>
  </r>
  <r>
    <s v="D02-S04-P07-K02"/>
    <s v="D02"/>
    <x v="1"/>
    <s v="S04"/>
    <s v="D02-S04"/>
    <x v="11"/>
    <s v="P07"/>
    <s v="D02-S04-P07"/>
    <x v="77"/>
    <s v="K02"/>
    <s v="Bio"/>
  </r>
  <r>
    <s v="D02-S04-P07-K03"/>
    <s v="D02"/>
    <x v="1"/>
    <s v="S04"/>
    <s v="D02-S04"/>
    <x v="11"/>
    <s v="P07"/>
    <s v="D02-S04-P07"/>
    <x v="77"/>
    <s v="K03"/>
    <s v="Banai"/>
  </r>
  <r>
    <s v="D02-S04-P07-K04"/>
    <s v="D02"/>
    <x v="1"/>
    <s v="S04"/>
    <s v="D02-S04"/>
    <x v="11"/>
    <s v="P07"/>
    <s v="D02-S04-P07"/>
    <x v="77"/>
    <s v="K04"/>
    <s v="Dakarawa"/>
  </r>
  <r>
    <s v="D02-S04-P07-K05"/>
    <s v="D02"/>
    <x v="1"/>
    <s v="S04"/>
    <s v="D02-S04"/>
    <x v="11"/>
    <s v="P07"/>
    <s v="D02-S04-P07"/>
    <x v="77"/>
    <s v="K05"/>
    <s v="Yawa"/>
  </r>
  <r>
    <s v="D02-S04-P08-K01"/>
    <s v="D02"/>
    <x v="1"/>
    <s v="S04"/>
    <s v="D02-S04"/>
    <x v="11"/>
    <s v="P08"/>
    <s v="D02-S04-P08"/>
    <x v="78"/>
    <s v="K01"/>
    <s v="Maiam Zariang"/>
  </r>
  <r>
    <s v="D02-S04-P08-K02"/>
    <s v="D02"/>
    <x v="1"/>
    <s v="S04"/>
    <s v="D02-S04"/>
    <x v="11"/>
    <s v="P08"/>
    <s v="D02-S04-P08"/>
    <x v="78"/>
    <s v="K02"/>
    <s v="Ngaruzaniang"/>
  </r>
  <r>
    <s v="D02-S04-P08-K03"/>
    <s v="D02"/>
    <x v="1"/>
    <s v="S04"/>
    <s v="D02-S04"/>
    <x v="11"/>
    <s v="P08"/>
    <s v="D02-S04-P08"/>
    <x v="78"/>
    <s v="K03"/>
    <s v="Gainarun"/>
  </r>
  <r>
    <s v="D02-S04-P08-K04"/>
    <s v="D02"/>
    <x v="1"/>
    <s v="S04"/>
    <s v="D02-S04"/>
    <x v="11"/>
    <s v="P08"/>
    <s v="D02-S04-P08"/>
    <x v="78"/>
    <s v="K04"/>
    <s v="Tauf Mura"/>
  </r>
  <r>
    <s v="D02-S04-P08-K05"/>
    <s v="D02"/>
    <x v="1"/>
    <s v="S04"/>
    <s v="D02-S04"/>
    <x v="11"/>
    <s v="P08"/>
    <s v="D02-S04-P08"/>
    <x v="78"/>
    <s v="K05"/>
    <s v="Guzuap"/>
  </r>
  <r>
    <s v="D02-S04-P08-K06"/>
    <s v="D02"/>
    <x v="1"/>
    <s v="S04"/>
    <s v="D02-S04"/>
    <x v="11"/>
    <s v="P08"/>
    <s v="D02-S04-P08"/>
    <x v="78"/>
    <s v="K06"/>
    <s v="Yanuf Bantur"/>
  </r>
  <r>
    <s v="D02-S04-P08-K07"/>
    <s v="D02"/>
    <x v="1"/>
    <s v="S04"/>
    <s v="D02-S04"/>
    <x v="11"/>
    <s v="P08"/>
    <s v="D02-S04-P08"/>
    <x v="78"/>
    <s v="K07"/>
    <s v="Intsi"/>
  </r>
  <r>
    <s v="D02-S04-P09-K01"/>
    <s v="D02"/>
    <x v="1"/>
    <s v="S04"/>
    <s v="D02-S04"/>
    <x v="11"/>
    <s v="P09"/>
    <s v="D02-S04-P09"/>
    <x v="79"/>
    <s v="K01"/>
    <s v="Wankung"/>
  </r>
  <r>
    <s v="D02-S04-P09-K02"/>
    <s v="D02"/>
    <x v="1"/>
    <s v="S04"/>
    <s v="D02-S04"/>
    <x v="11"/>
    <s v="P09"/>
    <s v="D02-S04-P09"/>
    <x v="79"/>
    <s v="K02"/>
    <s v="Ragian"/>
  </r>
  <r>
    <s v="D02-S04-P09-K03"/>
    <s v="D02"/>
    <x v="1"/>
    <s v="S04"/>
    <s v="D02-S04"/>
    <x v="11"/>
    <s v="P09"/>
    <s v="D02-S04-P09"/>
    <x v="79"/>
    <s v="K03"/>
    <s v="Ragizumang"/>
  </r>
  <r>
    <s v="D02-S04-P09-K04"/>
    <s v="D02"/>
    <x v="1"/>
    <s v="S04"/>
    <s v="D02-S04"/>
    <x v="11"/>
    <s v="P09"/>
    <s v="D02-S04-P09"/>
    <x v="79"/>
    <s v="K04"/>
    <s v="Ragizaria"/>
  </r>
  <r>
    <s v="D02-S04-P09-K05"/>
    <s v="D02"/>
    <x v="1"/>
    <s v="S04"/>
    <s v="D02-S04"/>
    <x v="11"/>
    <s v="P09"/>
    <s v="D02-S04-P09"/>
    <x v="79"/>
    <s v="K05"/>
    <s v="Watarais"/>
  </r>
  <r>
    <s v="D02-S04-P09-K06"/>
    <s v="D02"/>
    <x v="1"/>
    <s v="S04"/>
    <s v="D02-S04"/>
    <x v="11"/>
    <s v="P09"/>
    <s v="D02-S04-P09"/>
    <x v="79"/>
    <s v="K06"/>
    <s v="Marawasa"/>
  </r>
  <r>
    <s v="D02-S04-P09-K07"/>
    <s v="D02"/>
    <x v="1"/>
    <s v="S04"/>
    <s v="D02-S04"/>
    <x v="11"/>
    <s v="P09"/>
    <s v="D02-S04-P09"/>
    <x v="79"/>
    <s v="K07"/>
    <s v="Marasasa"/>
  </r>
  <r>
    <s v="D02-S04-P10-K01"/>
    <s v="D02"/>
    <x v="1"/>
    <s v="S04"/>
    <s v="D02-S04"/>
    <x v="11"/>
    <s v="P10"/>
    <s v="D02-S04-P10"/>
    <x v="80"/>
    <s v="K01"/>
    <s v="Mutzing Sampubangin"/>
  </r>
  <r>
    <s v="D02-S04-P10-K02"/>
    <s v="D02"/>
    <x v="1"/>
    <s v="S04"/>
    <s v="D02-S04"/>
    <x v="11"/>
    <s v="P10"/>
    <s v="D02-S04-P10"/>
    <x v="80"/>
    <s v="K02"/>
    <s v="Datou Mufins"/>
  </r>
  <r>
    <s v="D02-S04-P10-K03"/>
    <s v="D02"/>
    <x v="1"/>
    <s v="S04"/>
    <s v="D02-S04"/>
    <x v="11"/>
    <s v="P10"/>
    <s v="D02-S04-P10"/>
    <x v="80"/>
    <s v="K03"/>
    <s v="Wampua"/>
  </r>
  <r>
    <s v="D02-S04-P10-K04"/>
    <s v="D02"/>
    <x v="1"/>
    <s v="S04"/>
    <s v="D02-S04"/>
    <x v="11"/>
    <s v="P10"/>
    <s v="D02-S04-P10"/>
    <x v="80"/>
    <s v="K04"/>
    <s v="Sauf Arifran"/>
  </r>
  <r>
    <s v="D02-S04-P10-K05"/>
    <s v="D02"/>
    <x v="1"/>
    <s v="S04"/>
    <s v="D02-S04"/>
    <x v="11"/>
    <s v="P10"/>
    <s v="D02-S04-P10"/>
    <x v="80"/>
    <s v="K05"/>
    <s v="Zumin 1"/>
  </r>
  <r>
    <s v="D02-S04-P10-K06"/>
    <s v="D02"/>
    <x v="1"/>
    <s v="S04"/>
    <s v="D02-S04"/>
    <x v="11"/>
    <s v="P10"/>
    <s v="D02-S04-P10"/>
    <x v="80"/>
    <s v="K06"/>
    <s v="Zumn 2"/>
  </r>
  <r>
    <s v="D02-S04-P10-K07"/>
    <s v="D02"/>
    <x v="1"/>
    <s v="S04"/>
    <s v="D02-S04"/>
    <x v="11"/>
    <s v="P10"/>
    <s v="D02-S04-P10"/>
    <x v="80"/>
    <s v="K07"/>
    <s v="Anga Afiang"/>
  </r>
  <r>
    <s v="D02-S04-P11-K01"/>
    <s v="D02"/>
    <x v="1"/>
    <s v="S04"/>
    <s v="D02-S04"/>
    <x v="11"/>
    <s v="P11"/>
    <s v="D02-S04-P11"/>
    <x v="81"/>
    <s v="K01"/>
    <s v="Ufuaf"/>
  </r>
  <r>
    <s v="D02-S04-P11-K02"/>
    <s v="D02"/>
    <x v="1"/>
    <s v="S04"/>
    <s v="D02-S04"/>
    <x v="11"/>
    <s v="P11"/>
    <s v="D02-S04-P11"/>
    <x v="81"/>
    <s v="K02"/>
    <s v="Sauruan"/>
  </r>
  <r>
    <s v="D02-S04-P11-K03"/>
    <s v="D02"/>
    <x v="1"/>
    <s v="S04"/>
    <s v="D02-S04"/>
    <x v="11"/>
    <s v="P11"/>
    <s v="D02-S04-P11"/>
    <x v="81"/>
    <s v="K03"/>
    <s v="Ragidumpiat"/>
  </r>
  <r>
    <s v="D02-S04-P12-K01"/>
    <s v="D02"/>
    <x v="1"/>
    <s v="S04"/>
    <s v="D02-S04"/>
    <x v="11"/>
    <s v="P12"/>
    <s v="D02-S04-P12"/>
    <x v="82"/>
    <s v="K01"/>
    <s v="Yatsing"/>
  </r>
  <r>
    <s v="D02-S04-P12-K02"/>
    <s v="D02"/>
    <x v="1"/>
    <s v="S04"/>
    <s v="D02-S04"/>
    <x v="11"/>
    <s v="P12"/>
    <s v="D02-S04-P12"/>
    <x v="82"/>
    <s v="K02"/>
    <s v="Izingants"/>
  </r>
  <r>
    <s v="D02-S04-P12-K03"/>
    <s v="D02"/>
    <x v="1"/>
    <s v="S04"/>
    <s v="D02-S04"/>
    <x v="11"/>
    <s v="P12"/>
    <s v="D02-S04-P12"/>
    <x v="82"/>
    <s v="K03"/>
    <s v="Guruf"/>
  </r>
  <r>
    <s v="D02-S04-P12-K04"/>
    <s v="D02"/>
    <x v="1"/>
    <s v="S04"/>
    <s v="D02-S04"/>
    <x v="11"/>
    <s v="P12"/>
    <s v="D02-S04-P12"/>
    <x v="82"/>
    <s v="K04"/>
    <s v="Antil"/>
  </r>
  <r>
    <s v="D02-S04-P12-K05"/>
    <s v="D02"/>
    <x v="1"/>
    <s v="S04"/>
    <s v="D02-S04"/>
    <x v="11"/>
    <s v="P12"/>
    <s v="D02-S04-P12"/>
    <x v="82"/>
    <s v="K05"/>
    <s v="Yanuf "/>
  </r>
  <r>
    <s v="D02-S04-P12-K06"/>
    <s v="D02"/>
    <x v="1"/>
    <s v="S04"/>
    <s v="D02-S04"/>
    <x v="11"/>
    <s v="P12"/>
    <s v="D02-S04-P12"/>
    <x v="82"/>
    <s v="K06"/>
    <s v="Naruwain"/>
  </r>
  <r>
    <s v="D02-S05-P01-K01"/>
    <s v="D02"/>
    <x v="1"/>
    <s v="S05"/>
    <s v="D02-S05"/>
    <x v="12"/>
    <s v="P01"/>
    <s v="D02-S05-P01"/>
    <x v="83"/>
    <s v="K01"/>
    <s v="Apataiwa"/>
  </r>
  <r>
    <s v="D02-S05-P01-K02"/>
    <s v="D02"/>
    <x v="1"/>
    <s v="S05"/>
    <s v="D02-S05"/>
    <x v="12"/>
    <s v="P01"/>
    <s v="D02-S05-P01"/>
    <x v="83"/>
    <s v="K02"/>
    <s v="Yoi"/>
  </r>
  <r>
    <s v="D02-S05-P01-K03"/>
    <s v="D02"/>
    <x v="1"/>
    <s v="S05"/>
    <s v="D02-S05"/>
    <x v="12"/>
    <s v="P01"/>
    <s v="D02-S05-P01"/>
    <x v="83"/>
    <s v="K03"/>
    <s v="Wapi"/>
  </r>
  <r>
    <s v="D02-S05-P01-K04"/>
    <s v="D02"/>
    <x v="1"/>
    <s v="S05"/>
    <s v="D02-S05"/>
    <x v="12"/>
    <s v="P01"/>
    <s v="D02-S05-P01"/>
    <x v="83"/>
    <s v="K04"/>
    <s v="Paiya"/>
  </r>
  <r>
    <s v="D02-S05-P01-K05"/>
    <s v="D02"/>
    <x v="1"/>
    <s v="S05"/>
    <s v="D02-S05"/>
    <x v="12"/>
    <s v="P01"/>
    <s v="D02-S05-P01"/>
    <x v="83"/>
    <s v="K05"/>
    <s v="Imewelu"/>
  </r>
  <r>
    <s v="D02-S05-P01-K06"/>
    <s v="D02"/>
    <x v="1"/>
    <s v="S05"/>
    <s v="D02-S05"/>
    <x v="12"/>
    <s v="P01"/>
    <s v="D02-S05-P01"/>
    <x v="83"/>
    <s v="K06"/>
    <s v="Kamaini"/>
  </r>
  <r>
    <s v="D02-S05-P01-K07"/>
    <s v="D02"/>
    <x v="1"/>
    <s v="S05"/>
    <s v="D02-S05"/>
    <x v="12"/>
    <s v="P01"/>
    <s v="D02-S05-P01"/>
    <x v="83"/>
    <s v="K07"/>
    <s v="Wiawo"/>
  </r>
  <r>
    <s v="D02-S05-P02-K01"/>
    <s v="D02"/>
    <x v="1"/>
    <s v="S05"/>
    <s v="D02-S05"/>
    <x v="12"/>
    <s v="P02"/>
    <s v="D02-S05-P02"/>
    <x v="83"/>
    <s v="K01"/>
    <s v="Ikose"/>
  </r>
  <r>
    <s v="D02-S05-P02-K02"/>
    <s v="D02"/>
    <x v="1"/>
    <s v="S05"/>
    <s v="D02-S05"/>
    <x v="12"/>
    <s v="P02"/>
    <s v="D02-S05-P02"/>
    <x v="84"/>
    <s v="K02"/>
    <s v="Tembit"/>
  </r>
  <r>
    <s v="D02-S05-P02-K03"/>
    <s v="D02"/>
    <x v="1"/>
    <s v="S05"/>
    <s v="D02-S05"/>
    <x v="12"/>
    <s v="P02"/>
    <s v="D02-S05-P02"/>
    <x v="84"/>
    <s v="K03"/>
    <s v="Hakia"/>
  </r>
  <r>
    <s v="D02-S05-P02-K04"/>
    <s v="D02"/>
    <x v="1"/>
    <s v="S05"/>
    <s v="D02-S05"/>
    <x v="12"/>
    <s v="P02"/>
    <s v="D02-S05-P02"/>
    <x v="84"/>
    <s v="K04"/>
    <s v="Kaitanga"/>
  </r>
  <r>
    <s v="D02-S05-P02-K05"/>
    <s v="D02"/>
    <x v="1"/>
    <s v="S05"/>
    <s v="D02-S05"/>
    <x v="12"/>
    <s v="P02"/>
    <s v="D02-S05-P02"/>
    <x v="84"/>
    <s v="K05"/>
    <s v="Yambona"/>
  </r>
  <r>
    <s v="D02-S05-P03-K01"/>
    <s v="D02"/>
    <x v="1"/>
    <s v="S05"/>
    <s v="D02-S05"/>
    <x v="12"/>
    <s v="P03"/>
    <s v="D02-S05-P03"/>
    <x v="85"/>
    <s v="K01"/>
    <s v="Ambuini"/>
  </r>
  <r>
    <s v="D02-S05-P03-K02"/>
    <s v="D02"/>
    <x v="1"/>
    <s v="S05"/>
    <s v="D02-S05"/>
    <x v="12"/>
    <s v="P03"/>
    <s v="D02-S05-P03"/>
    <x v="85"/>
    <s v="K02"/>
    <s v="Wembango"/>
  </r>
  <r>
    <s v="D02-S05-P03-K03"/>
    <s v="D02"/>
    <x v="1"/>
    <s v="S05"/>
    <s v="D02-S05"/>
    <x v="12"/>
    <s v="P03"/>
    <s v="D02-S05-P03"/>
    <x v="85"/>
    <s v="K03"/>
    <s v="Ambia"/>
  </r>
  <r>
    <s v="D02-S05-P03-K04"/>
    <s v="D02"/>
    <x v="1"/>
    <s v="S05"/>
    <s v="D02-S05"/>
    <x v="12"/>
    <s v="P03"/>
    <s v="D02-S05-P03"/>
    <x v="85"/>
    <s v="K04"/>
    <s v="Titamng"/>
  </r>
  <r>
    <s v="D02-S05-P03-K05"/>
    <s v="D02"/>
    <x v="1"/>
    <s v="S05"/>
    <s v="D02-S05"/>
    <x v="12"/>
    <s v="P03"/>
    <s v="D02-S05-P03"/>
    <x v="85"/>
    <s v="K05"/>
    <s v="Kaingo"/>
  </r>
  <r>
    <s v="D02-S05-P04-K01"/>
    <s v="D02"/>
    <x v="1"/>
    <s v="S05"/>
    <s v="D02-S05"/>
    <x v="12"/>
    <s v="P04"/>
    <s v="D02-S05-P04"/>
    <x v="86"/>
    <s v="K01"/>
    <s v="Karanao"/>
  </r>
  <r>
    <s v="D02-S05-P04-K02"/>
    <s v="D02"/>
    <x v="1"/>
    <s v="S05"/>
    <s v="D02-S05"/>
    <x v="12"/>
    <s v="P04"/>
    <s v="D02-S05-P04"/>
    <x v="86"/>
    <s v="K02"/>
    <s v="Hatamanoe"/>
  </r>
  <r>
    <s v="D02-S05-P04-K03"/>
    <s v="D02"/>
    <x v="1"/>
    <s v="S05"/>
    <s v="D02-S05"/>
    <x v="12"/>
    <s v="P04"/>
    <s v="D02-S05-P04"/>
    <x v="86"/>
    <s v="K03"/>
    <s v="Sombiawa"/>
  </r>
  <r>
    <s v="D02-S05-P04-K04"/>
    <s v="D02"/>
    <x v="1"/>
    <s v="S05"/>
    <s v="D02-S05"/>
    <x v="12"/>
    <s v="P04"/>
    <s v="D02-S05-P04"/>
    <x v="86"/>
    <s v="K04"/>
    <s v="Ipaya"/>
  </r>
  <r>
    <s v="D02-S05-P04-K05"/>
    <s v="D02"/>
    <x v="1"/>
    <s v="S05"/>
    <s v="D02-S05"/>
    <x v="12"/>
    <s v="P04"/>
    <s v="D02-S05-P04"/>
    <x v="86"/>
    <s v="K05"/>
    <s v="Umdanu"/>
  </r>
  <r>
    <s v="D02-S05-P04-K06"/>
    <s v="D02"/>
    <x v="1"/>
    <s v="S05"/>
    <s v="D02-S05"/>
    <x v="12"/>
    <s v="P04"/>
    <s v="D02-S05-P04"/>
    <x v="86"/>
    <s v="K06"/>
    <s v="hatapaiwa"/>
  </r>
  <r>
    <s v="D02-S05-P04-K07"/>
    <s v="D02"/>
    <x v="1"/>
    <s v="S05"/>
    <s v="D02-S05"/>
    <x v="12"/>
    <s v="P04"/>
    <s v="D02-S05-P04"/>
    <x v="86"/>
    <s v="K07"/>
    <s v="Nanga paiwa"/>
  </r>
  <r>
    <s v="D02-S05-P04-K08"/>
    <s v="D02"/>
    <x v="1"/>
    <s v="S05"/>
    <s v="D02-S05"/>
    <x v="12"/>
    <s v="P04"/>
    <s v="D02-S05-P04"/>
    <x v="86"/>
    <s v="K08"/>
    <s v="Ania"/>
  </r>
  <r>
    <s v="D02-S05-P04-K09"/>
    <s v="D02"/>
    <x v="1"/>
    <s v="S05"/>
    <s v="D02-S05"/>
    <x v="12"/>
    <s v="P04"/>
    <s v="D02-S05-P04"/>
    <x v="86"/>
    <s v="K09"/>
    <s v="Yandati"/>
  </r>
  <r>
    <s v="D02-S05-P04-K10"/>
    <s v="D02"/>
    <x v="1"/>
    <s v="S05"/>
    <s v="D02-S05"/>
    <x v="12"/>
    <s v="P04"/>
    <s v="D02-S05-P04"/>
    <x v="86"/>
    <s v="K10"/>
    <s v="Uju"/>
  </r>
  <r>
    <s v="D02-S05-P04-K11"/>
    <s v="D02"/>
    <x v="1"/>
    <s v="S05"/>
    <s v="D02-S05"/>
    <x v="12"/>
    <s v="P04"/>
    <s v="D02-S05-P04"/>
    <x v="86"/>
    <s v="K11"/>
    <s v="Hologe"/>
  </r>
  <r>
    <s v="D02-S05-P04-K12"/>
    <s v="D02"/>
    <x v="1"/>
    <s v="S05"/>
    <s v="D02-S05"/>
    <x v="12"/>
    <s v="P04"/>
    <s v="D02-S05-P04"/>
    <x v="86"/>
    <s v="K12"/>
    <s v="Kopiawo"/>
  </r>
  <r>
    <s v="D02-S05-P04-K13"/>
    <s v="D02"/>
    <x v="1"/>
    <s v="S05"/>
    <s v="D02-S05"/>
    <x v="12"/>
    <s v="P04"/>
    <s v="D02-S05-P04"/>
    <x v="86"/>
    <s v="K13"/>
    <s v="Naina"/>
  </r>
  <r>
    <s v="D02-S05-P04-K14"/>
    <s v="D02"/>
    <x v="1"/>
    <s v="S05"/>
    <s v="D02-S05"/>
    <x v="12"/>
    <s v="P04"/>
    <s v="D02-S05-P04"/>
    <x v="86"/>
    <s v="K14"/>
    <s v="Heungua"/>
  </r>
  <r>
    <s v="D02-S05-P04-K15"/>
    <s v="D02"/>
    <x v="1"/>
    <s v="S05"/>
    <s v="D02-S05"/>
    <x v="12"/>
    <s v="P04"/>
    <s v="D02-S05-P04"/>
    <x v="86"/>
    <s v="K15"/>
    <s v="Pau"/>
  </r>
  <r>
    <s v="D02-S05-P04-K16"/>
    <s v="D02"/>
    <x v="1"/>
    <s v="S05"/>
    <s v="D02-S05"/>
    <x v="12"/>
    <s v="P04"/>
    <s v="D02-S05-P04"/>
    <x v="86"/>
    <s v="K16"/>
    <s v="Imaniba"/>
  </r>
  <r>
    <s v="D02-S05-P04-K17"/>
    <s v="D02"/>
    <x v="1"/>
    <s v="S05"/>
    <s v="D02-S05"/>
    <x v="12"/>
    <s v="P04"/>
    <s v="D02-S05-P04"/>
    <x v="86"/>
    <s v="K17"/>
    <s v="Iwaina"/>
  </r>
  <r>
    <s v="D02-S05-P04-K18"/>
    <s v="D02"/>
    <x v="1"/>
    <s v="S05"/>
    <s v="D02-S05"/>
    <x v="12"/>
    <s v="P04"/>
    <s v="D02-S05-P04"/>
    <x v="86"/>
    <s v="K18"/>
    <s v="Awakawa"/>
  </r>
  <r>
    <s v="D02-S06-P03-K01"/>
    <s v="D02"/>
    <x v="1"/>
    <s v="S06"/>
    <s v="D02-S06"/>
    <x v="13"/>
    <s v="P03"/>
    <s v="D02-S06-P03"/>
    <x v="87"/>
    <s v="K01"/>
    <s v="Grin (Tapiok maket – Polis bareks)"/>
  </r>
  <r>
    <s v="D02-S06-P03-K02"/>
    <s v="D02"/>
    <x v="1"/>
    <s v="S06"/>
    <s v="D02-S06"/>
    <x v="13"/>
    <s v="P03"/>
    <s v="D02-S06-P03"/>
    <x v="87"/>
    <s v="K02"/>
    <s v="Blu (Keysser – LBM)"/>
  </r>
  <r>
    <s v="D02-S06-P03-K03"/>
    <s v="D02"/>
    <x v="1"/>
    <s v="S06"/>
    <s v="D02-S06"/>
    <x v="13"/>
    <s v="P03"/>
    <s v="D02-S06-P03"/>
    <x v="87"/>
    <s v="K03"/>
    <s v="Braun ( Polis Bareks – 140 Klab)"/>
  </r>
  <r>
    <s v="D02-S06-P03-K04"/>
    <s v="D02"/>
    <x v="1"/>
    <s v="S06"/>
    <s v="D02-S06"/>
    <x v="13"/>
    <s v="P03"/>
    <s v="D02-S06-P03"/>
    <x v="87"/>
    <s v="K04"/>
    <s v="Yello (PTC College – 140 Klab)"/>
  </r>
  <r>
    <s v="D02-S06-P06-K01"/>
    <s v="D02"/>
    <x v="1"/>
    <s v="S06"/>
    <s v="D02-S06"/>
    <x v="13"/>
    <s v="P06"/>
    <s v="D02-S06-P06"/>
    <x v="88"/>
    <s v="K01"/>
    <s v="Grup 1"/>
  </r>
  <r>
    <s v="D02-S06-P06-K02"/>
    <s v="D02"/>
    <x v="1"/>
    <s v="S06"/>
    <s v="D02-S06"/>
    <x v="13"/>
    <s v="P06"/>
    <s v="D02-S06-P06"/>
    <x v="88"/>
    <s v="K02"/>
    <s v="Grup 2"/>
  </r>
  <r>
    <s v="D02-S06-P06-K03"/>
    <s v="D02"/>
    <x v="1"/>
    <s v="S06"/>
    <s v="D02-S06"/>
    <x v="13"/>
    <s v="P06"/>
    <s v="D02-S06-P06"/>
    <x v="88"/>
    <s v="K03"/>
    <s v="Grup 3"/>
  </r>
  <r>
    <s v="D02-S06-P09-K01"/>
    <s v="D02"/>
    <x v="1"/>
    <s v="S06"/>
    <s v="D02-S06"/>
    <x v="13"/>
    <s v="P09"/>
    <s v="D02-S06-P09"/>
    <x v="89"/>
    <s v="K01"/>
    <s v="Pikinini Mumeng"/>
  </r>
  <r>
    <s v="D02-S06-P09-K02"/>
    <s v="D02"/>
    <x v="1"/>
    <s v="S06"/>
    <s v="D02-S06"/>
    <x v="13"/>
    <s v="P09"/>
    <s v="D02-S06-P09"/>
    <x v="90"/>
    <s v="K02"/>
    <s v="Kate"/>
  </r>
  <r>
    <s v="D02-S06-P09-K03"/>
    <s v="D02"/>
    <x v="1"/>
    <s v="S06"/>
    <s v="D02-S06"/>
    <x v="13"/>
    <s v="P09"/>
    <s v="D02-S06-P09"/>
    <x v="90"/>
    <s v="K03"/>
    <s v="Gidisa"/>
  </r>
  <r>
    <s v="D02-S06-P13-K01"/>
    <s v="D02"/>
    <x v="1"/>
    <s v="S06"/>
    <s v="D02-S06"/>
    <x v="13"/>
    <s v="P13"/>
    <s v="D02-S06-P13"/>
    <x v="91"/>
    <s v="K01"/>
    <s v="Busu"/>
  </r>
  <r>
    <s v="D02-S06-P13-K02"/>
    <s v="D02"/>
    <x v="1"/>
    <s v="S06"/>
    <s v="D02-S06"/>
    <x v="13"/>
    <s v="P13"/>
    <s v="D02-S06-P13"/>
    <x v="91"/>
    <s v="K02"/>
    <s v="Poasang"/>
  </r>
  <r>
    <s v="D02-S06-P13-K03"/>
    <s v="D02"/>
    <x v="1"/>
    <s v="S06"/>
    <s v="D02-S06"/>
    <x v="13"/>
    <s v="P13"/>
    <s v="D02-S06-P13"/>
    <x v="91"/>
    <s v="K03"/>
    <s v="Tohem"/>
  </r>
  <r>
    <s v="D02-S06-P13-K04"/>
    <s v="D02"/>
    <x v="1"/>
    <s v="S06"/>
    <s v="D02-S06"/>
    <x v="13"/>
    <s v="P13"/>
    <s v="D02-S06-P13"/>
    <x v="91"/>
    <s v="K04"/>
    <s v="Kirap Bek"/>
  </r>
  <r>
    <s v="D02-S06-P13-K05"/>
    <s v="D02"/>
    <x v="1"/>
    <s v="S06"/>
    <s v="D02-S06"/>
    <x v="13"/>
    <s v="P13"/>
    <s v="D02-S06-P13"/>
    <x v="91"/>
    <s v="K05"/>
    <s v="Marham"/>
  </r>
  <r>
    <s v="D02-S06-P13-K06"/>
    <s v="D02"/>
    <x v="1"/>
    <s v="S06"/>
    <s v="D02-S06"/>
    <x v="13"/>
    <s v="P13"/>
    <s v="D02-S06-P13"/>
    <x v="91"/>
    <s v="K06"/>
    <s v="Boana"/>
  </r>
  <r>
    <s v="D02-S06-P14-K01"/>
    <s v="D02"/>
    <x v="1"/>
    <s v="S06"/>
    <s v="D02-S06"/>
    <x v="13"/>
    <s v="P14"/>
    <s v="D02-S06-P14"/>
    <x v="92"/>
    <s v="K01"/>
    <s v="Komesel"/>
  </r>
  <r>
    <s v="D02-S06-P14-K02"/>
    <s v="D02"/>
    <x v="1"/>
    <s v="S06"/>
    <s v="D02-S06"/>
    <x v="13"/>
    <s v="P14"/>
    <s v="D02-S06-P14"/>
    <x v="92"/>
    <s v="K02"/>
    <s v="Kate"/>
  </r>
  <r>
    <s v="D02-S06-P14-K03"/>
    <s v="D02"/>
    <x v="1"/>
    <s v="S06"/>
    <s v="D02-S06"/>
    <x v="13"/>
    <s v="P14"/>
    <s v="D02-S06-P14"/>
    <x v="92"/>
    <s v="K03"/>
    <s v="Hube Memorial"/>
  </r>
  <r>
    <s v="D02-S06-P16-K01"/>
    <s v="D02"/>
    <x v="1"/>
    <s v="S06"/>
    <s v="D02-S06"/>
    <x v="13"/>
    <s v="P16"/>
    <s v="D02-S06-P16"/>
    <x v="93"/>
    <s v="K01"/>
    <s v="Resurrection"/>
  </r>
  <r>
    <s v="D02-S06-P16-K02"/>
    <s v="D02"/>
    <x v="1"/>
    <s v="S06"/>
    <s v="D02-S06"/>
    <x v="13"/>
    <s v="P16"/>
    <s v="D02-S06-P16"/>
    <x v="93"/>
    <s v="K02"/>
    <s v="Budabut"/>
  </r>
  <r>
    <s v="D02-S07-P01-K01"/>
    <s v="D02"/>
    <x v="1"/>
    <s v="S07"/>
    <s v="D02-S07"/>
    <x v="14"/>
    <s v="P01"/>
    <s v="D02-S07-P01"/>
    <x v="94"/>
    <s v="K01"/>
    <s v="Kemen"/>
  </r>
  <r>
    <s v="D02-S07-P01-K02"/>
    <s v="D02"/>
    <x v="1"/>
    <s v="S07"/>
    <s v="D02-S07"/>
    <x v="14"/>
    <s v="P01"/>
    <s v="D02-S07-P01"/>
    <x v="94"/>
    <s v="K02"/>
    <s v="Bambok"/>
  </r>
  <r>
    <s v="D02-S07-P01-K03"/>
    <s v="D02"/>
    <x v="1"/>
    <s v="S07"/>
    <s v="D02-S07"/>
    <x v="14"/>
    <s v="P01"/>
    <s v="D02-S07-P01"/>
    <x v="94"/>
    <s v="K03"/>
    <s v="Lambaip"/>
  </r>
  <r>
    <s v="D02-S07-P01-K04"/>
    <s v="D02"/>
    <x v="1"/>
    <s v="S07"/>
    <s v="D02-S07"/>
    <x v="14"/>
    <s v="P01"/>
    <s v="D02-S07-P01"/>
    <x v="94"/>
    <s v="K04"/>
    <s v="Kwewiling"/>
  </r>
  <r>
    <s v="D02-S07-P02-K01"/>
    <s v="D02"/>
    <x v="1"/>
    <s v="S07"/>
    <s v="D02-S07"/>
    <x v="14"/>
    <s v="P02"/>
    <s v="D02-S07-P02"/>
    <x v="95"/>
    <s v="K01"/>
    <s v="Yalu"/>
  </r>
  <r>
    <s v="D02-S07-P02-K02"/>
    <s v="D02"/>
    <x v="1"/>
    <s v="S07"/>
    <s v="D02-S07"/>
    <x v="14"/>
    <s v="P02"/>
    <s v="D02-S07-P02"/>
    <x v="95"/>
    <s v="K02"/>
    <s v="Emmanuel"/>
  </r>
  <r>
    <s v="D02-S07-P02-K03"/>
    <s v="D02"/>
    <x v="1"/>
    <s v="S07"/>
    <s v="D02-S07"/>
    <x v="14"/>
    <s v="P02"/>
    <s v="D02-S07-P02"/>
    <x v="95"/>
    <s v="K03"/>
    <s v="Wara Kalap"/>
  </r>
  <r>
    <s v="D02-S07-P03-K01"/>
    <s v="D02"/>
    <x v="1"/>
    <s v="S07"/>
    <s v="D02-S07"/>
    <x v="14"/>
    <s v="P03"/>
    <s v="D02-S07-P03"/>
    <x v="96"/>
    <s v="K01"/>
    <s v="Monakasat"/>
  </r>
  <r>
    <s v="D02-S07-P03-K02"/>
    <s v="D02"/>
    <x v="1"/>
    <s v="S07"/>
    <s v="D02-S07"/>
    <x v="14"/>
    <s v="P03"/>
    <s v="D02-S07-P03"/>
    <x v="96"/>
    <s v="K02"/>
    <s v="Tunam"/>
  </r>
  <r>
    <s v="D02-S07-P03-K03"/>
    <s v="D02"/>
    <x v="1"/>
    <s v="S07"/>
    <s v="D02-S07"/>
    <x v="14"/>
    <s v="P03"/>
    <s v="D02-S07-P03"/>
    <x v="96"/>
    <s v="K03"/>
    <s v="Gumbum"/>
  </r>
  <r>
    <s v="D02-S07-P03-K04"/>
    <s v="D02"/>
    <x v="1"/>
    <s v="S07"/>
    <s v="D02-S07"/>
    <x v="14"/>
    <s v="P03"/>
    <s v="D02-S07-P03"/>
    <x v="96"/>
    <s v="K04"/>
    <s v="Karau"/>
  </r>
  <r>
    <s v="D02-S07-P03-K05"/>
    <s v="D02"/>
    <x v="1"/>
    <s v="S07"/>
    <s v="D02-S07"/>
    <x v="14"/>
    <s v="P03"/>
    <s v="D02-S07-P03"/>
    <x v="96"/>
    <s v="K05"/>
    <s v="Nambut"/>
  </r>
  <r>
    <s v="D02-S07-P04-K01"/>
    <s v="D02"/>
    <x v="1"/>
    <s v="S07"/>
    <s v="D02-S07"/>
    <x v="14"/>
    <s v="P04"/>
    <s v="D02-S07-P04"/>
    <x v="97"/>
    <s v="K01"/>
    <s v="Busu Mountain"/>
  </r>
  <r>
    <s v="D02-S07-P04-K02"/>
    <s v="D02"/>
    <x v="1"/>
    <s v="S07"/>
    <s v="D02-S07"/>
    <x v="14"/>
    <s v="P04"/>
    <s v="D02-S07-P04"/>
    <x v="97"/>
    <s v="K02"/>
    <s v="Bumbi"/>
  </r>
  <r>
    <s v="D02-S07-P04-K03"/>
    <s v="D02"/>
    <x v="1"/>
    <s v="S07"/>
    <s v="D02-S07"/>
    <x v="14"/>
    <s v="P04"/>
    <s v="D02-S07-P04"/>
    <x v="97"/>
    <s v="K03"/>
    <s v="Poahom"/>
  </r>
  <r>
    <s v="D02-S07-P04-K04"/>
    <s v="D02"/>
    <x v="1"/>
    <s v="S07"/>
    <s v="D02-S07"/>
    <x v="14"/>
    <s v="P04"/>
    <s v="D02-S07-P04"/>
    <x v="97"/>
    <s v="K04"/>
    <s v="Musamu"/>
  </r>
  <r>
    <s v="D02-S07-P04-K05"/>
    <s v="D02"/>
    <x v="1"/>
    <s v="S07"/>
    <s v="D02-S07"/>
    <x v="14"/>
    <s v="P04"/>
    <s v="D02-S07-P04"/>
    <x v="97"/>
    <s v="K05"/>
    <s v="Laskunai"/>
  </r>
  <r>
    <s v="D02-S07-P05-K01"/>
    <s v="D02"/>
    <x v="1"/>
    <s v="S07"/>
    <s v="D02-S07"/>
    <x v="14"/>
    <s v="P05"/>
    <s v="D02-S07-P05"/>
    <x v="98"/>
    <s v="K01"/>
    <s v="Gejamalu"/>
  </r>
  <r>
    <s v="D02-S07-P05-K02"/>
    <s v="D02"/>
    <x v="1"/>
    <s v="S07"/>
    <s v="D02-S07"/>
    <x v="14"/>
    <s v="P05"/>
    <s v="D02-S07-P05"/>
    <x v="98"/>
    <s v="K02"/>
    <s v="Seken Seven"/>
  </r>
  <r>
    <s v="D02-S07-P05-K03"/>
    <s v="D02"/>
    <x v="1"/>
    <s v="S07"/>
    <s v="D02-S07"/>
    <x v="14"/>
    <s v="P05"/>
    <s v="D02-S07-P05"/>
    <x v="98"/>
    <s v="K03"/>
    <s v="Hobu"/>
  </r>
  <r>
    <s v="D02-S07-P05-K04"/>
    <s v="D02"/>
    <x v="1"/>
    <s v="S07"/>
    <s v="D02-S07"/>
    <x v="14"/>
    <s v="P05"/>
    <s v="D02-S07-P05"/>
    <x v="98"/>
    <s v="K04"/>
    <s v="Sios Graun"/>
  </r>
  <r>
    <s v="D02-S07-P05-K05"/>
    <s v="D02"/>
    <x v="1"/>
    <s v="S07"/>
    <s v="D02-S07"/>
    <x v="14"/>
    <s v="P05"/>
    <s v="D02-S07-P05"/>
    <x v="98"/>
    <s v="K05"/>
    <s v="Kamsiling"/>
  </r>
  <r>
    <s v="D02-S07-P05-K06"/>
    <s v="D02"/>
    <x v="1"/>
    <s v="S07"/>
    <s v="D02-S07"/>
    <x v="14"/>
    <s v="P05"/>
    <s v="D02-S07-P05"/>
    <x v="98"/>
    <s v="K06"/>
    <s v="Abong"/>
  </r>
  <r>
    <s v="D02-S07-P05-K07"/>
    <s v="D02"/>
    <x v="1"/>
    <s v="S07"/>
    <s v="D02-S07"/>
    <x v="14"/>
    <s v="P05"/>
    <s v="D02-S07-P05"/>
    <x v="98"/>
    <s v="K07"/>
    <s v="Bumayong"/>
  </r>
  <r>
    <s v="D02-S07-P06-K01"/>
    <s v="D02"/>
    <x v="1"/>
    <s v="S07"/>
    <s v="D02-S07"/>
    <x v="14"/>
    <s v="P06"/>
    <s v="D02-S07-P06"/>
    <x v="99"/>
    <s v="K01"/>
    <s v="Poaba"/>
  </r>
  <r>
    <s v="D02-S07-P06-K02"/>
    <s v="D02"/>
    <x v="1"/>
    <s v="S07"/>
    <s v="D02-S07"/>
    <x v="14"/>
    <s v="P06"/>
    <s v="D02-S07-P06"/>
    <x v="99"/>
    <s v="K02"/>
    <s v="Dedua"/>
  </r>
  <r>
    <s v="D02-S07-P06-K03"/>
    <s v="D02"/>
    <x v="1"/>
    <s v="S07"/>
    <s v="D02-S07"/>
    <x v="14"/>
    <s v="P06"/>
    <s v="D02-S07-P06"/>
    <x v="99"/>
    <s v="K03"/>
    <s v="Sembaziwaari"/>
  </r>
  <r>
    <s v="D02-S07-P07-K01"/>
    <s v="D02"/>
    <x v="1"/>
    <s v="S07"/>
    <s v="D02-S07"/>
    <x v="14"/>
    <s v="P07"/>
    <s v="D02-S07-P07"/>
    <x v="100"/>
    <s v="K01"/>
    <s v="Musom"/>
  </r>
  <r>
    <s v="D02-S07-P07-K02"/>
    <s v="D02"/>
    <x v="1"/>
    <s v="S07"/>
    <s v="D02-S07"/>
    <x v="14"/>
    <s v="P07"/>
    <s v="D02-S07-P07"/>
    <x v="100"/>
    <s v="K02"/>
    <s v="Kopsanek"/>
  </r>
  <r>
    <s v="D02-S07-P07-K03"/>
    <s v="D02"/>
    <x v="1"/>
    <s v="S07"/>
    <s v="D02-S07"/>
    <x v="14"/>
    <s v="P07"/>
    <s v="D02-S07-P07"/>
    <x v="100"/>
    <s v="K03"/>
    <s v="Gawam"/>
  </r>
  <r>
    <s v="D02-S07-P07-K04"/>
    <s v="D02"/>
    <x v="1"/>
    <s v="S07"/>
    <s v="D02-S07"/>
    <x v="14"/>
    <s v="P07"/>
    <s v="D02-S07-P07"/>
    <x v="100"/>
    <s v="K04"/>
    <s v="Goabadik"/>
  </r>
  <r>
    <s v="D02-S07-P08-K01"/>
    <s v="D02"/>
    <x v="1"/>
    <s v="S07"/>
    <s v="D02-S07"/>
    <x v="14"/>
    <s v="P08"/>
    <s v="D02-S07-P08"/>
    <x v="101"/>
    <s v="K01"/>
    <s v="Kamkumung"/>
  </r>
  <r>
    <s v="D02-S07-P08-K02"/>
    <s v="D02"/>
    <x v="1"/>
    <s v="S07"/>
    <s v="D02-S07"/>
    <x v="14"/>
    <s v="P08"/>
    <s v="D02-S07-P08"/>
    <x v="101"/>
    <s v="K02"/>
    <s v="Hengali"/>
  </r>
  <r>
    <s v="D02-S07-P08-K03"/>
    <s v="D02"/>
    <x v="1"/>
    <s v="S07"/>
    <s v="D02-S07"/>
    <x v="14"/>
    <s v="P08"/>
    <s v="D02-S07-P08"/>
    <x v="101"/>
    <s v="K03"/>
    <s v="Butibam"/>
  </r>
  <r>
    <s v="D02-S07-P08-K04"/>
    <s v="D02"/>
    <x v="1"/>
    <s v="S07"/>
    <s v="D02-S07"/>
    <x v="14"/>
    <s v="P08"/>
    <s v="D02-S07-P08"/>
    <x v="101"/>
    <s v="K04"/>
    <s v="Wakang"/>
  </r>
  <r>
    <s v="D02-S07-P08-K05"/>
    <s v="D02"/>
    <x v="1"/>
    <s v="S07"/>
    <s v="D02-S07"/>
    <x v="14"/>
    <s v="P08"/>
    <s v="D02-S07-P08"/>
    <x v="101"/>
    <s v="K05"/>
    <s v="Yanga"/>
  </r>
  <r>
    <s v="D02-S07-P08-K06"/>
    <s v="D02"/>
    <x v="1"/>
    <s v="S07"/>
    <s v="D02-S07"/>
    <x v="14"/>
    <s v="P08"/>
    <s v="D02-S07-P08"/>
    <x v="101"/>
    <s v="K06"/>
    <s v="St. Flierl (Asu)"/>
  </r>
  <r>
    <s v="D02-S07-P08-K07"/>
    <s v="D02"/>
    <x v="1"/>
    <s v="S07"/>
    <s v="D02-S07"/>
    <x v="14"/>
    <s v="P08"/>
    <s v="D02-S07-P08"/>
    <x v="101"/>
    <s v="K07"/>
    <s v="English Service"/>
  </r>
  <r>
    <s v="D02-S07-P08-K08"/>
    <s v="D02"/>
    <x v="1"/>
    <s v="S07"/>
    <s v="D02-S07"/>
    <x v="14"/>
    <s v="P08"/>
    <s v="D02-S07-P08"/>
    <x v="101"/>
    <s v="K08"/>
    <s v="Laip Lait"/>
  </r>
  <r>
    <s v="D02-S07-P08-K09"/>
    <s v="D02"/>
    <x v="1"/>
    <s v="S07"/>
    <s v="D02-S07"/>
    <x v="14"/>
    <s v="P08"/>
    <s v="D02-S07-P08"/>
    <x v="101"/>
    <s v="K09"/>
    <s v="Gurang?"/>
  </r>
  <r>
    <s v="D02-S08-P01-K01"/>
    <s v="D02"/>
    <x v="1"/>
    <s v="S08"/>
    <s v="D02-S08"/>
    <x v="15"/>
    <s v="P01"/>
    <s v="D02-S08-P01"/>
    <x v="102"/>
    <s v="K01"/>
    <s v="Kaisia"/>
  </r>
  <r>
    <s v="D02-S08-P01-K02"/>
    <s v="D02"/>
    <x v="1"/>
    <s v="S08"/>
    <s v="D02-S08"/>
    <x v="15"/>
    <s v="P01"/>
    <s v="D02-S08-P01"/>
    <x v="102"/>
    <s v="K02"/>
    <s v="Hobu - Buko"/>
  </r>
  <r>
    <s v="D02-S08-P01-K03"/>
    <s v="D02"/>
    <x v="1"/>
    <s v="S08"/>
    <s v="D02-S08"/>
    <x v="15"/>
    <s v="P01"/>
    <s v="D02-S08-P01"/>
    <x v="102"/>
    <s v="K03"/>
    <s v="Mosom Tale"/>
  </r>
  <r>
    <s v="D02-S08-P01-K04"/>
    <s v="D02"/>
    <x v="1"/>
    <s v="S08"/>
    <s v="D02-S08"/>
    <x v="15"/>
    <s v="P01"/>
    <s v="D02-S08-P01"/>
    <x v="102"/>
    <s v="K04"/>
    <s v="Tamu"/>
  </r>
  <r>
    <s v="D02-S08-P01-K05"/>
    <s v="D02"/>
    <x v="1"/>
    <s v="S08"/>
    <s v="D02-S08"/>
    <x v="15"/>
    <s v="P01"/>
    <s v="D02-S08-P01"/>
    <x v="102"/>
    <s v="K05"/>
    <s v="Tikeleng"/>
  </r>
  <r>
    <s v="D02-S08-P01-K06"/>
    <s v="D02"/>
    <x v="1"/>
    <s v="S08"/>
    <s v="D02-S08"/>
    <x v="15"/>
    <s v="P01"/>
    <s v="D02-S08-P01"/>
    <x v="102"/>
    <s v="K06"/>
    <s v="Talec"/>
  </r>
  <r>
    <s v="D02-S08-P01-K07"/>
    <s v="D02"/>
    <x v="1"/>
    <s v="S08"/>
    <s v="D02-S08"/>
    <x v="15"/>
    <s v="P01"/>
    <s v="D02-S08-P01"/>
    <x v="102"/>
    <s v="K07"/>
    <s v="Tengteng (Bulep)"/>
  </r>
  <r>
    <s v="D02-S08-P01-K08"/>
    <s v="D02"/>
    <x v="1"/>
    <s v="S08"/>
    <s v="D02-S08"/>
    <x v="15"/>
    <s v="P01"/>
    <s v="D02-S08-P01"/>
    <x v="102"/>
    <s v="K08"/>
    <s v="Umata Interim"/>
  </r>
  <r>
    <s v="D02-S08-P02-K01"/>
    <s v="D02"/>
    <x v="1"/>
    <s v="S08"/>
    <s v="D02-S08"/>
    <x v="15"/>
    <s v="P02"/>
    <s v="D02-S08-P02"/>
    <x v="103"/>
    <s v="K01"/>
    <s v="Memorial"/>
  </r>
  <r>
    <s v="D02-S08-P02-K02"/>
    <s v="D02"/>
    <x v="1"/>
    <s v="S08"/>
    <s v="D02-S08"/>
    <x v="15"/>
    <s v="P02"/>
    <s v="D02-S08-P02"/>
    <x v="103"/>
    <s v="K02"/>
    <s v="Flierl"/>
  </r>
  <r>
    <s v="D02-S08-P02-K03"/>
    <s v="D02"/>
    <x v="1"/>
    <s v="S08"/>
    <s v="D02-S08"/>
    <x v="15"/>
    <s v="P02"/>
    <s v="D02-S08-P02"/>
    <x v="103"/>
    <s v="K03"/>
    <s v="Emmanuel"/>
  </r>
  <r>
    <s v="D02-S08-P02-K04"/>
    <s v="D02"/>
    <x v="1"/>
    <s v="S08"/>
    <s v="D02-S08"/>
    <x v="15"/>
    <s v="P02"/>
    <s v="D02-S08-P02"/>
    <x v="103"/>
    <s v="K04"/>
    <s v="Senior"/>
  </r>
  <r>
    <s v="D02-S08-P02-K05"/>
    <s v="D02"/>
    <x v="1"/>
    <s v="S08"/>
    <s v="D02-S08"/>
    <x v="15"/>
    <s v="P02"/>
    <s v="D02-S08-P02"/>
    <x v="103"/>
    <s v="K05"/>
    <s v="Magu"/>
  </r>
  <r>
    <s v="D02-S08-P02-K06"/>
    <s v="D02"/>
    <x v="1"/>
    <s v="S08"/>
    <s v="D02-S08"/>
    <x v="15"/>
    <s v="P02"/>
    <s v="D02-S08-P02"/>
    <x v="103"/>
    <s v="K06"/>
    <s v="Bel"/>
  </r>
  <r>
    <s v="D02-S08-P03-K01"/>
    <s v="D02"/>
    <x v="1"/>
    <s v="S08"/>
    <s v="D02-S08"/>
    <x v="15"/>
    <s v="P03"/>
    <s v="D02-S08-P03"/>
    <x v="104"/>
    <s v="K01"/>
    <s v="Singaua"/>
  </r>
  <r>
    <s v="D02-S08-P03-K02"/>
    <s v="D02"/>
    <x v="1"/>
    <s v="S08"/>
    <s v="D02-S08"/>
    <x v="15"/>
    <s v="P03"/>
    <s v="D02-S08-P03"/>
    <x v="104"/>
    <s v="K02"/>
    <s v="Apo"/>
  </r>
  <r>
    <s v="D02-S08-P03-K03"/>
    <s v="D02"/>
    <x v="1"/>
    <s v="S08"/>
    <s v="D02-S08"/>
    <x v="15"/>
    <s v="P03"/>
    <s v="D02-S08-P03"/>
    <x v="104"/>
    <s v="K03"/>
    <s v="Aluki"/>
  </r>
  <r>
    <s v="D02-S08-P04-K01"/>
    <s v="D02"/>
    <x v="1"/>
    <s v="S08"/>
    <s v="D02-S08"/>
    <x v="15"/>
    <s v="P04"/>
    <s v="D02-S08-P04"/>
    <x v="105"/>
    <s v="K01"/>
    <s v="Wagang"/>
  </r>
  <r>
    <s v="D02-S08-P04-K02"/>
    <s v="D02"/>
    <x v="1"/>
    <s v="S08"/>
    <s v="D02-S08"/>
    <x v="15"/>
    <s v="P04"/>
    <s v="D02-S08-P04"/>
    <x v="105"/>
    <s v="K02"/>
    <s v="Busu"/>
  </r>
  <r>
    <s v="D02-S08-P04-K03"/>
    <s v="D02"/>
    <x v="1"/>
    <s v="S08"/>
    <s v="D02-S08"/>
    <x v="15"/>
    <s v="P04"/>
    <s v="D02-S08-P04"/>
    <x v="105"/>
    <s v="K03"/>
    <s v="Buhalu"/>
  </r>
  <r>
    <s v="D02-S08-P05-K01"/>
    <s v="D02"/>
    <x v="1"/>
    <s v="S08"/>
    <s v="D02-S08"/>
    <x v="15"/>
    <s v="P05"/>
    <s v="D02-S08-P05"/>
    <x v="106"/>
    <s v="K01"/>
    <s v="Melampipi"/>
  </r>
  <r>
    <s v="D02-S08-P05-K02"/>
    <s v="D02"/>
    <x v="1"/>
    <s v="S08"/>
    <s v="D02-S08"/>
    <x v="15"/>
    <s v="P05"/>
    <s v="D02-S08-P05"/>
    <x v="106"/>
    <s v="K02"/>
    <s v="Kwamung"/>
  </r>
  <r>
    <s v="D02-S08-P05-K03"/>
    <s v="D02"/>
    <x v="1"/>
    <s v="S08"/>
    <s v="D02-S08"/>
    <x v="15"/>
    <s v="P05"/>
    <s v="D02-S08-P05"/>
    <x v="106"/>
    <s v="K03"/>
    <s v="Nomeng"/>
  </r>
  <r>
    <s v="D02-S08-P05-K04"/>
    <s v="D02"/>
    <x v="1"/>
    <s v="S08"/>
    <s v="D02-S08"/>
    <x v="15"/>
    <s v="P05"/>
    <s v="D02-S08-P05"/>
    <x v="106"/>
    <s v="K04"/>
    <s v="Busung"/>
  </r>
  <r>
    <s v="D02-S08-P05-K05"/>
    <s v="D02"/>
    <x v="1"/>
    <s v="S08"/>
    <s v="D02-S08"/>
    <x v="15"/>
    <s v="P05"/>
    <s v="D02-S08-P05"/>
    <x v="106"/>
    <s v="K05"/>
    <s v="Zezengi"/>
  </r>
  <r>
    <s v="D02-S08-P05-K06"/>
    <s v="D02"/>
    <x v="1"/>
    <s v="S08"/>
    <s v="D02-S08"/>
    <x v="15"/>
    <s v="P05"/>
    <s v="D02-S08-P05"/>
    <x v="106"/>
    <s v="K06"/>
    <s v="Momolili"/>
  </r>
  <r>
    <s v="D02-S09-P01-K01"/>
    <s v="D02"/>
    <x v="1"/>
    <s v="S09"/>
    <s v="D02-S09"/>
    <x v="16"/>
    <s v="P01"/>
    <s v="D02-S09-P01"/>
    <x v="107"/>
    <s v="K01"/>
    <s v="Apa Yamap"/>
  </r>
  <r>
    <s v="D02-S09-P01-K02"/>
    <s v="D02"/>
    <x v="1"/>
    <s v="S09"/>
    <s v="D02-S09"/>
    <x v="16"/>
    <s v="P01"/>
    <s v="D02-S09-P01"/>
    <x v="107"/>
    <s v="K02"/>
    <s v="Bobodem"/>
  </r>
  <r>
    <s v="D02-S09-P01-K03"/>
    <s v="D02"/>
    <x v="1"/>
    <s v="S09"/>
    <s v="D02-S09"/>
    <x v="16"/>
    <s v="P01"/>
    <s v="D02-S09-P01"/>
    <x v="107"/>
    <s v="K03"/>
    <s v="Musim"/>
  </r>
  <r>
    <s v="D02-S09-P01-K04"/>
    <s v="D02"/>
    <x v="1"/>
    <s v="S09"/>
    <s v="D02-S09"/>
    <x v="16"/>
    <s v="P01"/>
    <s v="D02-S09-P01"/>
    <x v="107"/>
    <s v="K04"/>
    <s v="Katembing"/>
  </r>
  <r>
    <s v="D02-S09-P01-K05"/>
    <s v="D02"/>
    <x v="1"/>
    <s v="S09"/>
    <s v="D02-S09"/>
    <x v="16"/>
    <s v="P01"/>
    <s v="D02-S09-P01"/>
    <x v="107"/>
    <s v="K05"/>
    <s v="Bubudun"/>
  </r>
  <r>
    <s v="D02-S09-P02-K01"/>
    <s v="D02"/>
    <x v="1"/>
    <s v="S09"/>
    <s v="D02-S09"/>
    <x v="16"/>
    <s v="P02"/>
    <s v="D02-S09-P02"/>
    <x v="108"/>
    <s v="K01"/>
    <s v="Meeting"/>
  </r>
  <r>
    <s v="D02-S09-P02-K02"/>
    <s v="D02"/>
    <x v="1"/>
    <s v="S09"/>
    <s v="D02-S09"/>
    <x v="16"/>
    <s v="P02"/>
    <s v="D02-S09-P02"/>
    <x v="108"/>
    <s v="K02"/>
    <s v="Fiyabo"/>
  </r>
  <r>
    <s v="D02-S09-P02-K03"/>
    <s v="D02"/>
    <x v="1"/>
    <s v="S09"/>
    <s v="D02-S09"/>
    <x v="16"/>
    <s v="P02"/>
    <s v="D02-S09-P02"/>
    <x v="108"/>
    <s v="K03"/>
    <s v="Dewang"/>
  </r>
  <r>
    <s v="D02-S09-P02-K04"/>
    <s v="D02"/>
    <x v="1"/>
    <s v="S09"/>
    <s v="D02-S09"/>
    <x v="16"/>
    <s v="P02"/>
    <s v="D02-S09-P02"/>
    <x v="108"/>
    <s v="K04"/>
    <s v="Jamendum"/>
  </r>
  <r>
    <s v="D02-S09-P02-K05"/>
    <s v="D02"/>
    <x v="1"/>
    <s v="S09"/>
    <s v="D02-S09"/>
    <x v="16"/>
    <s v="P02"/>
    <s v="D02-S09-P02"/>
    <x v="108"/>
    <s v="K05"/>
    <s v="Banuwe"/>
  </r>
  <r>
    <s v="D02-S09-P03-K01"/>
    <s v="D02"/>
    <x v="1"/>
    <s v="S09"/>
    <s v="D02-S09"/>
    <x v="16"/>
    <s v="P03"/>
    <s v="D02-S09-P03"/>
    <x v="109"/>
    <s v="K01"/>
    <s v="Baidum"/>
  </r>
  <r>
    <s v="D02-S09-P03-K02"/>
    <s v="D02"/>
    <x v="1"/>
    <s v="S09"/>
    <s v="D02-S09"/>
    <x v="16"/>
    <s v="P03"/>
    <s v="D02-S09-P03"/>
    <x v="109"/>
    <s v="K02"/>
    <s v="Naladik"/>
  </r>
  <r>
    <s v="D02-S09-P03-K03"/>
    <s v="D02"/>
    <x v="1"/>
    <s v="S09"/>
    <s v="D02-S09"/>
    <x v="16"/>
    <s v="P03"/>
    <s v="D02-S09-P03"/>
    <x v="109"/>
    <s v="K03"/>
    <s v="Doho"/>
  </r>
  <r>
    <s v="D02-S09-P03-K04"/>
    <s v="D02"/>
    <x v="1"/>
    <s v="S09"/>
    <s v="D02-S09"/>
    <x v="16"/>
    <s v="P03"/>
    <s v="D02-S09-P03"/>
    <x v="109"/>
    <s v="K04"/>
    <s v="Jimli"/>
  </r>
  <r>
    <s v="D02-S09-P03-K05"/>
    <s v="D02"/>
    <x v="1"/>
    <s v="S09"/>
    <s v="D02-S09"/>
    <x v="16"/>
    <s v="P03"/>
    <s v="D02-S09-P03"/>
    <x v="109"/>
    <s v="K05"/>
    <s v="Pobua"/>
  </r>
  <r>
    <s v="D02-S09-P03-K06"/>
    <s v="D02"/>
    <x v="1"/>
    <s v="S09"/>
    <s v="D02-S09"/>
    <x v="16"/>
    <s v="P03"/>
    <s v="D02-S09-P03"/>
    <x v="109"/>
    <s v="K06"/>
    <s v="Dorong"/>
  </r>
  <r>
    <s v="D02-S09-P04-K01"/>
    <s v="D02"/>
    <x v="1"/>
    <s v="S09"/>
    <s v="D02-S09"/>
    <x v="16"/>
    <s v="P04"/>
    <s v="D02-S09-P04"/>
    <x v="110"/>
    <s v="K01"/>
    <s v="Wapali"/>
  </r>
  <r>
    <s v="D02-S09-P04-K02"/>
    <s v="D02"/>
    <x v="1"/>
    <s v="S09"/>
    <s v="D02-S09"/>
    <x v="16"/>
    <s v="P04"/>
    <s v="D02-S09-P04"/>
    <x v="110"/>
    <s v="K02"/>
    <s v="Mubo"/>
  </r>
  <r>
    <s v="D02-S09-P04-K03"/>
    <s v="D02"/>
    <x v="1"/>
    <s v="S09"/>
    <s v="D02-S09"/>
    <x v="16"/>
    <s v="P04"/>
    <s v="D02-S09-P04"/>
    <x v="110"/>
    <s v="K03"/>
    <s v="Godokasul"/>
  </r>
  <r>
    <s v="D02-S09-P05-K01"/>
    <s v="D02"/>
    <x v="1"/>
    <s v="S09"/>
    <s v="D02-S09"/>
    <x v="16"/>
    <s v="P05"/>
    <s v="D02-S09-P05"/>
    <x v="111"/>
    <s v="K01"/>
    <s v="Kamiatam"/>
  </r>
  <r>
    <s v="D02-S09-P05-K02"/>
    <s v="D02"/>
    <x v="1"/>
    <s v="S09"/>
    <s v="D02-S09"/>
    <x v="16"/>
    <s v="P05"/>
    <s v="D02-S09-P05"/>
    <x v="111"/>
    <s v="K02"/>
    <s v="Popdubi"/>
  </r>
  <r>
    <s v="D02-S09-P06-K01"/>
    <s v="D02"/>
    <x v="1"/>
    <s v="S09"/>
    <s v="D02-S09"/>
    <x v="16"/>
    <s v="P06"/>
    <s v="D02-S09-P06"/>
    <x v="112"/>
    <s v="K01"/>
    <s v="Bumatu"/>
  </r>
  <r>
    <s v="D02-S09-P06-K02"/>
    <s v="D02"/>
    <x v="1"/>
    <s v="S09"/>
    <s v="D02-S09"/>
    <x v="16"/>
    <s v="P06"/>
    <s v="D02-S09-P06"/>
    <x v="112"/>
    <s v="K02"/>
    <s v="Buasi"/>
  </r>
  <r>
    <s v="D02-S09-P06-K03"/>
    <s v="D02"/>
    <x v="1"/>
    <s v="S09"/>
    <s v="D02-S09"/>
    <x v="16"/>
    <s v="P06"/>
    <s v="D02-S09-P06"/>
    <x v="112"/>
    <s v="K03"/>
    <s v="Wakop"/>
  </r>
  <r>
    <s v="D02-S09-P07-K01"/>
    <s v="D02"/>
    <x v="1"/>
    <s v="S09"/>
    <s v="D02-S09"/>
    <x v="16"/>
    <s v="P07"/>
    <s v="D02-S09-P07"/>
    <x v="113"/>
    <s v="K01"/>
    <s v="Awasa "/>
  </r>
  <r>
    <s v="D02-S09-P07-K02"/>
    <s v="D02"/>
    <x v="1"/>
    <s v="S09"/>
    <s v="D02-S09"/>
    <x v="16"/>
    <s v="P07"/>
    <s v="D02-S09-P07"/>
    <x v="113"/>
    <s v="K02"/>
    <s v="Lutu"/>
  </r>
  <r>
    <s v="D02-S09-P07-K03"/>
    <s v="D02"/>
    <x v="1"/>
    <s v="S09"/>
    <s v="D02-S09"/>
    <x v="16"/>
    <s v="P07"/>
    <s v="D02-S09-P07"/>
    <x v="113"/>
    <s v="K03"/>
    <s v="Gwado"/>
  </r>
  <r>
    <s v="D02-S09-P08-K01"/>
    <s v="D02"/>
    <x v="1"/>
    <s v="S09"/>
    <s v="D02-S09"/>
    <x v="16"/>
    <s v="P08"/>
    <s v="D02-S09-P08"/>
    <x v="114"/>
    <s v="K01"/>
    <s v="laukanu"/>
  </r>
  <r>
    <s v="D02-S09-P09-K01"/>
    <s v="D02"/>
    <x v="1"/>
    <s v="S09"/>
    <s v="D02-S09"/>
    <x v="16"/>
    <s v="P09"/>
    <s v="D02-S09-P09"/>
    <x v="115"/>
    <s v="K01"/>
    <s v="Asisi"/>
  </r>
  <r>
    <s v="D02-S09-P09-K02"/>
    <s v="D02"/>
    <x v="1"/>
    <s v="S09"/>
    <s v="D02-S09"/>
    <x v="16"/>
    <s v="P09"/>
    <s v="D02-S09-P09"/>
    <x v="115"/>
    <s v="K02"/>
    <s v="Tabola"/>
  </r>
  <r>
    <s v="D02-S09-P09-K03"/>
    <s v="D02"/>
    <x v="1"/>
    <s v="S09"/>
    <s v="D02-S09"/>
    <x v="16"/>
    <s v="P09"/>
    <s v="D02-S09-P09"/>
    <x v="115"/>
    <s v="K03"/>
    <s v="Wamasi"/>
  </r>
  <r>
    <s v="D02-S09-P10-K01"/>
    <s v="D02"/>
    <x v="1"/>
    <s v="S09"/>
    <s v="D02-S09"/>
    <x v="16"/>
    <s v="P10"/>
    <s v="D02-S09-P10"/>
    <x v="116"/>
    <s v="K01"/>
    <s v="Laugwi"/>
  </r>
  <r>
    <s v="D02-S09-P10-K02"/>
    <s v="D02"/>
    <x v="1"/>
    <s v="S09"/>
    <s v="D02-S09"/>
    <x v="16"/>
    <s v="P10"/>
    <s v="D02-S09-P10"/>
    <x v="116"/>
    <s v="K02"/>
    <s v="Kela"/>
  </r>
  <r>
    <s v="D02-S09-P10-K03"/>
    <s v="D02"/>
    <x v="1"/>
    <s v="S09"/>
    <s v="D02-S09"/>
    <x v="16"/>
    <s v="P10"/>
    <s v="D02-S09-P10"/>
    <x v="116"/>
    <s v="K03"/>
    <s v="Nuknuk"/>
  </r>
  <r>
    <s v="D02-S09-P11-K01"/>
    <s v="D02"/>
    <x v="1"/>
    <s v="S09"/>
    <s v="D02-S09"/>
    <x v="16"/>
    <s v="P11"/>
    <s v="D02-S09-P11"/>
    <x v="117"/>
    <s v="K01"/>
    <s v="Lababia"/>
  </r>
  <r>
    <s v="D02-S09-P11-K02"/>
    <s v="D02"/>
    <x v="1"/>
    <s v="S09"/>
    <s v="D02-S09"/>
    <x v="16"/>
    <s v="P11"/>
    <s v="D02-S09-P11"/>
    <x v="117"/>
    <s v="K02"/>
    <s v="Salus"/>
  </r>
  <r>
    <s v="D02-S09-P11-K03"/>
    <s v="D02"/>
    <x v="1"/>
    <s v="S09"/>
    <s v="D02-S09"/>
    <x v="16"/>
    <s v="P11"/>
    <s v="D02-S09-P11"/>
    <x v="117"/>
    <s v="K03"/>
    <s v="Buansin"/>
  </r>
  <r>
    <s v="D02-S09-P11-K04"/>
    <s v="D02"/>
    <x v="1"/>
    <s v="S09"/>
    <s v="D02-S09"/>
    <x v="16"/>
    <s v="P11"/>
    <s v="D02-S09-P11"/>
    <x v="117"/>
    <s v="K04"/>
    <s v="Kelkel"/>
  </r>
  <r>
    <s v="D02-S09-P12-K01"/>
    <s v="D02"/>
    <x v="1"/>
    <s v="S09"/>
    <s v="D02-S09"/>
    <x v="16"/>
    <s v="P12"/>
    <s v="D02-S09-P12"/>
    <x v="118"/>
    <s v="K01"/>
    <s v="Busu"/>
  </r>
  <r>
    <s v="D02-S09-P12-K02"/>
    <s v="D02"/>
    <x v="1"/>
    <s v="S09"/>
    <s v="D02-S09"/>
    <x v="16"/>
    <s v="P12"/>
    <s v="D02-S09-P12"/>
    <x v="118"/>
    <s v="K02"/>
    <s v="Kuwi"/>
  </r>
  <r>
    <s v="D02-S09-P12-K03"/>
    <s v="D02"/>
    <x v="1"/>
    <s v="S09"/>
    <s v="D02-S09"/>
    <x v="16"/>
    <s v="P12"/>
    <s v="D02-S09-P12"/>
    <x v="118"/>
    <s v="K03"/>
    <s v="Siboma"/>
  </r>
  <r>
    <s v="D02-S09-P12-K04"/>
    <s v="D02"/>
    <x v="1"/>
    <s v="S09"/>
    <s v="D02-S09"/>
    <x v="16"/>
    <s v="P12"/>
    <s v="D02-S09-P12"/>
    <x v="118"/>
    <s v="K04"/>
    <s v="Paiyawa"/>
  </r>
  <r>
    <s v="D02-S09-P13-K01"/>
    <s v="D02"/>
    <x v="1"/>
    <s v="S09"/>
    <s v="D02-S09"/>
    <x v="16"/>
    <s v="P13"/>
    <s v="D02-S09-P13"/>
    <x v="119"/>
    <s v="K01"/>
    <s v="Baidum"/>
  </r>
  <r>
    <s v="D02-S09-P13-K02"/>
    <s v="D02"/>
    <x v="1"/>
    <s v="S09"/>
    <s v="D02-S09"/>
    <x v="16"/>
    <s v="P13"/>
    <s v="D02-S09-P13"/>
    <x v="119"/>
    <s v="K02"/>
    <s v="Doho"/>
  </r>
  <r>
    <s v="D02-S09-P13-K03"/>
    <s v="D02"/>
    <x v="1"/>
    <s v="S09"/>
    <s v="D02-S09"/>
    <x v="16"/>
    <s v="P13"/>
    <s v="D02-S09-P13"/>
    <x v="119"/>
    <s v="K03"/>
    <s v="Pocmate"/>
  </r>
  <r>
    <s v="D02-S09-P13-K04"/>
    <s v="D02"/>
    <x v="1"/>
    <s v="S09"/>
    <s v="D02-S09"/>
    <x v="16"/>
    <s v="P13"/>
    <s v="D02-S09-P13"/>
    <x v="119"/>
    <s v="K04"/>
    <s v="Yemle"/>
  </r>
  <r>
    <s v="D02-S09-P13-K05"/>
    <s v="D02"/>
    <x v="1"/>
    <s v="S09"/>
    <s v="D02-S09"/>
    <x v="16"/>
    <s v="P13"/>
    <s v="D02-S09-P13"/>
    <x v="119"/>
    <s v="K05"/>
    <s v="Delong"/>
  </r>
  <r>
    <s v="D02-S09-P13-K06"/>
    <s v="D02"/>
    <x v="1"/>
    <s v="S09"/>
    <s v="D02-S09"/>
    <x v="16"/>
    <s v="P13"/>
    <s v="D02-S09-P13"/>
    <x v="119"/>
    <s v="K06"/>
    <s v="Hote"/>
  </r>
  <r>
    <s v="D02-S10-P01-K01"/>
    <s v="D02"/>
    <x v="1"/>
    <s v="S10"/>
    <s v="D02-S10"/>
    <x v="17"/>
    <s v="P01"/>
    <s v="D02-S10-P01"/>
    <x v="120"/>
    <s v="K01"/>
    <s v="Ami"/>
  </r>
  <r>
    <s v="D02-S10-P01-K02"/>
    <s v="D02"/>
    <x v="1"/>
    <s v="S10"/>
    <s v="D02-S10"/>
    <x v="17"/>
    <s v="P01"/>
    <s v="D02-S10-P01"/>
    <x v="120"/>
    <s v="K02"/>
    <s v="Engatawa"/>
  </r>
  <r>
    <s v="D02-S10-P01-K03"/>
    <s v="D02"/>
    <x v="1"/>
    <s v="S10"/>
    <s v="D02-S10"/>
    <x v="17"/>
    <s v="P01"/>
    <s v="D02-S10-P01"/>
    <x v="120"/>
    <s v="K03"/>
    <s v="Hengawa"/>
  </r>
  <r>
    <s v="D02-S10-P01-K04"/>
    <s v="D02"/>
    <x v="1"/>
    <s v="S10"/>
    <s v="D02-S10"/>
    <x v="17"/>
    <s v="P01"/>
    <s v="D02-S10-P01"/>
    <x v="120"/>
    <s v="K04"/>
    <s v="Karanas"/>
  </r>
  <r>
    <s v="D02-S10-P01-K05"/>
    <s v="D02"/>
    <x v="1"/>
    <s v="S10"/>
    <s v="D02-S10"/>
    <x v="17"/>
    <s v="P01"/>
    <s v="D02-S10-P01"/>
    <x v="120"/>
    <s v="K05"/>
    <s v="Yekui"/>
  </r>
  <r>
    <s v="D02-S10-P01-K06"/>
    <s v="D02"/>
    <x v="1"/>
    <s v="S10"/>
    <s v="D02-S10"/>
    <x v="17"/>
    <s v="P01"/>
    <s v="D02-S10-P01"/>
    <x v="120"/>
    <s v="K06"/>
    <s v="Utumi"/>
  </r>
  <r>
    <s v="D02-S10-P01-K07"/>
    <s v="D02"/>
    <x v="1"/>
    <s v="S10"/>
    <s v="D02-S10"/>
    <x v="17"/>
    <s v="P01"/>
    <s v="D02-S10-P01"/>
    <x v="120"/>
    <s v="K07"/>
    <s v="Qakepe"/>
  </r>
  <r>
    <s v="D02-S10-P01-K08"/>
    <s v="D02"/>
    <x v="1"/>
    <s v="S10"/>
    <s v="D02-S10"/>
    <x v="17"/>
    <s v="P01"/>
    <s v="D02-S10-P01"/>
    <x v="120"/>
    <s v="K08"/>
    <s v="St. Mark"/>
  </r>
  <r>
    <s v="D02-S10-P01-K09"/>
    <s v="D02"/>
    <x v="1"/>
    <s v="S10"/>
    <s v="D02-S10"/>
    <x v="17"/>
    <s v="P01"/>
    <s v="D02-S10-P01"/>
    <x v="120"/>
    <s v="K09"/>
    <s v="Eona"/>
  </r>
  <r>
    <s v="D02-S10-P01-K10"/>
    <s v="D02"/>
    <x v="1"/>
    <s v="S10"/>
    <s v="D02-S10"/>
    <x v="17"/>
    <s v="P01"/>
    <s v="D02-S10-P01"/>
    <x v="120"/>
    <s v="K10"/>
    <s v="Wasua"/>
  </r>
  <r>
    <s v="D02-S10-P01-K11"/>
    <s v="D02"/>
    <x v="1"/>
    <s v="S10"/>
    <s v="D02-S10"/>
    <x v="17"/>
    <s v="P01"/>
    <s v="D02-S10-P01"/>
    <x v="120"/>
    <s v="K11"/>
    <s v="St. Peter"/>
  </r>
  <r>
    <s v="D02-S10-P02-K01"/>
    <s v="D02"/>
    <x v="1"/>
    <s v="S10"/>
    <s v="D02-S10"/>
    <x v="17"/>
    <s v="P02"/>
    <s v="D02-S10-P02"/>
    <x v="121"/>
    <s v="K01"/>
    <s v="Hanziga"/>
  </r>
  <r>
    <s v="D02-S10-P02-K02"/>
    <s v="D02"/>
    <x v="1"/>
    <s v="S10"/>
    <s v="D02-S10"/>
    <x v="17"/>
    <s v="P02"/>
    <s v="D02-S10-P02"/>
    <x v="121"/>
    <s v="K02"/>
    <s v="Kolomonden"/>
  </r>
  <r>
    <s v="D02-S10-P02-K03"/>
    <s v="D02"/>
    <x v="1"/>
    <s v="S10"/>
    <s v="D02-S10"/>
    <x v="17"/>
    <s v="P02"/>
    <s v="D02-S10-P02"/>
    <x v="121"/>
    <s v="K03"/>
    <s v="Yahepe"/>
  </r>
  <r>
    <s v="D02-S10-P02-K04"/>
    <s v="D02"/>
    <x v="1"/>
    <s v="S10"/>
    <s v="D02-S10"/>
    <x v="17"/>
    <s v="P02"/>
    <s v="D02-S10-P02"/>
    <x v="121"/>
    <s v="K04"/>
    <s v="Aijapa"/>
  </r>
  <r>
    <s v="D02-S10-P02-K05"/>
    <s v="D02"/>
    <x v="1"/>
    <s v="S10"/>
    <s v="D02-S10"/>
    <x v="17"/>
    <s v="P02"/>
    <s v="D02-S10-P02"/>
    <x v="121"/>
    <s v="K05"/>
    <s v="Wapi"/>
  </r>
  <r>
    <s v="D02-S10-P03-K01"/>
    <s v="D02"/>
    <x v="1"/>
    <s v="S10"/>
    <s v="D02-S10"/>
    <x v="17"/>
    <s v="P03"/>
    <s v="D02-S10-P03"/>
    <x v="122"/>
    <s v="K01"/>
    <s v="Jiba"/>
  </r>
  <r>
    <s v="D02-S10-P03-K02"/>
    <s v="D02"/>
    <x v="1"/>
    <s v="S10"/>
    <s v="D02-S10"/>
    <x v="17"/>
    <s v="P03"/>
    <s v="D02-S10-P03"/>
    <x v="122"/>
    <s v="K02"/>
    <s v="Menve"/>
  </r>
  <r>
    <s v="D02-S10-P03-K03"/>
    <s v="D02"/>
    <x v="1"/>
    <s v="S10"/>
    <s v="D02-S10"/>
    <x v="17"/>
    <s v="P03"/>
    <s v="D02-S10-P03"/>
    <x v="122"/>
    <s v="K03"/>
    <s v="Yuenimba"/>
  </r>
  <r>
    <s v="D02-S10-P03-K04"/>
    <s v="D02"/>
    <x v="1"/>
    <s v="S10"/>
    <s v="D02-S10"/>
    <x v="17"/>
    <s v="P03"/>
    <s v="D02-S10-P03"/>
    <x v="122"/>
    <s v="K04"/>
    <s v="Koniba"/>
  </r>
  <r>
    <s v="D02-S10-P03-K05"/>
    <s v="D02"/>
    <x v="1"/>
    <s v="S10"/>
    <s v="D02-S10"/>
    <x v="17"/>
    <s v="P03"/>
    <s v="D02-S10-P03"/>
    <x v="122"/>
    <s v="K05"/>
    <s v="Nukem"/>
  </r>
  <r>
    <s v="D02-S10-P03-K06"/>
    <s v="D02"/>
    <x v="1"/>
    <s v="S10"/>
    <s v="D02-S10"/>
    <x v="17"/>
    <s v="P03"/>
    <s v="D02-S10-P03"/>
    <x v="122"/>
    <s v="K06"/>
    <s v="Yongatakaka"/>
  </r>
  <r>
    <s v="D02-S10-P03-K07"/>
    <s v="D02"/>
    <x v="1"/>
    <s v="S10"/>
    <s v="D02-S10"/>
    <x v="17"/>
    <s v="P03"/>
    <s v="D02-S10-P03"/>
    <x v="122"/>
    <s v="K07"/>
    <s v="Kwiavami"/>
  </r>
  <r>
    <s v="D02-S10-P04-K01"/>
    <s v="D02"/>
    <x v="1"/>
    <s v="S10"/>
    <s v="D02-S10"/>
    <x v="17"/>
    <s v="P04"/>
    <s v="D02-S10-P04"/>
    <x v="123"/>
    <s v="K01"/>
    <s v="Warabung"/>
  </r>
  <r>
    <s v="D02-S10-P04-K02"/>
    <s v="D02"/>
    <x v="1"/>
    <s v="S10"/>
    <s v="D02-S10"/>
    <x v="17"/>
    <s v="P04"/>
    <s v="D02-S10-P04"/>
    <x v="123"/>
    <s v="K02"/>
    <s v="Wamo"/>
  </r>
  <r>
    <s v="D02-S10-P04-K03"/>
    <s v="D02"/>
    <x v="1"/>
    <s v="S10"/>
    <s v="D02-S10"/>
    <x v="17"/>
    <s v="P04"/>
    <s v="D02-S10-P04"/>
    <x v="123"/>
    <s v="K03"/>
    <s v="Yawi"/>
  </r>
  <r>
    <s v="D02-S10-P04-K04"/>
    <s v="D02"/>
    <x v="1"/>
    <s v="S10"/>
    <s v="D02-S10"/>
    <x v="17"/>
    <s v="P04"/>
    <s v="D02-S10-P04"/>
    <x v="123"/>
    <s v="K04"/>
    <s v="Yamapa"/>
  </r>
  <r>
    <s v="D02-S10-P04-K05"/>
    <s v="D02"/>
    <x v="1"/>
    <s v="S10"/>
    <s v="D02-S10"/>
    <x v="17"/>
    <s v="P04"/>
    <s v="D02-S10-P04"/>
    <x v="123"/>
    <s v="K05"/>
    <s v="Wakaka"/>
  </r>
  <r>
    <s v="D02-S10-P05-K01"/>
    <s v="D02"/>
    <x v="1"/>
    <s v="S10"/>
    <s v="D02-S10"/>
    <x v="17"/>
    <s v="P05"/>
    <s v="D02-S10-P05"/>
    <x v="124"/>
    <s v="K01"/>
    <s v="Iskomanga"/>
  </r>
  <r>
    <s v="D02-S10-P05-K02"/>
    <s v="D02"/>
    <x v="1"/>
    <s v="S10"/>
    <s v="D02-S10"/>
    <x v="17"/>
    <s v="P05"/>
    <s v="D02-S10-P05"/>
    <x v="124"/>
    <s v="K02"/>
    <s v="Hequta"/>
  </r>
  <r>
    <s v="D02-S10-P05-K03"/>
    <s v="D02"/>
    <x v="1"/>
    <s v="S10"/>
    <s v="D02-S10"/>
    <x v="17"/>
    <s v="P05"/>
    <s v="D02-S10-P05"/>
    <x v="124"/>
    <s v="K03"/>
    <s v="Iawi"/>
  </r>
  <r>
    <s v="D02-S10-P05-K04"/>
    <s v="D02"/>
    <x v="1"/>
    <s v="S10"/>
    <s v="D02-S10"/>
    <x v="17"/>
    <s v="P05"/>
    <s v="D02-S10-P05"/>
    <x v="124"/>
    <s v="K04"/>
    <s v="Savo"/>
  </r>
  <r>
    <s v="D02-S10-P05-K05"/>
    <s v="D02"/>
    <x v="1"/>
    <s v="S10"/>
    <s v="D02-S10"/>
    <x v="17"/>
    <s v="P05"/>
    <s v="D02-S10-P05"/>
    <x v="124"/>
    <s v="K05"/>
    <s v="Yakepa"/>
  </r>
  <r>
    <s v="D02-S10-P05-K06"/>
    <s v="D02"/>
    <x v="1"/>
    <s v="S10"/>
    <s v="D02-S10"/>
    <x v="17"/>
    <s v="P05"/>
    <s v="D02-S10-P05"/>
    <x v="124"/>
    <s v="K06"/>
    <s v="Mapakam"/>
  </r>
  <r>
    <s v="D02-S10-P05-K07"/>
    <s v="D02"/>
    <x v="1"/>
    <s v="S10"/>
    <s v="D02-S10"/>
    <x v="17"/>
    <s v="P05"/>
    <s v="D02-S10-P05"/>
    <x v="124"/>
    <s v="K07"/>
    <s v="Akanja"/>
  </r>
  <r>
    <s v="D02-S10-P06-K01"/>
    <s v="D02"/>
    <x v="1"/>
    <s v="S10"/>
    <s v="D02-S10"/>
    <x v="17"/>
    <s v="P06"/>
    <s v="D02-S10-P06"/>
    <x v="125"/>
    <s v="K01"/>
    <s v="Komorasa"/>
  </r>
  <r>
    <s v="D02-S10-P06-K02"/>
    <s v="D02"/>
    <x v="1"/>
    <s v="S10"/>
    <s v="D02-S10"/>
    <x v="17"/>
    <s v="P06"/>
    <s v="D02-S10-P06"/>
    <x v="125"/>
    <s v="K02"/>
    <s v="Kunlungli"/>
  </r>
  <r>
    <s v="D02-S10-P07-K01"/>
    <s v="D02"/>
    <x v="1"/>
    <s v="S10"/>
    <s v="D02-S10"/>
    <x v="17"/>
    <s v="P07"/>
    <s v="D02-S10-P07"/>
    <x v="126"/>
    <s v="K01"/>
    <s v="Watama"/>
  </r>
  <r>
    <s v="D02-S10-P07-K02"/>
    <s v="D02"/>
    <x v="1"/>
    <s v="S10"/>
    <s v="D02-S10"/>
    <x v="17"/>
    <s v="P07"/>
    <s v="D02-S10-P07"/>
    <x v="126"/>
    <s v="K02"/>
    <s v="Ketanga"/>
  </r>
  <r>
    <s v="D02-S10-P07-K03"/>
    <s v="D02"/>
    <x v="1"/>
    <s v="S10"/>
    <s v="D02-S10"/>
    <x v="17"/>
    <s v="P07"/>
    <s v="D02-S10-P07"/>
    <x v="126"/>
    <s v="K03"/>
    <s v="Manijao"/>
  </r>
  <r>
    <s v="D02-S10-P07-K04"/>
    <s v="D02"/>
    <x v="1"/>
    <s v="S10"/>
    <s v="D02-S10"/>
    <x v="17"/>
    <s v="P07"/>
    <s v="D02-S10-P07"/>
    <x v="126"/>
    <s v="K04"/>
    <s v="Hansawa"/>
  </r>
  <r>
    <s v="D02-S10-P08-K01"/>
    <s v="D02"/>
    <x v="1"/>
    <s v="S10"/>
    <s v="D02-S10"/>
    <x v="17"/>
    <s v="P08"/>
    <s v="D02-S10-P08"/>
    <x v="127"/>
    <s v="K01"/>
    <s v="Circuit Station"/>
  </r>
  <r>
    <s v="D02-S10-P08-K02"/>
    <s v="D02"/>
    <x v="1"/>
    <s v="S10"/>
    <s v="D02-S10"/>
    <x v="17"/>
    <s v="P08"/>
    <s v="D02-S10-P08"/>
    <x v="127"/>
    <s v="K02"/>
    <s v="High School"/>
  </r>
  <r>
    <s v="D02-S10-P08-K03"/>
    <s v="D02"/>
    <x v="1"/>
    <s v="S10"/>
    <s v="D02-S10"/>
    <x v="17"/>
    <s v="P08"/>
    <s v="D02-S10-P08"/>
    <x v="127"/>
    <s v="K03"/>
    <s v="Haus Kalabus"/>
  </r>
  <r>
    <s v="D02-S10-P08-K04"/>
    <s v="D02"/>
    <x v="1"/>
    <s v="S10"/>
    <s v="D02-S10"/>
    <x v="17"/>
    <s v="P08"/>
    <s v="D02-S10-P08"/>
    <x v="127"/>
    <s v="K04"/>
    <s v="DPI"/>
  </r>
  <r>
    <s v="D02-S10-P08-K05"/>
    <s v="D02"/>
    <x v="1"/>
    <s v="S10"/>
    <s v="D02-S10"/>
    <x v="17"/>
    <s v="P08"/>
    <s v="D02-S10-P08"/>
    <x v="127"/>
    <s v="K05"/>
    <s v="Vocational School"/>
  </r>
  <r>
    <s v="D02-S10-P08-K06"/>
    <s v="D02"/>
    <x v="1"/>
    <s v="S10"/>
    <s v="D02-S10"/>
    <x v="17"/>
    <s v="P08"/>
    <s v="D02-S10-P08"/>
    <x v="127"/>
    <s v="K06"/>
    <s v="Haus Sik"/>
  </r>
  <r>
    <s v="D02-S10-P08-K07"/>
    <s v="D02"/>
    <x v="1"/>
    <s v="S10"/>
    <s v="D02-S10"/>
    <x v="17"/>
    <s v="P08"/>
    <s v="D02-S10-P08"/>
    <x v="127"/>
    <s v="K07"/>
    <s v="Hiwaka"/>
  </r>
  <r>
    <s v="D02-S10-P08-K08"/>
    <s v="D02"/>
    <x v="1"/>
    <s v="S10"/>
    <s v="D02-S10"/>
    <x v="17"/>
    <s v="P08"/>
    <s v="D02-S10-P08"/>
    <x v="127"/>
    <s v="K08"/>
    <s v="Compound"/>
  </r>
  <r>
    <s v="D02-S10-P09-K01"/>
    <s v="D02"/>
    <x v="1"/>
    <s v="S10"/>
    <s v="D02-S10"/>
    <x v="17"/>
    <s v="P09"/>
    <s v="D02-S10-P09"/>
    <x v="128"/>
    <s v="K01"/>
    <s v="Lius Mem"/>
  </r>
  <r>
    <s v="D02-S10-P09-K02"/>
    <s v="D02"/>
    <x v="1"/>
    <s v="S10"/>
    <s v="D02-S10"/>
    <x v="17"/>
    <s v="P09"/>
    <s v="D02-S10-P09"/>
    <x v="128"/>
    <s v="K02"/>
    <s v="Jordans Memorial"/>
  </r>
  <r>
    <s v="D02-S10-P09-K03"/>
    <s v="D02"/>
    <x v="1"/>
    <s v="S10"/>
    <s v="D02-S10"/>
    <x v="17"/>
    <s v="P09"/>
    <s v="D02-S10-P09"/>
    <x v="128"/>
    <s v="K03"/>
    <s v="Kisim Bek"/>
  </r>
  <r>
    <s v="D02-S10-P09-K04"/>
    <s v="D02"/>
    <x v="1"/>
    <s v="S10"/>
    <s v="D02-S10"/>
    <x v="17"/>
    <s v="P09"/>
    <s v="D02-S10-P09"/>
    <x v="128"/>
    <s v="K04"/>
    <s v="Bethel"/>
  </r>
  <r>
    <s v="D02-S10-P10-K01"/>
    <s v="D02"/>
    <x v="1"/>
    <s v="S10"/>
    <s v="D02-S10"/>
    <x v="17"/>
    <s v="P10"/>
    <s v="D02-S10-P10"/>
    <x v="129"/>
    <s v="K01"/>
    <s v="Immanuel"/>
  </r>
  <r>
    <s v="D02-S10-P10-K02"/>
    <s v="D02"/>
    <x v="1"/>
    <s v="S10"/>
    <s v="D02-S10"/>
    <x v="17"/>
    <s v="P10"/>
    <s v="D02-S10-P10"/>
    <x v="129"/>
    <s v="K02"/>
    <s v="Hosjei"/>
  </r>
  <r>
    <s v="D02-S10-P10-K03"/>
    <s v="D02"/>
    <x v="1"/>
    <s v="S10"/>
    <s v="D02-S10"/>
    <x v="17"/>
    <s v="P10"/>
    <s v="D02-S10-P10"/>
    <x v="129"/>
    <s v="K03"/>
    <s v="Egigi"/>
  </r>
  <r>
    <s v="D02-S10-P10-K04"/>
    <s v="D02"/>
    <x v="1"/>
    <s v="S10"/>
    <s v="D02-S10"/>
    <x v="17"/>
    <s v="P10"/>
    <s v="D02-S10-P10"/>
    <x v="129"/>
    <s v="K04"/>
    <s v="mewapi (St. Peters Memorial)"/>
  </r>
  <r>
    <s v="D02-S10-P10-K05"/>
    <s v="D02"/>
    <x v="1"/>
    <s v="S10"/>
    <s v="D02-S10"/>
    <x v="17"/>
    <s v="P10"/>
    <s v="D02-S10-P10"/>
    <x v="129"/>
    <s v="K05"/>
    <s v="Akubungi"/>
  </r>
  <r>
    <s v="D02-S10-P11-K01"/>
    <s v="D02"/>
    <x v="1"/>
    <s v="S10"/>
    <s v="D02-S10"/>
    <x v="17"/>
    <s v="P11"/>
    <s v="D02-S10-P11"/>
    <x v="130"/>
    <s v="K01"/>
    <s v="Yakangi"/>
  </r>
  <r>
    <s v="D02-S10-P11-K02"/>
    <s v="D02"/>
    <x v="1"/>
    <s v="S10"/>
    <s v="D02-S10"/>
    <x v="17"/>
    <s v="P11"/>
    <s v="D02-S10-P11"/>
    <x v="130"/>
    <s v="K02"/>
    <s v="Pono"/>
  </r>
  <r>
    <s v="D02-S10-P12-K01"/>
    <s v="D02"/>
    <x v="1"/>
    <s v="S10"/>
    <s v="D02-S10"/>
    <x v="17"/>
    <s v="P12"/>
    <s v="D02-S10-P12"/>
    <x v="131"/>
    <s v="K01"/>
    <s v="Lagei"/>
  </r>
  <r>
    <s v="D02-S10-P12-K02"/>
    <s v="D02"/>
    <x v="1"/>
    <s v="S10"/>
    <s v="D02-S10"/>
    <x v="17"/>
    <s v="P12"/>
    <s v="D02-S10-P12"/>
    <x v="131"/>
    <s v="K02"/>
    <s v="Nambawan Bridge"/>
  </r>
  <r>
    <s v="D02-S10-P12-K03"/>
    <s v="D02"/>
    <x v="1"/>
    <s v="S10"/>
    <s v="D02-S10"/>
    <x v="17"/>
    <s v="P12"/>
    <s v="D02-S10-P12"/>
    <x v="131"/>
    <s v="K03"/>
    <s v="Asakundi"/>
  </r>
  <r>
    <s v="D02-S10-P13-K01"/>
    <s v="D02"/>
    <x v="1"/>
    <s v="S10"/>
    <s v="D02-S10"/>
    <x v="17"/>
    <s v="P13"/>
    <s v="D02-S10-P13"/>
    <x v="132"/>
    <s v="K01"/>
    <s v="Minge"/>
  </r>
  <r>
    <s v="D02-S10-P13-K02"/>
    <s v="D02"/>
    <x v="1"/>
    <s v="S10"/>
    <s v="D02-S10"/>
    <x v="17"/>
    <s v="P13"/>
    <s v="D02-S10-P13"/>
    <x v="132"/>
    <s v="K02"/>
    <s v="Kumai"/>
  </r>
  <r>
    <s v="D02-S11-P01-K01"/>
    <s v="D02"/>
    <x v="1"/>
    <s v="S11"/>
    <s v="D02-S11"/>
    <x v="18"/>
    <s v="P01"/>
    <s v="D02-S11-P01"/>
    <x v="133"/>
    <s v="K01"/>
    <s v="Fayang"/>
  </r>
  <r>
    <s v="D02-S11-P01-K02"/>
    <s v="D02"/>
    <x v="1"/>
    <s v="S11"/>
    <s v="D02-S11"/>
    <x v="18"/>
    <s v="P01"/>
    <s v="D02-S11-P01"/>
    <x v="133"/>
    <s v="K02"/>
    <s v="Sifu"/>
  </r>
  <r>
    <s v="D02-S11-P01-K03"/>
    <s v="D02"/>
    <x v="1"/>
    <s v="S11"/>
    <s v="D02-S11"/>
    <x v="18"/>
    <s v="P01"/>
    <s v="D02-S11-P01"/>
    <x v="133"/>
    <s v="K03"/>
    <s v="Siara"/>
  </r>
  <r>
    <s v="D02-S11-P01-K04"/>
    <s v="D02"/>
    <x v="1"/>
    <s v="S11"/>
    <s v="D02-S11"/>
    <x v="18"/>
    <s v="P01"/>
    <s v="D02-S11-P01"/>
    <x v="133"/>
    <s v="K04"/>
    <s v="Bogaba"/>
  </r>
  <r>
    <s v="D02-S11-P01-K05"/>
    <s v="D02"/>
    <x v="1"/>
    <s v="S11"/>
    <s v="D02-S11"/>
    <x v="18"/>
    <s v="P01"/>
    <s v="D02-S11-P01"/>
    <x v="133"/>
    <s v="K05"/>
    <s v="Rumion Fam"/>
  </r>
  <r>
    <s v="D02-S11-P02-K01"/>
    <s v="D02"/>
    <x v="1"/>
    <s v="S11"/>
    <s v="D02-S11"/>
    <x v="18"/>
    <s v="P02"/>
    <s v="D02-S11-P02"/>
    <x v="133"/>
    <s v="K01"/>
    <s v="Rumrinam"/>
  </r>
  <r>
    <s v="D02-S11-P02-K02"/>
    <s v="D02"/>
    <x v="1"/>
    <s v="S11"/>
    <s v="D02-S11"/>
    <x v="18"/>
    <s v="P02"/>
    <s v="D02-S11-P02"/>
    <x v="134"/>
    <s v="K02"/>
    <s v="Sukurum"/>
  </r>
  <r>
    <s v="D02-S11-P02-K03"/>
    <s v="D02"/>
    <x v="1"/>
    <s v="S11"/>
    <s v="D02-S11"/>
    <x v="18"/>
    <s v="P02"/>
    <s v="D02-S11-P02"/>
    <x v="134"/>
    <s v="K03"/>
    <s v="Gabagiab"/>
  </r>
  <r>
    <s v="D02-S11-P02-K04"/>
    <s v="D02"/>
    <x v="1"/>
    <s v="S11"/>
    <s v="D02-S11"/>
    <x v="18"/>
    <s v="P02"/>
    <s v="D02-S11-P02"/>
    <x v="134"/>
    <s v="K04"/>
    <s v="Waraum"/>
  </r>
  <r>
    <s v="D02-S11-P02-K05"/>
    <s v="D02"/>
    <x v="1"/>
    <s v="S11"/>
    <s v="D02-S11"/>
    <x v="18"/>
    <s v="P02"/>
    <s v="D02-S11-P02"/>
    <x v="134"/>
    <s v="K05"/>
    <s v="Kupasa"/>
  </r>
  <r>
    <s v="D02-S11-P02-K06"/>
    <s v="D02"/>
    <x v="1"/>
    <s v="S11"/>
    <s v="D02-S11"/>
    <x v="18"/>
    <s v="P02"/>
    <s v="D02-S11-P02"/>
    <x v="134"/>
    <s v="K06"/>
    <s v="Traraktarak"/>
  </r>
  <r>
    <s v="D02-S11-P02-K07"/>
    <s v="D02"/>
    <x v="1"/>
    <s v="S11"/>
    <s v="D02-S11"/>
    <x v="18"/>
    <s v="P02"/>
    <s v="D02-S11-P02"/>
    <x v="134"/>
    <s v="K07"/>
    <s v="Rumion Fam"/>
  </r>
  <r>
    <s v="D02-S11-P03-K01"/>
    <s v="D02"/>
    <x v="1"/>
    <s v="S11"/>
    <s v="D02-S11"/>
    <x v="18"/>
    <s v="P03"/>
    <s v="D02-S11-P03"/>
    <x v="135"/>
    <s v="K01"/>
    <s v="Pukpuk"/>
  </r>
  <r>
    <s v="D02-S11-P03-K02"/>
    <s v="D02"/>
    <x v="1"/>
    <s v="S11"/>
    <s v="D02-S11"/>
    <x v="18"/>
    <s v="P03"/>
    <s v="D02-S11-P03"/>
    <x v="135"/>
    <s v="K02"/>
    <s v="Som"/>
  </r>
  <r>
    <s v="D02-S11-P03-K03"/>
    <s v="D02"/>
    <x v="1"/>
    <s v="S11"/>
    <s v="D02-S11"/>
    <x v="18"/>
    <s v="P03"/>
    <s v="D02-S11-P03"/>
    <x v="135"/>
    <s v="K03"/>
    <s v="Silasila"/>
  </r>
  <r>
    <s v="D02-S11-P03-K04"/>
    <s v="D02"/>
    <x v="1"/>
    <s v="S11"/>
    <s v="D02-S11"/>
    <x v="18"/>
    <s v="P03"/>
    <s v="D02-S11-P03"/>
    <x v="135"/>
    <s v="K04"/>
    <s v="Yuweng"/>
  </r>
  <r>
    <s v="D02-S11-P03-K05"/>
    <s v="D02"/>
    <x v="1"/>
    <s v="S11"/>
    <s v="D02-S11"/>
    <x v="18"/>
    <s v="P03"/>
    <s v="D02-S11-P03"/>
    <x v="135"/>
    <s v="K05"/>
    <s v="Wangeto"/>
  </r>
  <r>
    <s v="D02-S11-P03-K06"/>
    <s v="D02"/>
    <x v="1"/>
    <s v="S11"/>
    <s v="D02-S11"/>
    <x v="18"/>
    <s v="P03"/>
    <s v="D02-S11-P03"/>
    <x v="135"/>
    <s v="K06"/>
    <s v="Sasiang Fam"/>
  </r>
  <r>
    <s v="D02-S11-P04-K01"/>
    <s v="D02"/>
    <x v="1"/>
    <s v="S11"/>
    <s v="D02-S11"/>
    <x v="18"/>
    <s v="P04"/>
    <s v="D02-S11-P04"/>
    <x v="94"/>
    <s v="K01"/>
    <s v="Mangiang"/>
  </r>
  <r>
    <s v="D02-S11-P04-K02"/>
    <s v="D02"/>
    <x v="1"/>
    <s v="S11"/>
    <s v="D02-S11"/>
    <x v="18"/>
    <s v="P04"/>
    <s v="D02-S11-P04"/>
    <x v="94"/>
    <s v="K02"/>
    <s v="Binimamp"/>
  </r>
  <r>
    <s v="D02-S11-P04-K03"/>
    <s v="D02"/>
    <x v="1"/>
    <s v="S11"/>
    <s v="D02-S11"/>
    <x v="18"/>
    <s v="P04"/>
    <s v="D02-S11-P04"/>
    <x v="94"/>
    <s v="K03"/>
    <s v="Urai"/>
  </r>
  <r>
    <s v="D02-S11-P04-K04"/>
    <s v="D02"/>
    <x v="1"/>
    <s v="S11"/>
    <s v="D02-S11"/>
    <x v="18"/>
    <s v="P04"/>
    <s v="D02-S11-P04"/>
    <x v="94"/>
    <s v="K04"/>
    <s v="Marikus"/>
  </r>
  <r>
    <s v="D02-S11-P04-K05"/>
    <s v="D02"/>
    <x v="1"/>
    <s v="S11"/>
    <s v="D02-S11"/>
    <x v="18"/>
    <s v="P04"/>
    <s v="D02-S11-P04"/>
    <x v="94"/>
    <s v="K05"/>
    <s v="Ngarubu Ramp"/>
  </r>
  <r>
    <s v="D02-S11-P04-K06"/>
    <s v="D02"/>
    <x v="1"/>
    <s v="S11"/>
    <s v="D02-S11"/>
    <x v="18"/>
    <s v="P04"/>
    <s v="D02-S11-P04"/>
    <x v="94"/>
    <s v="K06"/>
    <s v="Itsir"/>
  </r>
  <r>
    <s v="D02-S11-P04-K07"/>
    <s v="D02"/>
    <x v="1"/>
    <s v="S11"/>
    <s v="D02-S11"/>
    <x v="18"/>
    <s v="P04"/>
    <s v="D02-S11-P04"/>
    <x v="94"/>
    <s v="K07"/>
    <s v="Guarug"/>
  </r>
  <r>
    <s v="D02-S11-P04-K08"/>
    <s v="D02"/>
    <x v="1"/>
    <s v="S11"/>
    <s v="D02-S11"/>
    <x v="18"/>
    <s v="P04"/>
    <s v="D02-S11-P04"/>
    <x v="94"/>
    <s v="K08"/>
    <s v="Marabuma"/>
  </r>
  <r>
    <s v="D02-S11-P04-K09"/>
    <s v="D02"/>
    <x v="1"/>
    <s v="S11"/>
    <s v="D02-S11"/>
    <x v="18"/>
    <s v="P04"/>
    <s v="D02-S11-P04"/>
    <x v="94"/>
    <s v="K09"/>
    <s v="Zumpiatun"/>
  </r>
  <r>
    <s v="D02-S11-P05-K01"/>
    <s v="D02"/>
    <x v="1"/>
    <s v="S11"/>
    <s v="D02-S11"/>
    <x v="18"/>
    <s v="P05"/>
    <s v="D02-S11-P05"/>
    <x v="136"/>
    <s v="K01"/>
    <s v="Siriwarang"/>
  </r>
  <r>
    <s v="D02-S11-P05-K02"/>
    <s v="D02"/>
    <x v="1"/>
    <s v="S11"/>
    <s v="D02-S11"/>
    <x v="18"/>
    <s v="P05"/>
    <s v="D02-S11-P05"/>
    <x v="136"/>
    <s v="K02"/>
    <s v="Riara"/>
  </r>
  <r>
    <s v="D02-S11-P05-K03"/>
    <s v="D02"/>
    <x v="1"/>
    <s v="S11"/>
    <s v="D02-S11"/>
    <x v="18"/>
    <s v="P05"/>
    <s v="D02-S11-P05"/>
    <x v="136"/>
    <s v="K03"/>
    <s v="Leron Fam"/>
  </r>
  <r>
    <s v="D02-S11-P05-K04"/>
    <s v="D02"/>
    <x v="1"/>
    <s v="S11"/>
    <s v="D02-S11"/>
    <x v="18"/>
    <s v="P05"/>
    <s v="D02-S11-P05"/>
    <x v="136"/>
    <s v="K04"/>
    <s v="Zumanggurun"/>
  </r>
  <r>
    <s v="D02-S11-P05-K05"/>
    <s v="D02"/>
    <x v="1"/>
    <s v="S11"/>
    <s v="D02-S11"/>
    <x v="18"/>
    <s v="P05"/>
    <s v="D02-S11-P05"/>
    <x v="136"/>
    <s v="K05"/>
    <s v="Bagaeang"/>
  </r>
  <r>
    <s v="D02-S11-P05-K06"/>
    <s v="D02"/>
    <x v="1"/>
    <s v="S11"/>
    <s v="D02-S11"/>
    <x v="18"/>
    <s v="P05"/>
    <s v="D02-S11-P05"/>
    <x v="136"/>
    <s v="K06"/>
    <s v="Wafibampun"/>
  </r>
  <r>
    <s v="D02-S12-P01-K01"/>
    <s v="D02"/>
    <x v="1"/>
    <s v="S12"/>
    <s v="D02-S12"/>
    <x v="19"/>
    <s v="P01"/>
    <s v="D02-S12-P01"/>
    <x v="137"/>
    <s v="K01"/>
    <s v="Waswas"/>
  </r>
  <r>
    <s v="D02-S12-P01-K02"/>
    <s v="D02"/>
    <x v="1"/>
    <s v="S12"/>
    <s v="D02-S12"/>
    <x v="19"/>
    <s v="P01"/>
    <s v="D02-S12-P01"/>
    <x v="137"/>
    <s v="K02"/>
    <s v="Zeneb"/>
  </r>
  <r>
    <s v="D02-S12-P01-K03"/>
    <s v="D02"/>
    <x v="1"/>
    <s v="S12"/>
    <s v="D02-S12"/>
    <x v="19"/>
    <s v="P01"/>
    <s v="D02-S12-P01"/>
    <x v="137"/>
    <s v="K03"/>
    <s v="Malalanko"/>
  </r>
  <r>
    <s v="D02-S12-P02-K01"/>
    <s v="D02"/>
    <x v="1"/>
    <s v="S12"/>
    <s v="D02-S12"/>
    <x v="19"/>
    <s v="P02"/>
    <s v="D02-S12-P02"/>
    <x v="138"/>
    <s v="K01"/>
    <s v="Malarena"/>
  </r>
  <r>
    <s v="D02-S12-P02-K02"/>
    <s v="D02"/>
    <x v="1"/>
    <s v="S12"/>
    <s v="D02-S12"/>
    <x v="19"/>
    <s v="P02"/>
    <s v="D02-S12-P02"/>
    <x v="138"/>
    <s v="K02"/>
    <s v="Beseng"/>
  </r>
  <r>
    <s v="D02-S12-P02-K03"/>
    <s v="D02"/>
    <x v="1"/>
    <s v="S12"/>
    <s v="D02-S12"/>
    <x v="19"/>
    <s v="P02"/>
    <s v="D02-S12-P02"/>
    <x v="138"/>
    <s v="K03"/>
    <s v="Wampan"/>
  </r>
  <r>
    <s v="D02-S12-P02-K04"/>
    <s v="D02"/>
    <x v="1"/>
    <s v="S12"/>
    <s v="D02-S12"/>
    <x v="19"/>
    <s v="P02"/>
    <s v="D02-S12-P02"/>
    <x v="138"/>
    <s v="K04"/>
    <s v="Mazim"/>
  </r>
  <r>
    <s v="D02-S12-P02-K05"/>
    <s v="D02"/>
    <x v="1"/>
    <s v="S12"/>
    <s v="D02-S12"/>
    <x v="19"/>
    <s v="P02"/>
    <s v="D02-S12-P02"/>
    <x v="138"/>
    <s v="K05"/>
    <s v="Kapungnung"/>
  </r>
  <r>
    <s v="D02-S12-P03-K01"/>
    <s v="D02"/>
    <x v="1"/>
    <s v="S12"/>
    <s v="D02-S12"/>
    <x v="19"/>
    <s v="P03"/>
    <s v="D02-S12-P03"/>
    <x v="89"/>
    <s v="K01"/>
    <s v="Uruf"/>
  </r>
  <r>
    <s v="D02-S12-P03-K02"/>
    <s v="D02"/>
    <x v="1"/>
    <s v="S12"/>
    <s v="D02-S12"/>
    <x v="19"/>
    <s v="P03"/>
    <s v="D02-S12-P03"/>
    <x v="89"/>
    <s v="K02"/>
    <s v="Mafanazo"/>
  </r>
  <r>
    <s v="D02-S12-P03-K03"/>
    <s v="D02"/>
    <x v="1"/>
    <s v="S12"/>
    <s v="D02-S12"/>
    <x v="19"/>
    <s v="P03"/>
    <s v="D02-S12-P03"/>
    <x v="89"/>
    <s v="K03"/>
    <s v="Morom"/>
  </r>
  <r>
    <s v="D02-S12-P04-K01"/>
    <s v="D02"/>
    <x v="1"/>
    <s v="S12"/>
    <s v="D02-S12"/>
    <x v="19"/>
    <s v="P04"/>
    <s v="D02-S12-P04"/>
    <x v="139"/>
    <s v="K01"/>
    <s v="Zifasing"/>
  </r>
  <r>
    <s v="D02-S12-P04-K02"/>
    <s v="D02"/>
    <x v="1"/>
    <s v="S12"/>
    <s v="D02-S12"/>
    <x v="19"/>
    <s v="P04"/>
    <s v="D02-S12-P04"/>
    <x v="139"/>
    <s v="K02"/>
    <s v="Tararan"/>
  </r>
  <r>
    <s v="D02-S12-P04-K03"/>
    <s v="D02"/>
    <x v="1"/>
    <s v="S12"/>
    <s v="D02-S12"/>
    <x v="19"/>
    <s v="P04"/>
    <s v="D02-S12-P04"/>
    <x v="139"/>
    <s v="K03"/>
    <s v="Noa/Naropraf"/>
  </r>
  <r>
    <s v="D02-S12-P05-K01"/>
    <s v="D02"/>
    <x v="1"/>
    <s v="S12"/>
    <s v="D02-S12"/>
    <x v="19"/>
    <s v="P05"/>
    <s v="D02-S12-P05"/>
    <x v="140"/>
    <s v="K01"/>
    <s v="Naromanki"/>
  </r>
  <r>
    <s v="D02-S12-P05-K02"/>
    <s v="D02"/>
    <x v="1"/>
    <s v="S12"/>
    <s v="D02-S12"/>
    <x v="19"/>
    <s v="P05"/>
    <s v="D02-S12-P05"/>
    <x v="140"/>
    <s v="K02"/>
    <s v="Bobong"/>
  </r>
  <r>
    <s v="D02-S12-P05-K03"/>
    <s v="D02"/>
    <x v="1"/>
    <s v="S12"/>
    <s v="D02-S12"/>
    <x v="19"/>
    <s v="P05"/>
    <s v="D02-S12-P05"/>
    <x v="140"/>
    <s v="K03"/>
    <s v="Markham Fam"/>
  </r>
  <r>
    <s v="D02-S12-P06-K01"/>
    <s v="D02"/>
    <x v="1"/>
    <s v="S12"/>
    <s v="D02-S12"/>
    <x v="19"/>
    <s v="P06"/>
    <s v="D02-S12-P06"/>
    <x v="141"/>
    <s v="K01"/>
    <s v="Gabosonkeg"/>
  </r>
  <r>
    <s v="D02-S12-P06-K02"/>
    <s v="D02"/>
    <x v="1"/>
    <s v="S12"/>
    <s v="D02-S12"/>
    <x v="19"/>
    <s v="P06"/>
    <s v="D02-S12-P06"/>
    <x v="141"/>
    <s v="K02"/>
    <s v="Nasuapum"/>
  </r>
  <r>
    <s v="D02-S12-P06-K03"/>
    <s v="D02"/>
    <x v="1"/>
    <s v="S12"/>
    <s v="D02-S12"/>
    <x v="19"/>
    <s v="P06"/>
    <s v="D02-S12-P06"/>
    <x v="141"/>
    <s v="K03"/>
    <s v="Nunun"/>
  </r>
  <r>
    <s v="D02-S12-P06-K04"/>
    <s v="D02"/>
    <x v="1"/>
    <s v="S12"/>
    <s v="D02-S12"/>
    <x v="19"/>
    <s v="P06"/>
    <s v="D02-S12-P06"/>
    <x v="141"/>
    <s v="K04"/>
    <s v="Banzaing"/>
  </r>
  <r>
    <s v="D02-S12-P07-K01"/>
    <s v="D02"/>
    <x v="1"/>
    <s v="S12"/>
    <s v="D02-S12"/>
    <x v="19"/>
    <s v="P07"/>
    <s v="D02-S12-P07"/>
    <x v="142"/>
    <s v="K01"/>
    <s v="Mare"/>
  </r>
  <r>
    <s v="D02-S12-P07-K02"/>
    <s v="D02"/>
    <x v="1"/>
    <s v="S12"/>
    <s v="D02-S12"/>
    <x v="19"/>
    <s v="P07"/>
    <s v="D02-S12-P07"/>
    <x v="142"/>
    <s v="K02"/>
    <s v="Wampit"/>
  </r>
  <r>
    <s v="D02-S12-P07-K03"/>
    <s v="D02"/>
    <x v="1"/>
    <s v="S12"/>
    <s v="D02-S12"/>
    <x v="19"/>
    <s v="P07"/>
    <s v="D02-S12-P07"/>
    <x v="142"/>
    <s v="K03"/>
    <s v="Gabansis"/>
  </r>
  <r>
    <s v="D02-S12-P07-K04"/>
    <s v="D02"/>
    <x v="1"/>
    <s v="S12"/>
    <s v="D02-S12"/>
    <x v="19"/>
    <s v="P07"/>
    <s v="D02-S12-P07"/>
    <x v="142"/>
    <s v="K04"/>
    <s v="Ziats"/>
  </r>
  <r>
    <s v="D02-S13-P01-K01"/>
    <s v="D02"/>
    <x v="1"/>
    <s v="S13"/>
    <s v="D02-S13"/>
    <x v="20"/>
    <s v="P01"/>
    <s v="D02-S13-P01"/>
    <x v="143"/>
    <s v="K01"/>
    <s v="Solomon"/>
  </r>
  <r>
    <s v="D02-S13-P01-K02"/>
    <s v="D02"/>
    <x v="1"/>
    <s v="S13"/>
    <s v="D02-S13"/>
    <x v="20"/>
    <s v="P01"/>
    <s v="D02-S13-P01"/>
    <x v="143"/>
    <s v="K02"/>
    <s v="Gikasit"/>
  </r>
  <r>
    <s v="D02-S13-P01-K03"/>
    <s v="D02"/>
    <x v="1"/>
    <s v="S13"/>
    <s v="D02-S13"/>
    <x v="20"/>
    <s v="P01"/>
    <s v="D02-S13-P01"/>
    <x v="143"/>
    <s v="K03"/>
    <s v="Tamoyang"/>
  </r>
  <r>
    <s v="D02-S13-P01-K04"/>
    <s v="D02"/>
    <x v="1"/>
    <s v="S13"/>
    <s v="D02-S13"/>
    <x v="20"/>
    <s v="P01"/>
    <s v="D02-S13-P01"/>
    <x v="143"/>
    <s v="K04"/>
    <s v="Mataya"/>
  </r>
  <r>
    <s v="D02-S13-P01-K05"/>
    <s v="D02"/>
    <x v="1"/>
    <s v="S13"/>
    <s v="D02-S13"/>
    <x v="20"/>
    <s v="P01"/>
    <s v="D02-S13-P01"/>
    <x v="143"/>
    <s v="K05"/>
    <s v="Sakapan"/>
  </r>
  <r>
    <s v="D02-S13-P01-K06"/>
    <s v="D02"/>
    <x v="1"/>
    <s v="S13"/>
    <s v="D02-S13"/>
    <x v="20"/>
    <s v="P01"/>
    <s v="D02-S13-P01"/>
    <x v="143"/>
    <s v="K06"/>
    <s v="Hikwang"/>
  </r>
  <r>
    <s v="D02-S13-P01-K07"/>
    <s v="D02"/>
    <x v="1"/>
    <s v="S13"/>
    <s v="D02-S13"/>
    <x v="20"/>
    <s v="P01"/>
    <s v="D02-S13-P01"/>
    <x v="143"/>
    <s v="K07"/>
    <s v="St. Josep"/>
  </r>
  <r>
    <s v="D02-S13-P01-K08"/>
    <s v="D02"/>
    <x v="1"/>
    <s v="S13"/>
    <s v="D02-S13"/>
    <x v="20"/>
    <s v="P01"/>
    <s v="D02-S13-P01"/>
    <x v="143"/>
    <s v="K08"/>
    <s v="Matak"/>
  </r>
  <r>
    <s v="D02-S13-P01-K09"/>
    <s v="D02"/>
    <x v="1"/>
    <s v="S13"/>
    <s v="D02-S13"/>
    <x v="20"/>
    <s v="P01"/>
    <s v="D02-S13-P01"/>
    <x v="143"/>
    <s v="K09"/>
    <s v="Yanoli (Gimia)"/>
  </r>
  <r>
    <s v="D02-S13-P01-K10"/>
    <s v="D02"/>
    <x v="1"/>
    <s v="S13"/>
    <s v="D02-S13"/>
    <x v="20"/>
    <s v="P01"/>
    <s v="D02-S13-P01"/>
    <x v="143"/>
    <s v="K10"/>
    <s v="Bilom"/>
  </r>
  <r>
    <s v="D02-S13-P01-K11"/>
    <s v="D02"/>
    <x v="1"/>
    <s v="S13"/>
    <s v="D02-S13"/>
    <x v="20"/>
    <s v="P01"/>
    <s v="D02-S13-P01"/>
    <x v="143"/>
    <s v="K11"/>
    <s v="Hibru"/>
  </r>
  <r>
    <s v="D02-S13-P01-K12"/>
    <s v="D02"/>
    <x v="1"/>
    <s v="S13"/>
    <s v="D02-S13"/>
    <x v="20"/>
    <s v="P01"/>
    <s v="D02-S13-P01"/>
    <x v="143"/>
    <s v="K12"/>
    <s v="St. Kipu (Yapulak)"/>
  </r>
  <r>
    <s v="D02-S13-P01-K13"/>
    <s v="D02"/>
    <x v="1"/>
    <s v="S13"/>
    <s v="D02-S13"/>
    <x v="20"/>
    <s v="P01"/>
    <s v="D02-S13-P01"/>
    <x v="143"/>
    <s v="K13"/>
    <s v="St. Abraham"/>
  </r>
  <r>
    <s v="D02-S13-P01-K14"/>
    <s v="D02"/>
    <x v="1"/>
    <s v="S13"/>
    <s v="D02-S13"/>
    <x v="20"/>
    <s v="P01"/>
    <s v="D02-S13-P01"/>
    <x v="143"/>
    <s v="K14"/>
    <s v="Kanayek"/>
  </r>
  <r>
    <s v="D02-S13-P02-K01"/>
    <s v="D02"/>
    <x v="1"/>
    <s v="S13"/>
    <s v="D02-S13"/>
    <x v="20"/>
    <s v="P02"/>
    <s v="D02-S13-P02"/>
    <x v="144"/>
    <s v="K01"/>
    <s v="Bumbun 1"/>
  </r>
  <r>
    <s v="D02-S13-P02-K02"/>
    <s v="D02"/>
    <x v="1"/>
    <s v="S13"/>
    <s v="D02-S13"/>
    <x v="20"/>
    <s v="P02"/>
    <s v="D02-S13-P02"/>
    <x v="144"/>
    <s v="K02"/>
    <s v="Bumbun 2"/>
  </r>
  <r>
    <s v="D02-S13-P02-K03"/>
    <s v="D02"/>
    <x v="1"/>
    <s v="S13"/>
    <s v="D02-S13"/>
    <x v="20"/>
    <s v="P02"/>
    <s v="D02-S13-P02"/>
    <x v="144"/>
    <s v="K03"/>
    <s v="Zayakwen"/>
  </r>
  <r>
    <s v="D02-S13-P02-K04"/>
    <s v="D02"/>
    <x v="1"/>
    <s v="S13"/>
    <s v="D02-S13"/>
    <x v="20"/>
    <s v="P02"/>
    <s v="D02-S13-P02"/>
    <x v="144"/>
    <s v="K04"/>
    <s v="Giopompi"/>
  </r>
  <r>
    <s v="D02-S13-P02-K05"/>
    <s v="D02"/>
    <x v="1"/>
    <s v="S13"/>
    <s v="D02-S13"/>
    <x v="20"/>
    <s v="P02"/>
    <s v="D02-S13-P02"/>
    <x v="144"/>
    <s v="K05"/>
    <s v="Dapunzit"/>
  </r>
  <r>
    <s v="D02-S13-P02-K06"/>
    <s v="D02"/>
    <x v="1"/>
    <s v="S13"/>
    <s v="D02-S13"/>
    <x v="20"/>
    <s v="P02"/>
    <s v="D02-S13-P02"/>
    <x v="144"/>
    <s v="K06"/>
    <s v="Akomna"/>
  </r>
  <r>
    <s v="D02-S13-P02-K07"/>
    <s v="D02"/>
    <x v="1"/>
    <s v="S13"/>
    <s v="D02-S13"/>
    <x v="20"/>
    <s v="P02"/>
    <s v="D02-S13-P02"/>
    <x v="144"/>
    <s v="K07"/>
    <s v="Yiangdaka"/>
  </r>
  <r>
    <s v="D02-S13-P02-K08"/>
    <s v="D02"/>
    <x v="1"/>
    <s v="S13"/>
    <s v="D02-S13"/>
    <x v="20"/>
    <s v="P02"/>
    <s v="D02-S13-P02"/>
    <x v="144"/>
    <s v="K08"/>
    <s v="Kesaut"/>
  </r>
  <r>
    <s v="D02-S13-P02-K09"/>
    <s v="D02"/>
    <x v="1"/>
    <s v="S13"/>
    <s v="D02-S13"/>
    <x v="20"/>
    <s v="P02"/>
    <s v="D02-S13-P02"/>
    <x v="144"/>
    <s v="K09"/>
    <s v="Gapmapa"/>
  </r>
  <r>
    <s v="D02-S13-P02-K10"/>
    <s v="D02"/>
    <x v="1"/>
    <s v="S13"/>
    <s v="D02-S13"/>
    <x v="20"/>
    <s v="P02"/>
    <s v="D02-S13-P02"/>
    <x v="144"/>
    <s v="K10"/>
    <s v="Wabung"/>
  </r>
  <r>
    <s v="D02-S13-P02-K11"/>
    <s v="D02"/>
    <x v="1"/>
    <s v="S13"/>
    <s v="D02-S13"/>
    <x v="20"/>
    <s v="P02"/>
    <s v="D02-S13-P02"/>
    <x v="144"/>
    <s v="K11"/>
    <s v="Kanggandaka"/>
  </r>
  <r>
    <s v="D02-S13-P03-K01"/>
    <s v="D02"/>
    <x v="1"/>
    <s v="S13"/>
    <s v="D02-S13"/>
    <x v="20"/>
    <s v="P03"/>
    <s v="D02-S13-P03"/>
    <x v="145"/>
    <s v="K01"/>
    <s v="Kamang"/>
  </r>
  <r>
    <s v="D02-S13-P03-K02"/>
    <s v="D02"/>
    <x v="1"/>
    <s v="S13"/>
    <s v="D02-S13"/>
    <x v="20"/>
    <s v="P03"/>
    <s v="D02-S13-P03"/>
    <x v="145"/>
    <s v="K02"/>
    <s v="Warabung"/>
  </r>
  <r>
    <s v="D02-S13-P03-K03"/>
    <s v="D02"/>
    <x v="1"/>
    <s v="S13"/>
    <s v="D02-S13"/>
    <x v="20"/>
    <s v="P03"/>
    <s v="D02-S13-P03"/>
    <x v="145"/>
    <s v="K03"/>
    <s v="kandumi"/>
  </r>
  <r>
    <s v="D02-S13-P03-K04"/>
    <s v="D02"/>
    <x v="1"/>
    <s v="S13"/>
    <s v="D02-S13"/>
    <x v="20"/>
    <s v="P03"/>
    <s v="D02-S13-P03"/>
    <x v="145"/>
    <s v="K04"/>
    <s v="Bungam"/>
  </r>
  <r>
    <s v="D02-S13-P03-K05"/>
    <s v="D02"/>
    <x v="1"/>
    <s v="S13"/>
    <s v="D02-S13"/>
    <x v="20"/>
    <s v="P03"/>
    <s v="D02-S13-P03"/>
    <x v="145"/>
    <s v="K05"/>
    <s v="Ewok"/>
  </r>
  <r>
    <s v="D02-S13-P03-K06"/>
    <s v="D02"/>
    <x v="1"/>
    <s v="S13"/>
    <s v="D02-S13"/>
    <x v="20"/>
    <s v="P03"/>
    <s v="D02-S13-P03"/>
    <x v="145"/>
    <s v="K06"/>
    <s v="Kikiepa"/>
  </r>
  <r>
    <s v="D02-S13-P04-K01"/>
    <s v="D02"/>
    <x v="1"/>
    <s v="S13"/>
    <s v="D02-S13"/>
    <x v="20"/>
    <s v="P04"/>
    <s v="D02-S13-P04"/>
    <x v="146"/>
    <s v="K01"/>
    <s v="Gatabon"/>
  </r>
  <r>
    <s v="D02-S13-P04-K02"/>
    <s v="D02"/>
    <x v="1"/>
    <s v="S13"/>
    <s v="D02-S13"/>
    <x v="20"/>
    <s v="P04"/>
    <s v="D02-S13-P04"/>
    <x v="146"/>
    <s v="K02"/>
    <s v="Gumiya"/>
  </r>
  <r>
    <s v="D02-S13-P04-K03"/>
    <s v="D02"/>
    <x v="1"/>
    <s v="S13"/>
    <s v="D02-S13"/>
    <x v="20"/>
    <s v="P04"/>
    <s v="D02-S13-P04"/>
    <x v="146"/>
    <s v="K03"/>
    <s v="Tamae"/>
  </r>
  <r>
    <s v="D02-S13-P04-K04"/>
    <s v="D02"/>
    <x v="1"/>
    <s v="S13"/>
    <s v="D02-S13"/>
    <x v="20"/>
    <s v="P04"/>
    <s v="D02-S13-P04"/>
    <x v="146"/>
    <s v="K04"/>
    <s v="Dangaman"/>
  </r>
  <r>
    <s v="D02-S13-P04-K05"/>
    <s v="D02"/>
    <x v="1"/>
    <s v="S13"/>
    <s v="D02-S13"/>
    <x v="20"/>
    <s v="P04"/>
    <s v="D02-S13-P04"/>
    <x v="146"/>
    <s v="K05"/>
    <s v="Zuepak"/>
  </r>
  <r>
    <s v="D02-S13-P04-K06"/>
    <s v="D02"/>
    <x v="1"/>
    <s v="S13"/>
    <s v="D02-S13"/>
    <x v="20"/>
    <s v="P04"/>
    <s v="D02-S13-P04"/>
    <x v="146"/>
    <s v="K06"/>
    <s v="Daku"/>
  </r>
  <r>
    <s v="D02-S13-P04-K07"/>
    <s v="D02"/>
    <x v="1"/>
    <s v="S13"/>
    <s v="D02-S13"/>
    <x v="20"/>
    <s v="P04"/>
    <s v="D02-S13-P04"/>
    <x v="146"/>
    <s v="K07"/>
    <s v="Uyanget"/>
  </r>
  <r>
    <s v="D02-S13-P04-K08"/>
    <s v="D02"/>
    <x v="1"/>
    <s v="S13"/>
    <s v="D02-S13"/>
    <x v="20"/>
    <s v="P04"/>
    <s v="D02-S13-P04"/>
    <x v="146"/>
    <s v="K08"/>
    <s v="Wundate"/>
  </r>
  <r>
    <s v="D02-S13-P04-K09"/>
    <s v="D02"/>
    <x v="1"/>
    <s v="S13"/>
    <s v="D02-S13"/>
    <x v="20"/>
    <s v="P04"/>
    <s v="D02-S13-P04"/>
    <x v="146"/>
    <s v="K09"/>
    <s v="Sarawak"/>
  </r>
  <r>
    <s v="D02-S13-P05-K01"/>
    <s v="D02"/>
    <x v="1"/>
    <s v="S13"/>
    <s v="D02-S13"/>
    <x v="20"/>
    <s v="P05"/>
    <s v="D02-S13-P05"/>
    <x v="147"/>
    <s v="K01"/>
    <s v="Uyam"/>
  </r>
  <r>
    <s v="D02-S13-P05-K02"/>
    <s v="D02"/>
    <x v="1"/>
    <s v="S13"/>
    <s v="D02-S13"/>
    <x v="20"/>
    <s v="P05"/>
    <s v="D02-S13-P05"/>
    <x v="147"/>
    <s v="K02"/>
    <s v="Bakabaku"/>
  </r>
  <r>
    <s v="D02-S13-P05-K03"/>
    <s v="D02"/>
    <x v="1"/>
    <s v="S13"/>
    <s v="D02-S13"/>
    <x v="20"/>
    <s v="P05"/>
    <s v="D02-S13-P05"/>
    <x v="147"/>
    <s v="K03"/>
    <s v="Kosan"/>
  </r>
  <r>
    <s v="D02-S13-P05-K04"/>
    <s v="D02"/>
    <x v="1"/>
    <s v="S13"/>
    <s v="D02-S13"/>
    <x v="20"/>
    <s v="P05"/>
    <s v="D02-S13-P05"/>
    <x v="147"/>
    <s v="K04"/>
    <s v="Zangurak"/>
  </r>
  <r>
    <s v="D02-S13-P05-K05"/>
    <s v="D02"/>
    <x v="1"/>
    <s v="S13"/>
    <s v="D02-S13"/>
    <x v="20"/>
    <s v="P05"/>
    <s v="D02-S13-P05"/>
    <x v="147"/>
    <s v="K05"/>
    <s v="Kupung"/>
  </r>
  <r>
    <s v="D02-S13-P05-K06"/>
    <s v="D02"/>
    <x v="1"/>
    <s v="S13"/>
    <s v="D02-S13"/>
    <x v="20"/>
    <s v="P05"/>
    <s v="D02-S13-P05"/>
    <x v="147"/>
    <s v="K06"/>
    <s v="Piung"/>
  </r>
  <r>
    <s v="D02-S13-P05-K07"/>
    <s v="D02"/>
    <x v="1"/>
    <s v="S13"/>
    <s v="D02-S13"/>
    <x v="20"/>
    <s v="P05"/>
    <s v="D02-S13-P05"/>
    <x v="147"/>
    <s v="K07"/>
    <s v="Gwapitz"/>
  </r>
  <r>
    <s v="D02-S13-P05-K08"/>
    <s v="D02"/>
    <x v="1"/>
    <s v="S13"/>
    <s v="D02-S13"/>
    <x v="20"/>
    <s v="P05"/>
    <s v="D02-S13-P05"/>
    <x v="147"/>
    <s v="K08"/>
    <s v="Gekaang"/>
  </r>
  <r>
    <s v="D02-S13-P05-K09"/>
    <s v="D02"/>
    <x v="1"/>
    <s v="S13"/>
    <s v="D02-S13"/>
    <x v="20"/>
    <s v="P05"/>
    <s v="D02-S13-P05"/>
    <x v="147"/>
    <s v="K09"/>
    <s v="Sengapan"/>
  </r>
  <r>
    <s v="D02-S13-P05-K10"/>
    <s v="D02"/>
    <x v="1"/>
    <s v="S13"/>
    <s v="D02-S13"/>
    <x v="20"/>
    <s v="P05"/>
    <s v="D02-S13-P05"/>
    <x v="147"/>
    <s v="K10"/>
    <s v="Taput"/>
  </r>
  <r>
    <s v="D02-S13-P05-K11"/>
    <s v="D02"/>
    <x v="1"/>
    <s v="S13"/>
    <s v="D02-S13"/>
    <x v="20"/>
    <s v="P05"/>
    <s v="D02-S13-P05"/>
    <x v="147"/>
    <s v="K11"/>
    <s v="Zapapweng"/>
  </r>
  <r>
    <s v="D02-S13-P05-K12"/>
    <s v="D02"/>
    <x v="1"/>
    <s v="S13"/>
    <s v="D02-S13"/>
    <x v="20"/>
    <s v="P05"/>
    <s v="D02-S13-P05"/>
    <x v="147"/>
    <s v="K12"/>
    <s v="Yangakop"/>
  </r>
  <r>
    <s v="D02-S13-P05-K13"/>
    <s v="D02"/>
    <x v="1"/>
    <s v="S13"/>
    <s v="D02-S13"/>
    <x v="20"/>
    <s v="P05"/>
    <s v="D02-S13-P05"/>
    <x v="147"/>
    <s v="K13"/>
    <s v="Zukaman"/>
  </r>
  <r>
    <s v="D02-S13-P06-K01"/>
    <s v="D02"/>
    <x v="1"/>
    <s v="S13"/>
    <s v="D02-S13"/>
    <x v="20"/>
    <s v="P06"/>
    <s v="D02-S13-P06"/>
    <x v="148"/>
    <s v="K01"/>
    <s v="Yaparingau"/>
  </r>
  <r>
    <s v="D02-S13-P06-K02"/>
    <s v="D02"/>
    <x v="1"/>
    <s v="S13"/>
    <s v="D02-S13"/>
    <x v="20"/>
    <s v="P06"/>
    <s v="D02-S13-P06"/>
    <x v="148"/>
    <s v="K02"/>
    <s v="Etaut"/>
  </r>
  <r>
    <s v="D02-S13-P06-K03"/>
    <s v="D02"/>
    <x v="1"/>
    <s v="S13"/>
    <s v="D02-S13"/>
    <x v="20"/>
    <s v="P06"/>
    <s v="D02-S13-P06"/>
    <x v="148"/>
    <s v="K03"/>
    <s v="Dolem"/>
  </r>
  <r>
    <s v="D02-S13-P06-K04"/>
    <s v="D02"/>
    <x v="1"/>
    <s v="S13"/>
    <s v="D02-S13"/>
    <x v="20"/>
    <s v="P06"/>
    <s v="D02-S13-P06"/>
    <x v="148"/>
    <s v="K04"/>
    <s v="Gwanbobwak"/>
  </r>
  <r>
    <s v="D02-S13-P06-K05"/>
    <s v="D02"/>
    <x v="1"/>
    <s v="S13"/>
    <s v="D02-S13"/>
    <x v="20"/>
    <s v="P06"/>
    <s v="D02-S13-P06"/>
    <x v="148"/>
    <s v="K05"/>
    <s v="Gaawam"/>
  </r>
  <r>
    <s v="D02-S13-P06-K06"/>
    <s v="D02"/>
    <x v="1"/>
    <s v="S13"/>
    <s v="D02-S13"/>
    <x v="20"/>
    <s v="P06"/>
    <s v="D02-S13-P06"/>
    <x v="148"/>
    <s v="K06"/>
    <s v="Wantoat Station"/>
  </r>
  <r>
    <s v="D02-S13-P06-K07"/>
    <s v="D02"/>
    <x v="1"/>
    <s v="S13"/>
    <s v="D02-S13"/>
    <x v="20"/>
    <s v="P06"/>
    <s v="D02-S13-P06"/>
    <x v="148"/>
    <s v="K07"/>
    <s v="Kongaim"/>
  </r>
  <r>
    <s v="D02-S13-P06-K08"/>
    <s v="D02"/>
    <x v="1"/>
    <s v="S13"/>
    <s v="D02-S13"/>
    <x v="20"/>
    <s v="P06"/>
    <s v="D02-S13-P06"/>
    <x v="148"/>
    <s v="K08"/>
    <s v="Atawakap"/>
  </r>
  <r>
    <s v="D02-S13-P07-K01"/>
    <s v="D02"/>
    <x v="1"/>
    <s v="S13"/>
    <s v="D02-S13"/>
    <x v="20"/>
    <s v="P07"/>
    <s v="D02-S13-P07"/>
    <x v="149"/>
    <s v="K01"/>
    <s v="Umbaku"/>
  </r>
  <r>
    <s v="D02-S13-P07-K02"/>
    <s v="D02"/>
    <x v="1"/>
    <s v="S13"/>
    <s v="D02-S13"/>
    <x v="20"/>
    <s v="P07"/>
    <s v="D02-S13-P07"/>
    <x v="149"/>
    <s v="K02"/>
    <s v="Matap"/>
  </r>
  <r>
    <s v="D02-S13-P07-K03"/>
    <s v="D02"/>
    <x v="1"/>
    <s v="S13"/>
    <s v="D02-S13"/>
    <x v="20"/>
    <s v="P07"/>
    <s v="D02-S13-P07"/>
    <x v="149"/>
    <s v="K03"/>
    <s v="Wamamban"/>
  </r>
  <r>
    <s v="D02-S13-P07-K04"/>
    <s v="D02"/>
    <x v="1"/>
    <s v="S13"/>
    <s v="D02-S13"/>
    <x v="20"/>
    <s v="P07"/>
    <s v="D02-S13-P07"/>
    <x v="149"/>
    <s v="K04"/>
    <s v="St. Joshua"/>
  </r>
  <r>
    <s v="D02-S13-P07-K05"/>
    <s v="D02"/>
    <x v="1"/>
    <s v="S13"/>
    <s v="D02-S13"/>
    <x v="20"/>
    <s v="P07"/>
    <s v="D02-S13-P07"/>
    <x v="149"/>
    <s v="K05"/>
    <s v="Arawek"/>
  </r>
  <r>
    <s v="D02-S13-P07-K06"/>
    <s v="D02"/>
    <x v="1"/>
    <s v="S13"/>
    <s v="D02-S13"/>
    <x v="20"/>
    <s v="P07"/>
    <s v="D02-S13-P07"/>
    <x v="149"/>
    <s v="K06"/>
    <s v="Gaongbaku"/>
  </r>
  <r>
    <s v="D02-S13-P08-K01"/>
    <s v="D02"/>
    <x v="1"/>
    <s v="S13"/>
    <s v="D02-S13"/>
    <x v="20"/>
    <s v="P08"/>
    <s v="D02-S13-P08"/>
    <x v="150"/>
    <s v="K01"/>
    <s v="Suatadaka"/>
  </r>
  <r>
    <s v="D02-S13-P08-K02"/>
    <s v="D02"/>
    <x v="1"/>
    <s v="S13"/>
    <s v="D02-S13"/>
    <x v="20"/>
    <s v="P08"/>
    <s v="D02-S13-P08"/>
    <x v="150"/>
    <s v="K02"/>
    <s v="Puram"/>
  </r>
  <r>
    <s v="D02-S13-P08-K03"/>
    <s v="D02"/>
    <x v="1"/>
    <s v="S13"/>
    <s v="D02-S13"/>
    <x v="20"/>
    <s v="P08"/>
    <s v="D02-S13-P08"/>
    <x v="150"/>
    <s v="K03"/>
    <s v="Ginunga"/>
  </r>
  <r>
    <s v="D02-S13-P08-K04"/>
    <s v="D02"/>
    <x v="1"/>
    <s v="S13"/>
    <s v="D02-S13"/>
    <x v="20"/>
    <s v="P08"/>
    <s v="D02-S13-P08"/>
    <x v="150"/>
    <s v="K04"/>
    <s v="Samsam"/>
  </r>
  <r>
    <s v="D02-S13-P08-K05"/>
    <s v="D02"/>
    <x v="1"/>
    <s v="S13"/>
    <s v="D02-S13"/>
    <x v="20"/>
    <s v="P08"/>
    <s v="D02-S13-P08"/>
    <x v="150"/>
    <s v="K05"/>
    <s v="Bukawe"/>
  </r>
  <r>
    <s v="D02-S13-P08-K06"/>
    <s v="D02"/>
    <x v="1"/>
    <s v="S13"/>
    <s v="D02-S13"/>
    <x v="20"/>
    <s v="P08"/>
    <s v="D02-S13-P08"/>
    <x v="150"/>
    <s v="K06"/>
    <s v="Kusipalang"/>
  </r>
  <r>
    <s v="D02-S13-P08-K07"/>
    <s v="D02"/>
    <x v="1"/>
    <s v="S13"/>
    <s v="D02-S13"/>
    <x v="20"/>
    <s v="P08"/>
    <s v="D02-S13-P08"/>
    <x v="150"/>
    <s v="K07"/>
    <s v="Tamaman"/>
  </r>
  <r>
    <s v="D02-S13-P08-K08"/>
    <s v="D02"/>
    <x v="1"/>
    <s v="S13"/>
    <s v="D02-S13"/>
    <x v="20"/>
    <s v="P08"/>
    <s v="D02-S13-P08"/>
    <x v="150"/>
    <s v="K08"/>
    <s v="Asindau"/>
  </r>
  <r>
    <s v="D02-S14-P01-K01"/>
    <s v="D02"/>
    <x v="1"/>
    <s v="S14"/>
    <s v="D02-S14"/>
    <x v="21"/>
    <s v="P01"/>
    <s v="D02-S14-P01"/>
    <x v="151"/>
    <s v="K01"/>
    <s v="Kamlawa"/>
  </r>
  <r>
    <s v="D02-S14-P01-K02"/>
    <s v="D02"/>
    <x v="1"/>
    <s v="S14"/>
    <s v="D02-S14"/>
    <x v="21"/>
    <s v="P01"/>
    <s v="D02-S14-P01"/>
    <x v="151"/>
    <s v="K02"/>
    <s v="Kolem"/>
  </r>
  <r>
    <s v="D02-S14-P01-K03"/>
    <s v="D02"/>
    <x v="1"/>
    <s v="S14"/>
    <s v="D02-S14"/>
    <x v="21"/>
    <s v="P01"/>
    <s v="D02-S14-P01"/>
    <x v="151"/>
    <s v="K03"/>
    <s v="Simbang"/>
  </r>
  <r>
    <s v="D02-S14-P01-K04"/>
    <s v="D02"/>
    <x v="1"/>
    <s v="S14"/>
    <s v="D02-S14"/>
    <x v="21"/>
    <s v="P01"/>
    <s v="D02-S14-P01"/>
    <x v="151"/>
    <s v="K04"/>
    <s v="Godowa"/>
  </r>
  <r>
    <s v="D02-S14-P02-K01"/>
    <s v="D02"/>
    <x v="1"/>
    <s v="S14"/>
    <s v="D02-S14"/>
    <x v="21"/>
    <s v="P02"/>
    <s v="D02-S14-P02"/>
    <x v="152"/>
    <s v="K01"/>
    <s v="Gingala"/>
  </r>
  <r>
    <s v="D02-S14-P02-K02"/>
    <s v="D02"/>
    <x v="1"/>
    <s v="S14"/>
    <s v="D02-S14"/>
    <x v="21"/>
    <s v="P02"/>
    <s v="D02-S14-P02"/>
    <x v="152"/>
    <s v="K02"/>
    <s v="Bugaim"/>
  </r>
  <r>
    <s v="D02-S14-P03-K01"/>
    <s v="D02"/>
    <x v="1"/>
    <s v="S14"/>
    <s v="D02-S14"/>
    <x v="21"/>
    <s v="P03"/>
    <s v="D02-S14-P03"/>
    <x v="153"/>
    <s v="K01"/>
    <s v="Ngasingalatu"/>
  </r>
  <r>
    <s v="D02-S14-P03-K02"/>
    <s v="D02"/>
    <x v="1"/>
    <s v="S14"/>
    <s v="D02-S14"/>
    <x v="21"/>
    <s v="P03"/>
    <s v="D02-S14-P03"/>
    <x v="153"/>
    <s v="K02"/>
    <s v="Kwalamsam"/>
  </r>
  <r>
    <s v="D02-S14-P04-K01"/>
    <s v="D02"/>
    <x v="1"/>
    <s v="S14"/>
    <s v="D02-S14"/>
    <x v="21"/>
    <s v="P04"/>
    <s v="D02-S14-P04"/>
    <x v="154"/>
    <s v="K01"/>
    <s v="Gawenglabu"/>
  </r>
  <r>
    <s v="D02-S14-P04-K02"/>
    <s v="D02"/>
    <x v="1"/>
    <s v="S14"/>
    <s v="D02-S14"/>
    <x v="21"/>
    <s v="P04"/>
    <s v="D02-S14-P04"/>
    <x v="154"/>
    <s v="K02"/>
    <s v="Sokaneng"/>
  </r>
  <r>
    <s v="D02-S14-P05-K01"/>
    <s v="D02"/>
    <x v="1"/>
    <s v="S14"/>
    <s v="D02-S14"/>
    <x v="21"/>
    <s v="P05"/>
    <s v="D02-S14-P05"/>
    <x v="155"/>
    <s v="K01"/>
    <s v="Busiga"/>
  </r>
  <r>
    <s v="D02-S14-P05-K02"/>
    <s v="D02"/>
    <x v="1"/>
    <s v="S14"/>
    <s v="D02-S14"/>
    <x v="21"/>
    <s v="P05"/>
    <s v="D02-S14-P05"/>
    <x v="155"/>
    <s v="K02"/>
    <s v="Mange"/>
  </r>
  <r>
    <s v="D02-S14-P06-K01"/>
    <s v="D02"/>
    <x v="1"/>
    <s v="S14"/>
    <s v="D02-S14"/>
    <x v="21"/>
    <s v="P06"/>
    <s v="D02-S14-P06"/>
    <x v="156"/>
    <s v="K01"/>
    <s v="Malasiga"/>
  </r>
  <r>
    <s v="D02-S14-P06-K02"/>
    <s v="D02"/>
    <x v="1"/>
    <s v="S14"/>
    <s v="D02-S14"/>
    <x v="21"/>
    <s v="P06"/>
    <s v="D02-S14-P06"/>
    <x v="156"/>
    <s v="K02"/>
    <s v="Kasanga"/>
  </r>
  <r>
    <s v="D02-S14-P06-K03"/>
    <s v="D02"/>
    <x v="1"/>
    <s v="S14"/>
    <s v="D02-S14"/>
    <x v="21"/>
    <s v="P06"/>
    <s v="D02-S14-P06"/>
    <x v="156"/>
    <s v="K03"/>
    <s v="Wanam"/>
  </r>
  <r>
    <s v="D02-S14-P06-K04"/>
    <s v="D02"/>
    <x v="1"/>
    <s v="S14"/>
    <s v="D02-S14"/>
    <x v="21"/>
    <s v="P06"/>
    <s v="D02-S14-P06"/>
    <x v="156"/>
    <s v="K04"/>
    <s v="Kalang"/>
  </r>
  <r>
    <s v="D02-S14--K01"/>
    <s v="D02"/>
    <x v="1"/>
    <s v="S14"/>
    <s v="D02-S14"/>
    <x v="21"/>
    <m/>
    <s v="D02-S14-"/>
    <x v="90"/>
    <s v="K01"/>
    <s v="Butaweng"/>
  </r>
  <r>
    <s v="D02-S14--K02"/>
    <s v="D02"/>
    <x v="1"/>
    <s v="S14"/>
    <s v="D02-S14"/>
    <x v="21"/>
    <m/>
    <s v="D02-S14-"/>
    <x v="90"/>
    <s v="K02"/>
    <s v="Gagidu Stesen"/>
  </r>
  <r>
    <s v="D02-S14--K03"/>
    <s v="D02"/>
    <x v="1"/>
    <s v="S14"/>
    <s v="D02-S14"/>
    <x v="21"/>
    <m/>
    <s v="D02-S14-"/>
    <x v="90"/>
    <s v="K03"/>
    <s v="Dregahafen"/>
  </r>
  <r>
    <s v="D03-S01-P01-K01"/>
    <s v="D03"/>
    <x v="2"/>
    <s v="S01"/>
    <s v="D03-S01"/>
    <x v="22"/>
    <s v="P01"/>
    <s v="D03-S01-P01"/>
    <x v="157"/>
    <s v="K01"/>
    <s v="Guntabag"/>
  </r>
  <r>
    <s v="D03-S01-P01-K02"/>
    <s v="D03"/>
    <x v="2"/>
    <s v="S01"/>
    <s v="D03-S01"/>
    <x v="22"/>
    <s v="P01"/>
    <s v="D03-S01-P01"/>
    <x v="157"/>
    <s v="K02"/>
    <s v="Belan"/>
  </r>
  <r>
    <s v="D03-S01-P01-K03"/>
    <s v="D03"/>
    <x v="2"/>
    <s v="S01"/>
    <s v="D03-S01"/>
    <x v="22"/>
    <s v="P01"/>
    <s v="D03-S01-P01"/>
    <x v="157"/>
    <s v="K03"/>
    <s v="Med"/>
  </r>
  <r>
    <s v="D03-S01-P01-K04"/>
    <s v="D03"/>
    <x v="2"/>
    <s v="S01"/>
    <s v="D03-S01"/>
    <x v="22"/>
    <s v="P01"/>
    <s v="D03-S01-P01"/>
    <x v="157"/>
    <s v="K04"/>
    <s v="Wagi"/>
  </r>
  <r>
    <s v="D03-S01-P02-K01"/>
    <s v="D03"/>
    <x v="2"/>
    <s v="S01"/>
    <s v="D03-S01"/>
    <x v="22"/>
    <s v="P02"/>
    <s v="D03-S01-P02"/>
    <x v="158"/>
    <s v="K01"/>
    <s v="Riwo"/>
  </r>
  <r>
    <s v="D03-S01-P02-K02"/>
    <s v="D03"/>
    <x v="2"/>
    <s v="S01"/>
    <s v="D03-S01"/>
    <x v="22"/>
    <s v="P02"/>
    <s v="D03-S01-P02"/>
    <x v="158"/>
    <s v="K02"/>
    <s v="Siar"/>
  </r>
  <r>
    <s v="D03-S01-P02-K03"/>
    <s v="D03"/>
    <x v="2"/>
    <s v="S01"/>
    <s v="D03-S01"/>
    <x v="22"/>
    <s v="P02"/>
    <s v="D03-S01-P02"/>
    <x v="158"/>
    <s v="K03"/>
    <s v="Bilia"/>
  </r>
  <r>
    <s v="D03-S01-P02-K04"/>
    <s v="D03"/>
    <x v="2"/>
    <s v="S01"/>
    <s v="D03-S01"/>
    <x v="22"/>
    <s v="P02"/>
    <s v="D03-S01-P02"/>
    <x v="158"/>
    <s v="K04"/>
    <s v="Kranget"/>
  </r>
  <r>
    <s v="D03-S01-P02-K05"/>
    <s v="D03"/>
    <x v="2"/>
    <s v="S01"/>
    <s v="D03-S01"/>
    <x v="22"/>
    <s v="P02"/>
    <s v="D03-S01-P02"/>
    <x v="158"/>
    <s v="K05"/>
    <s v="Yabob"/>
  </r>
  <r>
    <s v="D03-S01-P05-K01"/>
    <s v="D03"/>
    <x v="2"/>
    <s v="S01"/>
    <s v="D03-S01"/>
    <x v="22"/>
    <s v="P05"/>
    <s v="D03-S01-P05"/>
    <x v="159"/>
    <s v="K01"/>
    <s v="Bamri"/>
  </r>
  <r>
    <s v="D03-S01-P05-K02"/>
    <s v="D03"/>
    <x v="2"/>
    <s v="S01"/>
    <s v="D03-S01"/>
    <x v="22"/>
    <s v="P05"/>
    <s v="D03-S01-P05"/>
    <x v="159"/>
    <s v="K02"/>
    <s v="Didwara"/>
  </r>
  <r>
    <s v="D03-S01-P05-K03"/>
    <s v="D03"/>
    <x v="2"/>
    <s v="S01"/>
    <s v="D03-S01"/>
    <x v="22"/>
    <s v="P05"/>
    <s v="D03-S01-P05"/>
    <x v="159"/>
    <s v="K03"/>
    <s v="Atom"/>
  </r>
  <r>
    <s v="D03-S01-P05-K04"/>
    <s v="D03"/>
    <x v="2"/>
    <s v="S01"/>
    <s v="D03-S01"/>
    <x v="22"/>
    <s v="P05"/>
    <s v="D03-S01-P05"/>
    <x v="159"/>
    <s v="K04"/>
    <s v="Gonowa"/>
  </r>
  <r>
    <s v="D03-S01-P05-K05"/>
    <s v="D03"/>
    <x v="2"/>
    <s v="S01"/>
    <s v="D03-S01"/>
    <x v="22"/>
    <s v="P05"/>
    <s v="D03-S01-P05"/>
    <x v="159"/>
    <s v="K05"/>
    <s v="Derin"/>
  </r>
  <r>
    <s v="D03-S01-P05-K06"/>
    <s v="D03"/>
    <x v="2"/>
    <s v="S01"/>
    <s v="D03-S01"/>
    <x v="22"/>
    <s v="P05"/>
    <s v="D03-S01-P05"/>
    <x v="159"/>
    <s v="K06"/>
    <s v="Burr"/>
  </r>
  <r>
    <s v="D03-S01-P05-K07"/>
    <s v="D03"/>
    <x v="2"/>
    <s v="S01"/>
    <s v="D03-S01"/>
    <x v="22"/>
    <s v="P05"/>
    <s v="D03-S01-P05"/>
    <x v="159"/>
    <s v="K07"/>
    <s v="Tadup"/>
  </r>
  <r>
    <s v="D03-S01-P06-K01"/>
    <s v="D03"/>
    <x v="2"/>
    <s v="S01"/>
    <s v="D03-S01"/>
    <x v="22"/>
    <s v="P06"/>
    <s v="D03-S01-P06"/>
    <x v="160"/>
    <s v="K01"/>
    <s v="Gawagu"/>
  </r>
  <r>
    <s v="D03-S01-P06-K02"/>
    <s v="D03"/>
    <x v="2"/>
    <s v="S01"/>
    <s v="D03-S01"/>
    <x v="22"/>
    <s v="P06"/>
    <s v="D03-S01-P06"/>
    <x v="160"/>
    <s v="K02"/>
    <s v="Haya"/>
  </r>
  <r>
    <s v="D03-S01-P06-K03"/>
    <s v="D03"/>
    <x v="2"/>
    <s v="S01"/>
    <s v="D03-S01"/>
    <x v="22"/>
    <s v="P06"/>
    <s v="D03-S01-P06"/>
    <x v="160"/>
    <s v="K03"/>
    <s v="Banub"/>
  </r>
  <r>
    <s v="D03-S01-P06-K04"/>
    <s v="D03"/>
    <x v="2"/>
    <s v="S01"/>
    <s v="D03-S01"/>
    <x v="22"/>
    <s v="P06"/>
    <s v="D03-S01-P06"/>
    <x v="160"/>
    <s v="K04"/>
    <s v="Guond"/>
  </r>
  <r>
    <s v="D03-S01-P06-K05"/>
    <s v="D03"/>
    <x v="2"/>
    <s v="S01"/>
    <s v="D03-S01"/>
    <x v="22"/>
    <s v="P06"/>
    <s v="D03-S01-P06"/>
    <x v="160"/>
    <s v="K05"/>
    <s v="Guu"/>
  </r>
  <r>
    <s v="D03-S01-P07-K01"/>
    <s v="D03"/>
    <x v="2"/>
    <s v="S01"/>
    <s v="D03-S01"/>
    <x v="22"/>
    <s v="P07"/>
    <s v="D03-S01-P07"/>
    <x v="161"/>
    <s v="K01"/>
    <s v="Mesah"/>
  </r>
  <r>
    <s v="D03-S01-P07-K02"/>
    <s v="D03"/>
    <x v="2"/>
    <s v="S01"/>
    <s v="D03-S01"/>
    <x v="22"/>
    <s v="P07"/>
    <s v="D03-S01-P07"/>
    <x v="161"/>
    <s v="K02"/>
    <s v="Sauba"/>
  </r>
  <r>
    <s v="D03-S01-P07-K03"/>
    <s v="D03"/>
    <x v="2"/>
    <s v="S01"/>
    <s v="D03-S01"/>
    <x v="22"/>
    <s v="P07"/>
    <s v="D03-S01-P07"/>
    <x v="161"/>
    <s v="K03"/>
    <s v="Onura"/>
  </r>
  <r>
    <s v="D03-S01-P07-K04"/>
    <s v="D03"/>
    <x v="2"/>
    <s v="S01"/>
    <s v="D03-S01"/>
    <x v="22"/>
    <s v="P07"/>
    <s v="D03-S01-P07"/>
    <x v="161"/>
    <s v="K04"/>
    <s v="Umun"/>
  </r>
  <r>
    <s v="D03-S03-P01-K01"/>
    <s v="D03"/>
    <x v="2"/>
    <s v="S03"/>
    <s v="D03-S03"/>
    <x v="23"/>
    <s v="P01"/>
    <s v="D03-S03-P01"/>
    <x v="162"/>
    <s v="K01"/>
    <s v="Gainda"/>
  </r>
  <r>
    <s v="D03-S03-P01-K02"/>
    <s v="D03"/>
    <x v="2"/>
    <s v="S03"/>
    <s v="D03-S03"/>
    <x v="23"/>
    <s v="P01"/>
    <s v="D03-S03-P01"/>
    <x v="162"/>
    <s v="K02"/>
    <s v="Gasa"/>
  </r>
  <r>
    <s v="D03-S03-P01-K03"/>
    <s v="D03"/>
    <x v="2"/>
    <s v="S03"/>
    <s v="D03-S03"/>
    <x v="23"/>
    <s v="P01"/>
    <s v="D03-S03-P01"/>
    <x v="162"/>
    <s v="K03"/>
    <s v="Mur"/>
  </r>
  <r>
    <s v="D03-S03-P01-K04"/>
    <s v="D03"/>
    <x v="2"/>
    <s v="S03"/>
    <s v="D03-S03"/>
    <x v="23"/>
    <s v="P01"/>
    <s v="D03-S03-P01"/>
    <x v="162"/>
    <s v="K04"/>
    <s v="Yamapa"/>
  </r>
  <r>
    <s v="D03-S03-P01-K05"/>
    <s v="D03"/>
    <x v="2"/>
    <s v="S03"/>
    <s v="D03-S03"/>
    <x v="23"/>
    <s v="P01"/>
    <s v="D03-S03-P01"/>
    <x v="162"/>
    <s v="K05"/>
    <s v="Biriau"/>
  </r>
  <r>
    <s v="D03-S03-P01-K06"/>
    <s v="D03"/>
    <x v="2"/>
    <s v="S03"/>
    <s v="D03-S03"/>
    <x v="23"/>
    <s v="P01"/>
    <s v="D03-S03-P01"/>
    <x v="162"/>
    <s v="K06"/>
    <s v="Wari"/>
  </r>
  <r>
    <s v="D03-S03-P01-K07"/>
    <s v="D03"/>
    <x v="2"/>
    <s v="S03"/>
    <s v="D03-S03"/>
    <x v="23"/>
    <s v="P01"/>
    <s v="D03-S03-P01"/>
    <x v="162"/>
    <s v="K07"/>
    <s v="Singor"/>
  </r>
  <r>
    <s v="D03-S04-P01-K01"/>
    <s v="D03"/>
    <x v="2"/>
    <s v="S04"/>
    <s v="D03-S04"/>
    <x v="24"/>
    <s v="P01"/>
    <s v="D03-S04-P01"/>
    <x v="163"/>
    <s v="K01"/>
    <s v="Gaseba"/>
  </r>
  <r>
    <s v="D03-S04-P01-K02"/>
    <s v="D03"/>
    <x v="2"/>
    <s v="S04"/>
    <s v="D03-S04"/>
    <x v="24"/>
    <s v="P01"/>
    <s v="D03-S04-P01"/>
    <x v="163"/>
    <s v="K02"/>
    <s v="Yadus"/>
  </r>
  <r>
    <s v="D03-S04-P01-K03"/>
    <s v="D03"/>
    <x v="2"/>
    <s v="S04"/>
    <s v="D03-S04"/>
    <x v="24"/>
    <s v="P01"/>
    <s v="D03-S04-P01"/>
    <x v="163"/>
    <s v="K03"/>
    <s v="Jobesa"/>
  </r>
  <r>
    <s v="D03-S04-P01-K04"/>
    <s v="D03"/>
    <x v="2"/>
    <s v="S04"/>
    <s v="D03-S04"/>
    <x v="24"/>
    <s v="P01"/>
    <s v="D03-S04-P01"/>
    <x v="163"/>
    <s v="K04"/>
    <s v="Wate"/>
  </r>
  <r>
    <s v="D03-S05-P01-K01"/>
    <s v="D03"/>
    <x v="2"/>
    <s v="S05"/>
    <s v="D03-S05"/>
    <x v="25"/>
    <s v="P01"/>
    <s v="D03-S05-P01"/>
    <x v="164"/>
    <s v="K01"/>
    <s v="Gegu"/>
  </r>
  <r>
    <s v="D03-S05-P01-K02"/>
    <s v="D03"/>
    <x v="2"/>
    <s v="S05"/>
    <s v="D03-S05"/>
    <x v="25"/>
    <s v="P01"/>
    <s v="D03-S05-P01"/>
    <x v="164"/>
    <s v="K02"/>
    <s v="Wassubo"/>
  </r>
  <r>
    <s v="D03-S05-P01-K03"/>
    <s v="D03"/>
    <x v="2"/>
    <s v="S05"/>
    <s v="D03-S05"/>
    <x v="25"/>
    <s v="P01"/>
    <s v="D03-S05-P01"/>
    <x v="164"/>
    <s v="K03"/>
    <s v="Tamokot"/>
  </r>
  <r>
    <s v="D03-S05-P02-K01"/>
    <s v="D03"/>
    <x v="2"/>
    <s v="S05"/>
    <s v="D03-S05"/>
    <x v="25"/>
    <s v="P02"/>
    <s v="D03-S05-P02"/>
    <x v="165"/>
    <s v="K01"/>
    <s v="Asumbin"/>
  </r>
  <r>
    <s v="D03-S05-P02-K02"/>
    <s v="D03"/>
    <x v="2"/>
    <s v="S05"/>
    <s v="D03-S05"/>
    <x v="25"/>
    <s v="P02"/>
    <s v="D03-S05-P02"/>
    <x v="165"/>
    <s v="K02"/>
    <s v="Bunabun"/>
  </r>
  <r>
    <s v="D03-S05-P02-K03"/>
    <s v="D03"/>
    <x v="2"/>
    <s v="S05"/>
    <s v="D03-S05"/>
    <x v="25"/>
    <s v="P02"/>
    <s v="D03-S05-P02"/>
    <x v="165"/>
    <s v="K03"/>
    <s v="Garum"/>
  </r>
  <r>
    <s v="D03-S05-P02-K04"/>
    <s v="D03"/>
    <x v="2"/>
    <s v="S05"/>
    <s v="D03-S05"/>
    <x v="25"/>
    <s v="P02"/>
    <s v="D03-S05-P02"/>
    <x v="165"/>
    <s v="K04"/>
    <s v="Tavulte"/>
  </r>
  <r>
    <s v="D03-S05-P03-K01"/>
    <s v="D03"/>
    <x v="2"/>
    <s v="S05"/>
    <s v="D03-S05"/>
    <x v="25"/>
    <s v="P03"/>
    <s v="D03-S05-P03"/>
    <x v="166"/>
    <s v="K01"/>
    <s v="Kola"/>
  </r>
  <r>
    <s v="D03-S05-P03-K02"/>
    <s v="D03"/>
    <x v="2"/>
    <s v="S05"/>
    <s v="D03-S05"/>
    <x v="25"/>
    <s v="P03"/>
    <s v="D03-S05-P03"/>
    <x v="166"/>
    <s v="K02"/>
    <s v="Sakidua"/>
  </r>
  <r>
    <s v="D03-S05-P03-K03"/>
    <s v="D03"/>
    <x v="2"/>
    <s v="S05"/>
    <s v="D03-S05"/>
    <x v="25"/>
    <s v="P03"/>
    <s v="D03-S05-P03"/>
    <x v="166"/>
    <s v="K03"/>
    <s v="Sidua"/>
  </r>
  <r>
    <s v="D03-S05-P03-K04"/>
    <s v="D03"/>
    <x v="2"/>
    <s v="S05"/>
    <s v="D03-S05"/>
    <x v="25"/>
    <s v="P03"/>
    <s v="D03-S05-P03"/>
    <x v="166"/>
    <s v="K04"/>
    <s v="Inabas"/>
  </r>
  <r>
    <s v="D03-S05-P03-K05"/>
    <s v="D03"/>
    <x v="2"/>
    <s v="S05"/>
    <s v="D03-S05"/>
    <x v="25"/>
    <s v="P03"/>
    <s v="D03-S05-P03"/>
    <x v="166"/>
    <s v="K05"/>
    <s v="Kara"/>
  </r>
  <r>
    <s v="D03-S05-P03-K06"/>
    <s v="D03"/>
    <x v="2"/>
    <s v="S05"/>
    <s v="D03-S05"/>
    <x v="25"/>
    <s v="P03"/>
    <s v="D03-S05-P03"/>
    <x v="166"/>
    <s v="K06"/>
    <s v="Bogia Lutheran United"/>
  </r>
  <r>
    <s v="D03-S06-P02-K01"/>
    <s v="D03"/>
    <x v="2"/>
    <s v="S06"/>
    <s v="D03-S06"/>
    <x v="26"/>
    <s v="P02"/>
    <s v="D03-S06-P02"/>
    <x v="167"/>
    <s v="K01"/>
    <s v="Goviro"/>
  </r>
  <r>
    <s v="D03-S06-P02-K02"/>
    <s v="D03"/>
    <x v="2"/>
    <s v="S06"/>
    <s v="D03-S06"/>
    <x v="26"/>
    <s v="P02"/>
    <s v="D03-S06-P02"/>
    <x v="167"/>
    <s v="K02"/>
    <s v="Ninigo"/>
  </r>
  <r>
    <s v="D03-S06-P02-K03"/>
    <s v="D03"/>
    <x v="2"/>
    <s v="S06"/>
    <s v="D03-S06"/>
    <x v="26"/>
    <s v="P02"/>
    <s v="D03-S06-P02"/>
    <x v="167"/>
    <s v="K03"/>
    <s v="Gimaya"/>
  </r>
  <r>
    <s v="D03-S06-P02-K04"/>
    <s v="D03"/>
    <x v="2"/>
    <s v="S06"/>
    <s v="D03-S06"/>
    <x v="26"/>
    <s v="P02"/>
    <s v="D03-S06-P02"/>
    <x v="167"/>
    <s v="K04"/>
    <s v="Numbuya"/>
  </r>
  <r>
    <s v="D03-S06-P02-K05"/>
    <s v="D03"/>
    <x v="2"/>
    <s v="S06"/>
    <s v="D03-S06"/>
    <x v="26"/>
    <s v="P02"/>
    <s v="D03-S06-P02"/>
    <x v="167"/>
    <s v="K05"/>
    <s v="Gomumu"/>
  </r>
  <r>
    <s v="D03-S06-P02-K06"/>
    <s v="D03"/>
    <x v="2"/>
    <s v="S06"/>
    <s v="D03-S06"/>
    <x v="26"/>
    <s v="P02"/>
    <s v="D03-S06-P02"/>
    <x v="167"/>
    <s v="K06"/>
    <s v="Saraga"/>
  </r>
  <r>
    <s v="D03-S06-P02-K07"/>
    <s v="D03"/>
    <x v="2"/>
    <s v="S06"/>
    <s v="D03-S06"/>
    <x v="26"/>
    <s v="P02"/>
    <s v="D03-S06-P02"/>
    <x v="167"/>
    <s v="K07"/>
    <s v="Yonombe"/>
  </r>
  <r>
    <s v="D03-S06-P02-K08"/>
    <s v="D03"/>
    <x v="2"/>
    <s v="S06"/>
    <s v="D03-S06"/>
    <x v="26"/>
    <s v="P02"/>
    <s v="D03-S06-P02"/>
    <x v="167"/>
    <s v="K08"/>
    <s v="Sereigo"/>
  </r>
  <r>
    <s v="D03-S06-P02-K09"/>
    <s v="D03"/>
    <x v="2"/>
    <s v="S06"/>
    <s v="D03-S06"/>
    <x v="26"/>
    <s v="P02"/>
    <s v="D03-S06-P02"/>
    <x v="167"/>
    <s v="K09"/>
    <s v="Koe"/>
  </r>
  <r>
    <s v="D03-S07--K01"/>
    <s v="D03"/>
    <x v="2"/>
    <s v="S07"/>
    <s v="D03-S07"/>
    <x v="27"/>
    <m/>
    <s v="D03-S07-"/>
    <x v="90"/>
    <s v="K01"/>
    <s v="Imanuel"/>
  </r>
  <r>
    <s v="D03-S07--K02"/>
    <s v="D03"/>
    <x v="2"/>
    <s v="S07"/>
    <s v="D03-S07"/>
    <x v="27"/>
    <m/>
    <s v="D03-S07-"/>
    <x v="90"/>
    <s v="K02"/>
    <s v="Memoriel"/>
  </r>
  <r>
    <s v="D03-S07--K03"/>
    <s v="D03"/>
    <x v="2"/>
    <s v="S07"/>
    <s v="D03-S07"/>
    <x v="27"/>
    <m/>
    <s v="D03-S07-"/>
    <x v="90"/>
    <s v="K03"/>
    <s v="Niu Taun"/>
  </r>
  <r>
    <s v="D03-S07--K04"/>
    <s v="D03"/>
    <x v="2"/>
    <s v="S07"/>
    <s v="D03-S07"/>
    <x v="27"/>
    <m/>
    <s v="D03-S07-"/>
    <x v="90"/>
    <s v="K04"/>
    <s v="Humade"/>
  </r>
  <r>
    <s v="D03-S07--K05"/>
    <s v="D03"/>
    <x v="2"/>
    <s v="S07"/>
    <s v="D03-S07"/>
    <x v="27"/>
    <m/>
    <s v="D03-S07-"/>
    <x v="90"/>
    <s v="K05"/>
    <s v="Beter"/>
  </r>
  <r>
    <s v="D03-S07--K06"/>
    <s v="D03"/>
    <x v="2"/>
    <s v="S07"/>
    <s v="D03-S07"/>
    <x v="27"/>
    <m/>
    <s v="D03-S07-"/>
    <x v="90"/>
    <s v="K06"/>
    <s v="Triniti"/>
  </r>
  <r>
    <s v="D03-S07--K07"/>
    <s v="D03"/>
    <x v="2"/>
    <s v="S07"/>
    <s v="D03-S07"/>
    <x v="27"/>
    <m/>
    <s v="D03-S07-"/>
    <x v="90"/>
    <s v="K07"/>
    <s v="Luship"/>
  </r>
  <r>
    <s v="D03-S07--K08"/>
    <s v="D03"/>
    <x v="2"/>
    <s v="S07"/>
    <s v="D03-S07"/>
    <x v="27"/>
    <m/>
    <s v="D03-S07-"/>
    <x v="90"/>
    <s v="K08"/>
    <s v="Redemer"/>
  </r>
  <r>
    <s v="D03-S08-P06-K01"/>
    <s v="D03"/>
    <x v="2"/>
    <s v="S08"/>
    <s v="D03-S08"/>
    <x v="28"/>
    <s v="P06"/>
    <s v="D03-S08-P06"/>
    <x v="168"/>
    <s v="K01"/>
    <s v="Kamabu"/>
  </r>
  <r>
    <s v="D03-S08-P06-K02"/>
    <s v="D03"/>
    <x v="2"/>
    <s v="S08"/>
    <s v="D03-S08"/>
    <x v="28"/>
    <s v="P06"/>
    <s v="D03-S08-P06"/>
    <x v="168"/>
    <s v="K02"/>
    <s v="Sereweng"/>
  </r>
  <r>
    <s v="D03-S08-P06-K03"/>
    <s v="D03"/>
    <x v="2"/>
    <s v="S08"/>
    <s v="D03-S08"/>
    <x v="28"/>
    <s v="P06"/>
    <s v="D03-S08-P06"/>
    <x v="168"/>
    <s v="K03"/>
    <s v="Kavai"/>
  </r>
  <r>
    <s v="D03-S08-P06-K04"/>
    <s v="D03"/>
    <x v="2"/>
    <s v="S08"/>
    <s v="D03-S08"/>
    <x v="28"/>
    <s v="P06"/>
    <s v="D03-S08-P06"/>
    <x v="168"/>
    <s v="K04"/>
    <s v="Kumbuna"/>
  </r>
  <r>
    <s v="D04-S01-P01-K01"/>
    <s v="D04"/>
    <x v="3"/>
    <s v="S01"/>
    <s v="D04-S01"/>
    <x v="29"/>
    <s v="P01"/>
    <s v="D04-S01-P01"/>
    <x v="169"/>
    <s v="K01"/>
    <s v="Koropa"/>
  </r>
  <r>
    <s v="D04-S01-P01-K02"/>
    <s v="D04"/>
    <x v="3"/>
    <s v="S01"/>
    <s v="D04-S01"/>
    <x v="29"/>
    <s v="P01"/>
    <s v="D04-S01-P01"/>
    <x v="169"/>
    <s v="K02"/>
    <s v="Dimer"/>
  </r>
  <r>
    <s v="D04-S01-P01-K03"/>
    <s v="D04"/>
    <x v="3"/>
    <s v="S01"/>
    <s v="D04-S01"/>
    <x v="29"/>
    <s v="P01"/>
    <s v="D04-S01-P01"/>
    <x v="169"/>
    <s v="K03"/>
    <s v="Giar"/>
  </r>
  <r>
    <s v="D04-S01-P01-K04"/>
    <s v="D04"/>
    <x v="3"/>
    <s v="S01"/>
    <s v="D04-S01"/>
    <x v="29"/>
    <s v="P01"/>
    <s v="D04-S01-P01"/>
    <x v="169"/>
    <s v="K04"/>
    <s v="Bangme"/>
  </r>
  <r>
    <s v="D04-S01-P01-K05"/>
    <s v="D04"/>
    <x v="3"/>
    <s v="S01"/>
    <s v="D04-S01"/>
    <x v="29"/>
    <s v="P01"/>
    <s v="D04-S01-P01"/>
    <x v="169"/>
    <s v="K05"/>
    <s v="Langlang"/>
  </r>
  <r>
    <s v="D04-S01-P02-K01"/>
    <s v="D04"/>
    <x v="3"/>
    <s v="S01"/>
    <s v="D04-S01"/>
    <x v="29"/>
    <s v="P02"/>
    <s v="D04-S01-P02"/>
    <x v="170"/>
    <s v="K01"/>
    <s v="Urugen"/>
  </r>
  <r>
    <s v="D04-S01-P02-K02"/>
    <s v="D04"/>
    <x v="3"/>
    <s v="S01"/>
    <s v="D04-S01"/>
    <x v="29"/>
    <s v="P02"/>
    <s v="D04-S01-P02"/>
    <x v="170"/>
    <s v="K02"/>
    <s v="Sikentika"/>
  </r>
  <r>
    <s v="D04-S01-P02-K03"/>
    <s v="D04"/>
    <x v="3"/>
    <s v="S01"/>
    <s v="D04-S01"/>
    <x v="29"/>
    <s v="P02"/>
    <s v="D04-S01-P02"/>
    <x v="170"/>
    <s v="K03"/>
    <s v="Orara"/>
  </r>
  <r>
    <s v="D04-S01-P03-K01"/>
    <s v="D04"/>
    <x v="3"/>
    <s v="S01"/>
    <s v="D04-S01"/>
    <x v="29"/>
    <s v="P03"/>
    <s v="D04-S01-P03"/>
    <x v="171"/>
    <s v="K01"/>
    <s v="Narer plantesen"/>
  </r>
  <r>
    <s v="D04-S01-P03-K02"/>
    <s v="D04"/>
    <x v="3"/>
    <s v="S01"/>
    <s v="D04-S01"/>
    <x v="29"/>
    <s v="P03"/>
    <s v="D04-S01-P03"/>
    <x v="171"/>
    <s v="K02"/>
    <s v="Apare"/>
  </r>
  <r>
    <s v="D04-S01-P04-K01"/>
    <s v="D04"/>
    <x v="3"/>
    <s v="S01"/>
    <s v="D04-S01"/>
    <x v="29"/>
    <s v="P04"/>
    <s v="D04-S01-P04"/>
    <x v="172"/>
    <s v="K01"/>
    <s v="Tarak"/>
  </r>
  <r>
    <s v="D04-S01-P04-K02"/>
    <s v="D04"/>
    <x v="3"/>
    <s v="S01"/>
    <s v="D04-S01"/>
    <x v="29"/>
    <s v="P04"/>
    <s v="D04-S01-P04"/>
    <x v="172"/>
    <s v="K02"/>
    <s v="Kinim"/>
  </r>
  <r>
    <s v="D04-S01-P04-K03"/>
    <s v="D04"/>
    <x v="3"/>
    <s v="S01"/>
    <s v="D04-S01"/>
    <x v="29"/>
    <s v="P04"/>
    <s v="D04-S01-P04"/>
    <x v="172"/>
    <s v="K03"/>
    <s v="Dorokatau"/>
  </r>
  <r>
    <s v="D04-S01-P04-K04"/>
    <s v="D04"/>
    <x v="3"/>
    <s v="S01"/>
    <s v="D04-S01"/>
    <x v="29"/>
    <s v="P04"/>
    <s v="D04-S01-P04"/>
    <x v="172"/>
    <s v="K04"/>
    <s v="Keviat"/>
  </r>
  <r>
    <s v="D04-S01-P05-K01"/>
    <s v="D04"/>
    <x v="3"/>
    <s v="S01"/>
    <s v="D04-S01"/>
    <x v="29"/>
    <s v="P05"/>
    <s v="D04-S01-P05"/>
    <x v="173"/>
    <s v="K01"/>
    <s v="Miak Helt Senta"/>
  </r>
  <r>
    <s v="D04-S01-P05-K02"/>
    <s v="D04"/>
    <x v="3"/>
    <s v="S01"/>
    <s v="D04-S01"/>
    <x v="29"/>
    <s v="P05"/>
    <s v="D04-S01-P05"/>
    <x v="173"/>
    <s v="K02"/>
    <s v="Keviak"/>
  </r>
  <r>
    <s v="D04-S01-P06-K01"/>
    <s v="D04"/>
    <x v="3"/>
    <s v="S01"/>
    <s v="D04-S01"/>
    <x v="29"/>
    <s v="P06"/>
    <s v="D04-S01-P06"/>
    <x v="174"/>
    <s v="K01"/>
    <s v="Keng"/>
  </r>
  <r>
    <s v="D04-S01-P06-K02"/>
    <s v="D04"/>
    <x v="3"/>
    <s v="S01"/>
    <s v="D04-S01"/>
    <x v="29"/>
    <s v="P06"/>
    <s v="D04-S01-P06"/>
    <x v="174"/>
    <s v="K02"/>
    <s v="Maramis"/>
  </r>
  <r>
    <s v="D04-S01-P06-K03"/>
    <s v="D04"/>
    <x v="3"/>
    <s v="S01"/>
    <s v="D04-S01"/>
    <x v="29"/>
    <s v="P06"/>
    <s v="D04-S01-P06"/>
    <x v="174"/>
    <s v="K03"/>
    <s v="Mom"/>
  </r>
  <r>
    <s v="D04-S01-P06-K04"/>
    <s v="D04"/>
    <x v="3"/>
    <s v="S01"/>
    <s v="D04-S01"/>
    <x v="29"/>
    <s v="P06"/>
    <s v="D04-S01-P06"/>
    <x v="174"/>
    <s v="K04"/>
    <s v="Kurumtour"/>
  </r>
  <r>
    <s v="D04-S01-P06-K05"/>
    <s v="D04"/>
    <x v="3"/>
    <s v="S01"/>
    <s v="D04-S01"/>
    <x v="29"/>
    <s v="P06"/>
    <s v="D04-S01-P06"/>
    <x v="174"/>
    <s v="K05"/>
    <s v="Biabi 2 Plantesen"/>
  </r>
  <r>
    <s v="D04-S02-P01-K01"/>
    <s v="D04"/>
    <x v="3"/>
    <s v="S02"/>
    <s v="D04-S02"/>
    <x v="30"/>
    <s v="P01"/>
    <s v="D04-S02-P01"/>
    <x v="175"/>
    <s v="K01"/>
    <s v="Kour 1"/>
  </r>
  <r>
    <s v="D04-S02-P02-K01"/>
    <s v="D04"/>
    <x v="3"/>
    <s v="S02"/>
    <s v="D04-S02"/>
    <x v="30"/>
    <s v="P02"/>
    <s v="D04-S02-P02"/>
    <x v="176"/>
    <s v="K01"/>
    <s v="Sangaria"/>
  </r>
  <r>
    <s v="D04-S02-P03-K01"/>
    <s v="D04"/>
    <x v="3"/>
    <s v="S02"/>
    <s v="D04-S02"/>
    <x v="30"/>
    <s v="P03"/>
    <s v="D04-S02-P03"/>
    <x v="177"/>
    <s v="K01"/>
    <s v="Tugutugu"/>
  </r>
  <r>
    <s v="D04-S02-P03-K02"/>
    <s v="D04"/>
    <x v="3"/>
    <s v="S02"/>
    <s v="D04-S02"/>
    <x v="30"/>
    <s v="P03"/>
    <s v="D04-S02-P03"/>
    <x v="177"/>
    <s v="K02"/>
    <s v="Daerdugu"/>
  </r>
  <r>
    <s v="D04-S02-P04-K01"/>
    <s v="D04"/>
    <x v="3"/>
    <s v="S02"/>
    <s v="D04-S02"/>
    <x v="30"/>
    <s v="P04"/>
    <s v="D04-S02-P04"/>
    <x v="178"/>
    <s v="K01"/>
    <s v="Kour 2"/>
  </r>
  <r>
    <s v="D04-S02-P05-K01"/>
    <s v="D04"/>
    <x v="3"/>
    <s v="S02"/>
    <s v="D04-S02"/>
    <x v="30"/>
    <s v="P05"/>
    <s v="D04-S02-P05"/>
    <x v="179"/>
    <s v="K01"/>
    <s v="Makor"/>
  </r>
  <r>
    <s v="D04-S02-P06-K01"/>
    <s v="D04"/>
    <x v="3"/>
    <s v="S02"/>
    <s v="D04-S02"/>
    <x v="30"/>
    <s v="P06"/>
    <s v="D04-S02-P06"/>
    <x v="180"/>
    <s v="K01"/>
    <s v="Kour 4"/>
  </r>
  <r>
    <s v="D04-S02-P06-K02"/>
    <s v="D04"/>
    <x v="3"/>
    <s v="S02"/>
    <s v="D04-S02"/>
    <x v="30"/>
    <s v="P06"/>
    <s v="D04-S02-P06"/>
    <x v="180"/>
    <s v="K02"/>
    <s v="Kour 5"/>
  </r>
  <r>
    <s v="D04-S02-P07-K01"/>
    <s v="D04"/>
    <x v="3"/>
    <s v="S02"/>
    <s v="D04-S02"/>
    <x v="30"/>
    <s v="P07"/>
    <s v="D04-S02-P07"/>
    <x v="181"/>
    <s v="K01"/>
    <s v="Ngor"/>
  </r>
  <r>
    <s v="D04-S02-P08-K01"/>
    <s v="D04"/>
    <x v="3"/>
    <s v="S02"/>
    <s v="D04-S02"/>
    <x v="30"/>
    <s v="P08"/>
    <s v="D04-S02-P08"/>
    <x v="182"/>
    <s v="K01"/>
    <s v="Kour 3"/>
  </r>
  <r>
    <s v="D04-S02--K01"/>
    <s v="D04"/>
    <x v="3"/>
    <s v="S02"/>
    <s v="D04-S02"/>
    <x v="30"/>
    <m/>
    <s v="D04-S02-"/>
    <x v="90"/>
    <s v="K01"/>
    <s v="Kulili plantesen wokmisin eria"/>
  </r>
  <r>
    <s v="D04-S03-P01-K01"/>
    <s v="D04"/>
    <x v="3"/>
    <s v="S03"/>
    <s v="D04-S03"/>
    <x v="31"/>
    <s v="P01"/>
    <s v="D04-S03-P01"/>
    <x v="183"/>
    <s v="K01"/>
    <s v="Maluk"/>
  </r>
  <r>
    <s v="D04-S03-P01-K02"/>
    <s v="D04"/>
    <x v="3"/>
    <s v="S03"/>
    <s v="D04-S03"/>
    <x v="31"/>
    <s v="P01"/>
    <s v="D04-S03-P01"/>
    <x v="183"/>
    <s v="K02"/>
    <s v="Wadau plantesen"/>
  </r>
  <r>
    <s v="D04-S03-P01-K03"/>
    <s v="D04"/>
    <x v="3"/>
    <s v="S03"/>
    <s v="D04-S03"/>
    <x v="31"/>
    <s v="P01"/>
    <s v="D04-S03-P01"/>
    <x v="183"/>
    <s v="K03"/>
    <s v="Wadau "/>
  </r>
  <r>
    <s v="D04-S03-P02-K01"/>
    <s v="D04"/>
    <x v="3"/>
    <s v="S03"/>
    <s v="D04-S03"/>
    <x v="31"/>
    <s v="P02"/>
    <s v="D04-S03-P02"/>
    <x v="184"/>
    <s v="K01"/>
    <s v="Kiribek"/>
  </r>
  <r>
    <s v="D04-S03-P02-K02"/>
    <s v="D04"/>
    <x v="3"/>
    <s v="S03"/>
    <s v="D04-S03"/>
    <x v="31"/>
    <s v="P02"/>
    <s v="D04-S03-P02"/>
    <x v="184"/>
    <s v="K02"/>
    <s v="Buran"/>
  </r>
  <r>
    <s v="D04-S03-P02-K03"/>
    <s v="D04"/>
    <x v="3"/>
    <s v="S03"/>
    <s v="D04-S03"/>
    <x v="31"/>
    <s v="P02"/>
    <s v="D04-S03-P02"/>
    <x v="184"/>
    <s v="K03"/>
    <s v="Yukyuk"/>
  </r>
  <r>
    <s v="D04-S03-P02-K04"/>
    <s v="D04"/>
    <x v="3"/>
    <s v="S03"/>
    <s v="D04-S03"/>
    <x v="31"/>
    <s v="P02"/>
    <s v="D04-S03-P02"/>
    <x v="184"/>
    <s v="K04"/>
    <s v="Kubam"/>
  </r>
  <r>
    <s v="D04-S03-P03-K01"/>
    <s v="D04"/>
    <x v="3"/>
    <s v="S03"/>
    <s v="D04-S03"/>
    <x v="31"/>
    <s v="P03"/>
    <s v="D04-S03-P03"/>
    <x v="185"/>
    <s v="K01"/>
    <s v="Katom"/>
  </r>
  <r>
    <s v="D04-S03-P04-K01"/>
    <s v="D04"/>
    <x v="3"/>
    <s v="S03"/>
    <s v="D04-S03"/>
    <x v="31"/>
    <s v="P04"/>
    <s v="D04-S03-P04"/>
    <x v="186"/>
    <s v="K01"/>
    <s v="Kawailo plantesen"/>
  </r>
  <r>
    <s v="D04-S03-P04-K02"/>
    <s v="D04"/>
    <x v="3"/>
    <s v="S03"/>
    <s v="D04-S03"/>
    <x v="31"/>
    <s v="P04"/>
    <s v="D04-S03-P04"/>
    <x v="186"/>
    <s v="K02"/>
    <s v="Kawailo "/>
  </r>
  <r>
    <s v="D04-S03-P04-K03"/>
    <s v="D04"/>
    <x v="3"/>
    <s v="S03"/>
    <s v="D04-S03"/>
    <x v="31"/>
    <s v="P04"/>
    <s v="D04-S03-P04"/>
    <x v="186"/>
    <s v="K03"/>
    <s v="Warat"/>
  </r>
  <r>
    <s v="D04-S03-P04-K04"/>
    <s v="D04"/>
    <x v="3"/>
    <s v="S03"/>
    <s v="D04-S03"/>
    <x v="31"/>
    <s v="P04"/>
    <s v="D04-S03-P04"/>
    <x v="186"/>
    <s v="K04"/>
    <s v="Pain"/>
  </r>
  <r>
    <s v="D04-S03-P05-K01"/>
    <s v="D04"/>
    <x v="3"/>
    <s v="S03"/>
    <s v="D04-S03"/>
    <x v="31"/>
    <s v="P05"/>
    <s v="D04-S03-P05"/>
    <x v="187"/>
    <s v="K01"/>
    <s v="Urum 1"/>
  </r>
  <r>
    <s v="D04-S03-P05-K02"/>
    <s v="D04"/>
    <x v="3"/>
    <s v="S03"/>
    <s v="D04-S03"/>
    <x v="31"/>
    <s v="P05"/>
    <s v="D04-S03-P05"/>
    <x v="187"/>
    <s v="K02"/>
    <s v="Urum 2"/>
  </r>
  <r>
    <s v="D04-S04-P01-K01"/>
    <s v="D04"/>
    <x v="3"/>
    <s v="S04"/>
    <s v="D04-S04"/>
    <x v="32"/>
    <s v="P01"/>
    <s v="D04-S04-P01"/>
    <x v="188"/>
    <s v="K01"/>
    <s v="Babel"/>
  </r>
  <r>
    <s v="D04-S04-P01-K02"/>
    <s v="D04"/>
    <x v="3"/>
    <s v="S04"/>
    <s v="D04-S04"/>
    <x v="32"/>
    <s v="P01"/>
    <s v="D04-S04-P01"/>
    <x v="188"/>
    <s v="K02"/>
    <s v="Patilo"/>
  </r>
  <r>
    <s v="D04-S04-P01-K03"/>
    <s v="D04"/>
    <x v="3"/>
    <s v="S04"/>
    <s v="D04-S04"/>
    <x v="32"/>
    <s v="P01"/>
    <s v="D04-S04-P01"/>
    <x v="188"/>
    <s v="K03"/>
    <s v="Dangsai"/>
  </r>
  <r>
    <s v="D04-S04-P01-K04"/>
    <s v="D04"/>
    <x v="3"/>
    <s v="S04"/>
    <s v="D04-S04"/>
    <x v="32"/>
    <s v="P01"/>
    <s v="D04-S04-P01"/>
    <x v="188"/>
    <s v="K04"/>
    <s v="Doup"/>
  </r>
  <r>
    <s v="D04-S04-P02-K01"/>
    <s v="D04"/>
    <x v="3"/>
    <s v="S04"/>
    <s v="D04-S04"/>
    <x v="32"/>
    <s v="P02"/>
    <s v="D04-S04-P02"/>
    <x v="189"/>
    <s v="K01"/>
    <s v="Biu"/>
  </r>
  <r>
    <s v="D04-S04-P02-K02"/>
    <s v="D04"/>
    <x v="3"/>
    <s v="S04"/>
    <s v="D04-S04"/>
    <x v="32"/>
    <s v="P02"/>
    <s v="D04-S04-P02"/>
    <x v="189"/>
    <s v="K02"/>
    <s v="Dumad"/>
  </r>
  <r>
    <s v="D04-S04-P02-K03"/>
    <s v="D04"/>
    <x v="3"/>
    <s v="S04"/>
    <s v="D04-S04"/>
    <x v="32"/>
    <s v="P02"/>
    <s v="D04-S04-P02"/>
    <x v="189"/>
    <s v="K03"/>
    <s v="Rigem"/>
  </r>
  <r>
    <s v="D04-S04-P03-K01"/>
    <s v="D04"/>
    <x v="3"/>
    <s v="S04"/>
    <s v="D04-S04"/>
    <x v="32"/>
    <s v="P03"/>
    <s v="D04-S04-P03"/>
    <x v="190"/>
    <s v="K01"/>
    <s v="Komoria 1"/>
  </r>
  <r>
    <s v="D04-S04-P03-K02"/>
    <s v="D04"/>
    <x v="3"/>
    <s v="S04"/>
    <s v="D04-S04"/>
    <x v="32"/>
    <s v="P03"/>
    <s v="D04-S04-P03"/>
    <x v="190"/>
    <s v="K02"/>
    <s v="Komoria 2"/>
  </r>
  <r>
    <s v="D04-S04-P04-K01"/>
    <s v="D04"/>
    <x v="3"/>
    <s v="S04"/>
    <s v="D04-S04"/>
    <x v="32"/>
    <s v="P04"/>
    <s v="D04-S04-P04"/>
    <x v="191"/>
    <s v="K01"/>
    <s v="Boroma"/>
  </r>
  <r>
    <s v="D04-S04-P04-K02"/>
    <s v="D04"/>
    <x v="3"/>
    <s v="S04"/>
    <s v="D04-S04"/>
    <x v="32"/>
    <s v="P04"/>
    <s v="D04-S04-P04"/>
    <x v="191"/>
    <s v="K02"/>
    <s v="Gamok"/>
  </r>
  <r>
    <s v="D04-S04-P04-K03"/>
    <s v="D04"/>
    <x v="3"/>
    <s v="S04"/>
    <s v="D04-S04"/>
    <x v="32"/>
    <s v="P04"/>
    <s v="D04-S04-P04"/>
    <x v="191"/>
    <s v="K03"/>
    <s v="Did"/>
  </r>
  <r>
    <s v="D04-S05-P01-K01"/>
    <s v="D04"/>
    <x v="3"/>
    <s v="S05"/>
    <s v="D04-S05"/>
    <x v="33"/>
    <s v="P01"/>
    <s v="D04-S05-P01"/>
    <x v="192"/>
    <s v="K01"/>
    <s v="Kurum"/>
  </r>
  <r>
    <s v="D04-S05-P01-K02"/>
    <s v="D04"/>
    <x v="3"/>
    <s v="S05"/>
    <s v="D04-S05"/>
    <x v="33"/>
    <s v="P01"/>
    <s v="D04-S05-P01"/>
    <x v="192"/>
    <s v="K02"/>
    <s v="Faith (Gaubin)"/>
  </r>
  <r>
    <s v="D04-S05-P02-K01"/>
    <s v="D04"/>
    <x v="3"/>
    <s v="S05"/>
    <s v="D04-S05"/>
    <x v="33"/>
    <s v="P02"/>
    <s v="D04-S05-P02"/>
    <x v="193"/>
    <s v="K01"/>
    <s v="Malub 1"/>
  </r>
  <r>
    <s v="D04-S05-P02-K02"/>
    <s v="D04"/>
    <x v="3"/>
    <s v="S05"/>
    <s v="D04-S05"/>
    <x v="33"/>
    <s v="P02"/>
    <s v="D04-S05-P02"/>
    <x v="193"/>
    <s v="K02"/>
    <s v="Malub 2"/>
  </r>
  <r>
    <s v="D04-S05-P02-K03"/>
    <s v="D04"/>
    <x v="3"/>
    <s v="S05"/>
    <s v="D04-S05"/>
    <x v="33"/>
    <s v="P02"/>
    <s v="D04-S05-P02"/>
    <x v="193"/>
    <s v="K03"/>
    <s v="Midan"/>
  </r>
  <r>
    <s v="D04-S05-P02-K04"/>
    <s v="D04"/>
    <x v="3"/>
    <s v="S05"/>
    <s v="D04-S05"/>
    <x v="33"/>
    <s v="P02"/>
    <s v="D04-S05-P02"/>
    <x v="193"/>
    <s v="K04"/>
    <s v="Mangari"/>
  </r>
  <r>
    <s v="D04-S05-P03-K01"/>
    <s v="D04"/>
    <x v="3"/>
    <s v="S05"/>
    <s v="D04-S05"/>
    <x v="33"/>
    <s v="P03"/>
    <s v="D04-S05-P03"/>
    <x v="194"/>
    <s v="K01"/>
    <s v="Kuduk"/>
  </r>
  <r>
    <s v="D04-S05-P03-K02"/>
    <s v="D04"/>
    <x v="3"/>
    <s v="S05"/>
    <s v="D04-S05"/>
    <x v="33"/>
    <s v="P03"/>
    <s v="D04-S05-P03"/>
    <x v="194"/>
    <s v="K02"/>
    <s v="Moban"/>
  </r>
  <r>
    <s v="D04-S05-P03-K03"/>
    <s v="D04"/>
    <x v="3"/>
    <s v="S05"/>
    <s v="D04-S05"/>
    <x v="33"/>
    <s v="P03"/>
    <s v="D04-S05-P03"/>
    <x v="194"/>
    <s v="K03"/>
    <s v="Kirden"/>
  </r>
  <r>
    <s v="D04-S05-P03-K04"/>
    <s v="D04"/>
    <x v="3"/>
    <s v="S05"/>
    <s v="D04-S05"/>
    <x v="33"/>
    <s v="P03"/>
    <s v="D04-S05-P03"/>
    <x v="194"/>
    <s v="K04"/>
    <s v="Bafor"/>
  </r>
  <r>
    <s v="D04-S05-P04-K01"/>
    <s v="D04"/>
    <x v="3"/>
    <s v="S05"/>
    <s v="D04-S05"/>
    <x v="33"/>
    <s v="P04"/>
    <s v="D04-S05-P04"/>
    <x v="195"/>
    <s v="K01"/>
    <s v="Kevasop"/>
  </r>
  <r>
    <s v="D04-S05-P04-K02"/>
    <s v="D04"/>
    <x v="3"/>
    <s v="S05"/>
    <s v="D04-S05"/>
    <x v="33"/>
    <s v="P04"/>
    <s v="D04-S05-P04"/>
    <x v="195"/>
    <s v="K02"/>
    <s v="Liloi"/>
  </r>
  <r>
    <s v="D04-S05-P04-K03"/>
    <s v="D04"/>
    <x v="3"/>
    <s v="S05"/>
    <s v="D04-S05"/>
    <x v="33"/>
    <s v="P04"/>
    <s v="D04-S05-P04"/>
    <x v="195"/>
    <s v="K03"/>
    <s v="Wakon"/>
  </r>
  <r>
    <s v="D05-S01-P01-K01"/>
    <s v="D05"/>
    <x v="4"/>
    <s v="S01"/>
    <s v="D05-S01"/>
    <x v="34"/>
    <s v="P01"/>
    <s v="D05-S01-P01"/>
    <x v="196"/>
    <s v="K01"/>
    <s v="Arot"/>
  </r>
  <r>
    <s v="D05-S01-P01-K02"/>
    <s v="D05"/>
    <x v="4"/>
    <s v="S01"/>
    <s v="D05-S01"/>
    <x v="34"/>
    <s v="P01"/>
    <s v="D05-S01-P01"/>
    <x v="196"/>
    <s v="K02"/>
    <s v="Mararamu"/>
  </r>
  <r>
    <s v="D05-S01-P01-K03"/>
    <s v="D05"/>
    <x v="4"/>
    <s v="S01"/>
    <s v="D05-S01"/>
    <x v="34"/>
    <s v="P01"/>
    <s v="D05-S01-P01"/>
    <x v="196"/>
    <s v="K03"/>
    <s v="Aiyau (Kalvary)"/>
  </r>
  <r>
    <s v="D05-S01-P02-K01"/>
    <s v="D05"/>
    <x v="4"/>
    <s v="S01"/>
    <s v="D05-S01"/>
    <x v="34"/>
    <s v="P02"/>
    <s v="D05-S01-P02"/>
    <x v="197"/>
    <s v="K01"/>
    <s v="Gasam"/>
  </r>
  <r>
    <s v="D05-S01-P02-K02"/>
    <s v="D05"/>
    <x v="4"/>
    <s v="S01"/>
    <s v="D05-S01"/>
    <x v="34"/>
    <s v="P02"/>
    <s v="D05-S01-P02"/>
    <x v="197"/>
    <s v="K02"/>
    <s v="Oropot"/>
  </r>
  <r>
    <s v="D05-S01-P02-K03"/>
    <s v="D05"/>
    <x v="4"/>
    <s v="S01"/>
    <s v="D05-S01"/>
    <x v="34"/>
    <s v="P02"/>
    <s v="D05-S01-P02"/>
    <x v="197"/>
    <s v="K03"/>
    <s v="Gom"/>
  </r>
  <r>
    <s v="D05-S01-P03-K01"/>
    <s v="D05"/>
    <x v="4"/>
    <s v="S01"/>
    <s v="D05-S01"/>
    <x v="34"/>
    <s v="P03"/>
    <s v="D05-S01-P03"/>
    <x v="198"/>
    <s v="K01"/>
    <s v="Omobarang"/>
  </r>
  <r>
    <s v="D05-S01-P04-K01"/>
    <s v="D05"/>
    <x v="4"/>
    <s v="S01"/>
    <s v="D05-S01"/>
    <x v="34"/>
    <s v="P04"/>
    <s v="D05-S01-P04"/>
    <x v="199"/>
    <s v="K01"/>
    <s v="Balim"/>
  </r>
  <r>
    <s v="D05-S01-P05-K01"/>
    <s v="D05"/>
    <x v="4"/>
    <s v="S01"/>
    <s v="D05-S01"/>
    <x v="34"/>
    <s v="P05"/>
    <s v="D05-S01-P05"/>
    <x v="200"/>
    <s v="K01"/>
    <s v="Gomrongon"/>
  </r>
  <r>
    <s v="D05-S01-P05-K02"/>
    <s v="D05"/>
    <x v="4"/>
    <s v="S01"/>
    <s v="D05-S01"/>
    <x v="34"/>
    <s v="P05"/>
    <s v="D05-S01-P05"/>
    <x v="200"/>
    <s v="K02"/>
    <s v="Tarawe"/>
  </r>
  <r>
    <s v="D05-S01-P05-K03"/>
    <s v="D05"/>
    <x v="4"/>
    <s v="S01"/>
    <s v="D05-S01"/>
    <x v="34"/>
    <s v="P05"/>
    <s v="D05-S01-P05"/>
    <x v="200"/>
    <s v="K03"/>
    <s v="Opai"/>
  </r>
  <r>
    <s v="D05-S01-P05-K04"/>
    <s v="D05"/>
    <x v="4"/>
    <s v="S01"/>
    <s v="D05-S01"/>
    <x v="34"/>
    <s v="P05"/>
    <s v="D05-S01-P05"/>
    <x v="200"/>
    <s v="K04"/>
    <s v="Obongai"/>
  </r>
  <r>
    <s v="D05-S01-P06-K01"/>
    <s v="D05"/>
    <x v="4"/>
    <s v="S01"/>
    <s v="D05-S01"/>
    <x v="34"/>
    <s v="P06"/>
    <s v="D05-S01-P06"/>
    <x v="201"/>
    <s v="K01"/>
    <s v="Marasuron"/>
  </r>
  <r>
    <s v="D05-S01-P06-K02"/>
    <s v="D05"/>
    <x v="4"/>
    <s v="S01"/>
    <s v="D05-S01"/>
    <x v="34"/>
    <s v="P06"/>
    <s v="D05-S01-P06"/>
    <x v="201"/>
    <s v="K02"/>
    <s v="Sarabron"/>
  </r>
  <r>
    <s v="D05-S01-P06-K03"/>
    <s v="D05"/>
    <x v="4"/>
    <s v="S01"/>
    <s v="D05-S01"/>
    <x v="34"/>
    <s v="P06"/>
    <s v="D05-S01-P06"/>
    <x v="201"/>
    <s v="K03"/>
    <s v="Anrai"/>
  </r>
  <r>
    <s v="D05-S01-P06-K04"/>
    <s v="D05"/>
    <x v="4"/>
    <s v="S01"/>
    <s v="D05-S01"/>
    <x v="34"/>
    <s v="P06"/>
    <s v="D05-S01-P06"/>
    <x v="201"/>
    <s v="K04"/>
    <s v="Baiyau"/>
  </r>
  <r>
    <s v="D05-S01-P07-K01"/>
    <s v="D05"/>
    <x v="4"/>
    <s v="S01"/>
    <s v="D05-S01"/>
    <x v="34"/>
    <s v="P07"/>
    <s v="D05-S01-P07"/>
    <x v="202"/>
    <s v="K01"/>
    <s v="Masere"/>
  </r>
  <r>
    <s v="D05-S01-P07-K02"/>
    <s v="D05"/>
    <x v="4"/>
    <s v="S01"/>
    <s v="D05-S01"/>
    <x v="34"/>
    <s v="P07"/>
    <s v="D05-S01-P07"/>
    <x v="202"/>
    <s v="K02"/>
    <s v="Matagen"/>
  </r>
  <r>
    <s v="D05-S01-P08-K01"/>
    <s v="D05"/>
    <x v="4"/>
    <s v="S01"/>
    <s v="D05-S01"/>
    <x v="34"/>
    <s v="P08"/>
    <s v="D05-S01-P08"/>
    <x v="203"/>
    <s v="K01"/>
    <s v="Awar"/>
  </r>
  <r>
    <s v="D05-S01-P08-K02"/>
    <s v="D05"/>
    <x v="4"/>
    <s v="S01"/>
    <s v="D05-S01"/>
    <x v="34"/>
    <s v="P08"/>
    <s v="D05-S01-P08"/>
    <x v="203"/>
    <s v="K02"/>
    <s v="Murau"/>
  </r>
  <r>
    <s v="D05-S01-P08-K03"/>
    <s v="D05"/>
    <x v="4"/>
    <s v="S01"/>
    <s v="D05-S01"/>
    <x v="34"/>
    <s v="P08"/>
    <s v="D05-S01-P08"/>
    <x v="203"/>
    <s v="K03"/>
    <s v="Tur"/>
  </r>
  <r>
    <s v="D05-S02-P01-K01"/>
    <s v="D05"/>
    <x v="4"/>
    <s v="S02"/>
    <s v="D05-S02"/>
    <x v="35"/>
    <s v="P01"/>
    <s v="D05-S02-P01"/>
    <x v="204"/>
    <s v="K01"/>
    <s v="Kamparap"/>
  </r>
  <r>
    <s v="D05-S02-P01-K02"/>
    <s v="D05"/>
    <x v="4"/>
    <s v="S02"/>
    <s v="D05-S02"/>
    <x v="35"/>
    <s v="P01"/>
    <s v="D05-S02-P01"/>
    <x v="204"/>
    <s v="K02"/>
    <s v="Kabi"/>
  </r>
  <r>
    <s v="D05-S02-P01-K03"/>
    <s v="D05"/>
    <x v="4"/>
    <s v="S02"/>
    <s v="D05-S02"/>
    <x v="35"/>
    <s v="P01"/>
    <s v="D05-S02-P01"/>
    <x v="204"/>
    <s v="K03"/>
    <s v="Sakar"/>
  </r>
  <r>
    <s v="D05-S02-P02-K01"/>
    <s v="D05"/>
    <x v="4"/>
    <s v="S02"/>
    <s v="D05-S02"/>
    <x v="35"/>
    <s v="P02"/>
    <s v="D05-S02-P02"/>
    <x v="205"/>
    <s v="K01"/>
    <s v="Brik"/>
  </r>
  <r>
    <s v="D05-S02-P02-K02"/>
    <s v="D05"/>
    <x v="4"/>
    <s v="S02"/>
    <s v="D05-S02"/>
    <x v="35"/>
    <s v="P02"/>
    <s v="D05-S02-P02"/>
    <x v="205"/>
    <s v="K02"/>
    <s v="Yaga"/>
  </r>
  <r>
    <s v="D05-S02-P02-K03"/>
    <s v="D05"/>
    <x v="4"/>
    <s v="S02"/>
    <s v="D05-S02"/>
    <x v="35"/>
    <s v="P02"/>
    <s v="D05-S02-P02"/>
    <x v="205"/>
    <s v="K03"/>
    <s v="Marile"/>
  </r>
  <r>
    <s v="D05-S02-P02-K04"/>
    <s v="D05"/>
    <x v="4"/>
    <s v="S02"/>
    <s v="D05-S02"/>
    <x v="35"/>
    <s v="P02"/>
    <s v="D05-S02-P02"/>
    <x v="205"/>
    <s v="K04"/>
    <s v="Laplap"/>
  </r>
  <r>
    <s v="D05-S02-P03-K01"/>
    <s v="D05"/>
    <x v="4"/>
    <s v="S02"/>
    <s v="D05-S02"/>
    <x v="35"/>
    <s v="P03"/>
    <s v="D05-S02-P03"/>
    <x v="206"/>
    <s v="K01"/>
    <s v="Alonai (Ailan)"/>
  </r>
  <r>
    <s v="D05-S02-P04-K01"/>
    <s v="D05"/>
    <x v="4"/>
    <s v="S02"/>
    <s v="D05-S02"/>
    <x v="35"/>
    <s v="P04"/>
    <s v="D05-S02-P04"/>
    <x v="207"/>
    <s v="K01"/>
    <s v="Gauru"/>
  </r>
  <r>
    <s v="D05-S02-P04-K02"/>
    <s v="D05"/>
    <x v="4"/>
    <s v="S02"/>
    <s v="D05-S02"/>
    <x v="35"/>
    <s v="P04"/>
    <s v="D05-S02-P04"/>
    <x v="207"/>
    <s v="K02"/>
    <s v="Yangra"/>
  </r>
  <r>
    <s v="D05-S02-P05-K01"/>
    <s v="D05"/>
    <x v="4"/>
    <s v="S02"/>
    <s v="D05-S02"/>
    <x v="35"/>
    <s v="P05"/>
    <s v="D05-S02-P05"/>
    <x v="208"/>
    <s v="K01"/>
    <s v="Malai (Ailan)"/>
  </r>
  <r>
    <s v="D05-S02-P06-K01"/>
    <s v="D05"/>
    <x v="4"/>
    <s v="S02"/>
    <s v="D05-S02"/>
    <x v="35"/>
    <s v="P06"/>
    <s v="D05-S02-P06"/>
    <x v="209"/>
    <s v="K01"/>
    <s v="Tuam (Ailan)"/>
  </r>
  <r>
    <s v="D05-S02-P07-K01"/>
    <s v="D05"/>
    <x v="4"/>
    <s v="S02"/>
    <s v="D05-S02"/>
    <x v="35"/>
    <s v="P07"/>
    <s v="D05-S02-P07"/>
    <x v="210"/>
    <s v="K01"/>
    <s v="Aromod"/>
  </r>
  <r>
    <s v="D05-S02-P07-K02"/>
    <s v="D05"/>
    <x v="4"/>
    <s v="S02"/>
    <s v="D05-S02"/>
    <x v="35"/>
    <s v="P07"/>
    <s v="D05-S02-P07"/>
    <x v="210"/>
    <s v="K02"/>
    <s v="Mutumara"/>
  </r>
  <r>
    <s v="D06-S01-P01-K01"/>
    <s v="D06"/>
    <x v="5"/>
    <s v="S01"/>
    <s v="D06-S01"/>
    <x v="36"/>
    <s v="P01"/>
    <s v="D06-S01-P01"/>
    <x v="211"/>
    <s v="K01"/>
    <s v="Wanam"/>
  </r>
  <r>
    <s v="D06-S01-P01-K02"/>
    <s v="D06"/>
    <x v="5"/>
    <s v="S01"/>
    <s v="D06-S01"/>
    <x v="36"/>
    <s v="P01"/>
    <s v="D06-S01-P01"/>
    <x v="211"/>
    <s v="K02"/>
    <s v="Geraun"/>
  </r>
  <r>
    <s v="D06-S01-P01-K03"/>
    <s v="D06"/>
    <x v="5"/>
    <s v="S01"/>
    <s v="D06-S01"/>
    <x v="36"/>
    <s v="P01"/>
    <s v="D06-S01-P01"/>
    <x v="211"/>
    <s v="K03"/>
    <s v="Kambau"/>
  </r>
  <r>
    <s v="D06-S01-P02-K01"/>
    <s v="D06"/>
    <x v="5"/>
    <s v="S01"/>
    <s v="D06-S01"/>
    <x v="36"/>
    <s v="P02"/>
    <s v="D06-S01-P02"/>
    <x v="212"/>
    <s v="K01"/>
    <s v="Musep"/>
  </r>
  <r>
    <s v="D06-S01-P02-K02"/>
    <s v="D06"/>
    <x v="5"/>
    <s v="S01"/>
    <s v="D06-S01"/>
    <x v="36"/>
    <s v="P02"/>
    <s v="D06-S01-P02"/>
    <x v="212"/>
    <s v="K02"/>
    <s v="Indagen"/>
  </r>
  <r>
    <s v="D06-S01-P02-K03"/>
    <s v="D06"/>
    <x v="5"/>
    <s v="S01"/>
    <s v="D06-S01"/>
    <x v="36"/>
    <s v="P02"/>
    <s v="D06-S01-P02"/>
    <x v="212"/>
    <s v="K03"/>
    <s v="Waran"/>
  </r>
  <r>
    <s v="D06-S01-P03-K01"/>
    <s v="D06"/>
    <x v="5"/>
    <s v="S01"/>
    <s v="D06-S01"/>
    <x v="36"/>
    <s v="P03"/>
    <s v="D06-S01-P03"/>
    <x v="213"/>
    <s v="K01"/>
    <s v="Quautop"/>
  </r>
  <r>
    <s v="D06-S01-P03-K02"/>
    <s v="D06"/>
    <x v="5"/>
    <s v="S01"/>
    <s v="D06-S01"/>
    <x v="36"/>
    <s v="P03"/>
    <s v="D06-S01-P03"/>
    <x v="213"/>
    <s v="K02"/>
    <s v="Saune"/>
  </r>
  <r>
    <s v="D06-S01-P03-K03"/>
    <s v="D06"/>
    <x v="5"/>
    <s v="S01"/>
    <s v="D06-S01"/>
    <x v="36"/>
    <s v="P03"/>
    <s v="D06-S01-P03"/>
    <x v="213"/>
    <s v="K03"/>
    <s v="Lauya"/>
  </r>
  <r>
    <s v="D06-S01-P04-K01"/>
    <s v="D06"/>
    <x v="5"/>
    <s v="S01"/>
    <s v="D06-S01"/>
    <x v="36"/>
    <s v="P04"/>
    <s v="D06-S01-P04"/>
    <x v="214"/>
    <s v="K01"/>
    <s v="Ununu"/>
  </r>
  <r>
    <s v="D06-S01-P04-K02"/>
    <s v="D06"/>
    <x v="5"/>
    <s v="S01"/>
    <s v="D06-S01"/>
    <x v="36"/>
    <s v="P04"/>
    <s v="D06-S01-P04"/>
    <x v="214"/>
    <s v="K02"/>
    <s v="Muing/Konge"/>
  </r>
  <r>
    <s v="D06-S01-P04-K03"/>
    <s v="D06"/>
    <x v="5"/>
    <s v="S01"/>
    <s v="D06-S01"/>
    <x v="36"/>
    <s v="P04"/>
    <s v="D06-S01-P04"/>
    <x v="214"/>
    <s v="K03"/>
    <s v="Niuling"/>
  </r>
  <r>
    <s v="D06-S01-P05-K01"/>
    <s v="D06"/>
    <x v="5"/>
    <s v="S01"/>
    <s v="D06-S01"/>
    <x v="36"/>
    <s v="P05"/>
    <s v="D06-S01-P05"/>
    <x v="215"/>
    <s v="K01"/>
    <s v="Sape"/>
  </r>
  <r>
    <s v="D06-S01-P05-K02"/>
    <s v="D06"/>
    <x v="5"/>
    <s v="S01"/>
    <s v="D06-S01"/>
    <x v="36"/>
    <s v="P05"/>
    <s v="D06-S01-P05"/>
    <x v="215"/>
    <s v="K02"/>
    <s v="Gumung"/>
  </r>
  <r>
    <s v="D06-S01-P06-K01"/>
    <s v="D06"/>
    <x v="5"/>
    <s v="S01"/>
    <s v="D06-S01"/>
    <x v="36"/>
    <s v="P06"/>
    <s v="D06-S01-P06"/>
    <x v="216"/>
    <s v="K01"/>
    <s v="Umung"/>
  </r>
  <r>
    <s v="D06-S01-P06-K02"/>
    <s v="D06"/>
    <x v="5"/>
    <s v="S01"/>
    <s v="D06-S01"/>
    <x v="36"/>
    <s v="P06"/>
    <s v="D06-S01-P06"/>
    <x v="216"/>
    <s v="K02"/>
    <s v="Kombuk"/>
  </r>
  <r>
    <s v="D06-S01-P06-K03"/>
    <s v="D06"/>
    <x v="5"/>
    <s v="S01"/>
    <s v="D06-S01"/>
    <x v="36"/>
    <s v="P06"/>
    <s v="D06-S01-P06"/>
    <x v="216"/>
    <s v="K03"/>
    <s v="Sikam"/>
  </r>
  <r>
    <s v="D06-S01-P07-K01"/>
    <s v="D06"/>
    <x v="5"/>
    <s v="S01"/>
    <s v="D06-S01"/>
    <x v="36"/>
    <s v="P07"/>
    <s v="D06-S01-P07"/>
    <x v="217"/>
    <s v="K01"/>
    <s v="Sombore"/>
  </r>
  <r>
    <s v="D06-S01-P07-K02"/>
    <s v="D06"/>
    <x v="5"/>
    <s v="S01"/>
    <s v="D06-S01"/>
    <x v="36"/>
    <s v="P07"/>
    <s v="D06-S01-P07"/>
    <x v="217"/>
    <s v="K02"/>
    <s v="Satwak"/>
  </r>
  <r>
    <s v="D06-S01-P07-K03"/>
    <s v="D06"/>
    <x v="5"/>
    <s v="S01"/>
    <s v="D06-S01"/>
    <x v="36"/>
    <s v="P07"/>
    <s v="D06-S01-P07"/>
    <x v="217"/>
    <s v="K03"/>
    <s v="Bangut"/>
  </r>
  <r>
    <s v="D06-S02-P01-K01"/>
    <s v="D06"/>
    <x v="5"/>
    <s v="S02"/>
    <s v="D06-S02"/>
    <x v="37"/>
    <s v="P01"/>
    <s v="D06-S02-P01"/>
    <x v="218"/>
    <s v="K01"/>
    <s v="Kilokilo"/>
  </r>
  <r>
    <s v="D06-S02-P01-K02"/>
    <s v="D06"/>
    <x v="5"/>
    <s v="S02"/>
    <s v="D06-S02"/>
    <x v="37"/>
    <s v="P01"/>
    <s v="D06-S02-P01"/>
    <x v="218"/>
    <s v="K02"/>
    <s v="Gotoro"/>
  </r>
  <r>
    <s v="D06-S02-P01-K03"/>
    <s v="D06"/>
    <x v="5"/>
    <s v="S02"/>
    <s v="D06-S02"/>
    <x v="37"/>
    <s v="P01"/>
    <s v="D06-S02-P01"/>
    <x v="218"/>
    <s v="K03"/>
    <s v="Tipsit"/>
  </r>
  <r>
    <s v="D06-S02-P01-K04"/>
    <s v="D06"/>
    <x v="5"/>
    <s v="S02"/>
    <s v="D06-S02"/>
    <x v="37"/>
    <s v="P01"/>
    <s v="D06-S02-P01"/>
    <x v="218"/>
    <s v="K04"/>
    <s v="Bomu"/>
  </r>
  <r>
    <s v="D06-S02-P02-K01"/>
    <s v="D06"/>
    <x v="5"/>
    <s v="S02"/>
    <s v="D06-S02"/>
    <x v="37"/>
    <s v="P02"/>
    <s v="D06-S02-P02"/>
    <x v="219"/>
    <s v="K01"/>
    <s v="Upart"/>
  </r>
  <r>
    <s v="D06-S02-P02-K02"/>
    <s v="D06"/>
    <x v="5"/>
    <s v="S02"/>
    <s v="D06-S02"/>
    <x v="37"/>
    <s v="P02"/>
    <s v="D06-S02-P02"/>
    <x v="219"/>
    <s v="K02"/>
    <s v="Gilang"/>
  </r>
  <r>
    <s v="D06-S02-P02-K03"/>
    <s v="D06"/>
    <x v="5"/>
    <s v="S02"/>
    <s v="D06-S02"/>
    <x v="37"/>
    <s v="P02"/>
    <s v="D06-S02-P02"/>
    <x v="219"/>
    <s v="K03"/>
    <s v="Kamaudu"/>
  </r>
  <r>
    <s v="D06-S02-P02-K04"/>
    <s v="D06"/>
    <x v="5"/>
    <s v="S02"/>
    <s v="D06-S02"/>
    <x v="37"/>
    <s v="P02"/>
    <s v="D06-S02-P02"/>
    <x v="219"/>
    <s v="K04"/>
    <s v="Erendengan"/>
  </r>
  <r>
    <s v="D06-S02-P02-K05"/>
    <s v="D06"/>
    <x v="5"/>
    <s v="S02"/>
    <s v="D06-S02"/>
    <x v="37"/>
    <s v="P02"/>
    <s v="D06-S02-P02"/>
    <x v="219"/>
    <s v="K05"/>
    <s v="Dolo"/>
  </r>
  <r>
    <s v="D06-S02-P02-K06"/>
    <s v="D06"/>
    <x v="5"/>
    <s v="S02"/>
    <s v="D06-S02"/>
    <x v="37"/>
    <s v="P02"/>
    <s v="D06-S02-P02"/>
    <x v="219"/>
    <s v="K06"/>
    <s v="Weke"/>
  </r>
  <r>
    <s v="D06-S02-P03-K01"/>
    <s v="D06"/>
    <x v="5"/>
    <s v="S02"/>
    <s v="D06-S02"/>
    <x v="37"/>
    <s v="P03"/>
    <s v="D06-S02-P03"/>
    <x v="220"/>
    <s v="K01"/>
    <s v="Indum 1"/>
  </r>
  <r>
    <s v="D06-S02-P03-K02"/>
    <s v="D06"/>
    <x v="5"/>
    <s v="S02"/>
    <s v="D06-S02"/>
    <x v="37"/>
    <s v="P03"/>
    <s v="D06-S02-P03"/>
    <x v="220"/>
    <s v="K02"/>
    <s v="Indum 2"/>
  </r>
  <r>
    <s v="D06-S02-P03-K03"/>
    <s v="D06"/>
    <x v="5"/>
    <s v="S02"/>
    <s v="D06-S02"/>
    <x v="37"/>
    <s v="P03"/>
    <s v="D06-S02-P03"/>
    <x v="220"/>
    <s v="K03"/>
    <s v="Indum 3"/>
  </r>
  <r>
    <s v="D06-S02-P03-K04"/>
    <s v="D06"/>
    <x v="5"/>
    <s v="S02"/>
    <s v="D06-S02"/>
    <x v="37"/>
    <s v="P03"/>
    <s v="D06-S02-P03"/>
    <x v="220"/>
    <s v="K04"/>
    <s v="Indum 4"/>
  </r>
  <r>
    <s v="D06-S02-P04-K01"/>
    <s v="D06"/>
    <x v="5"/>
    <s v="S02"/>
    <s v="D06-S02"/>
    <x v="37"/>
    <s v="P04"/>
    <s v="D06-S02-P04"/>
    <x v="87"/>
    <s v="K01"/>
    <s v="Selepet"/>
  </r>
  <r>
    <s v="D06-S02-P04-K02"/>
    <s v="D06"/>
    <x v="5"/>
    <s v="S02"/>
    <s v="D06-S02"/>
    <x v="37"/>
    <s v="P04"/>
    <s v="D06-S02-P04"/>
    <x v="87"/>
    <s v="K02"/>
    <s v="Konimdo 1"/>
  </r>
  <r>
    <s v="D06-S02-P04-K03"/>
    <s v="D06"/>
    <x v="5"/>
    <s v="S02"/>
    <s v="D06-S02"/>
    <x v="37"/>
    <s v="P04"/>
    <s v="D06-S02-P04"/>
    <x v="87"/>
    <s v="K03"/>
    <s v="Konimdo 2"/>
  </r>
  <r>
    <s v="D06-S02-P05-K01"/>
    <s v="D06"/>
    <x v="5"/>
    <s v="S02"/>
    <s v="D06-S02"/>
    <x v="37"/>
    <s v="P05"/>
    <s v="D06-S02-P05"/>
    <x v="221"/>
    <s v="K01"/>
    <s v="Solong"/>
  </r>
  <r>
    <s v="D06-S02-P05-K02"/>
    <s v="D06"/>
    <x v="5"/>
    <s v="S02"/>
    <s v="D06-S02"/>
    <x v="37"/>
    <s v="P05"/>
    <s v="D06-S02-P05"/>
    <x v="221"/>
    <s v="K02"/>
    <s v="Dengop"/>
  </r>
  <r>
    <s v="D06-S02-P05-K03"/>
    <s v="D06"/>
    <x v="5"/>
    <s v="S02"/>
    <s v="D06-S02"/>
    <x v="37"/>
    <s v="P05"/>
    <s v="D06-S02-P05"/>
    <x v="221"/>
    <s v="K03"/>
    <s v="Kusing"/>
  </r>
  <r>
    <s v="D06-S02-P06-K01"/>
    <s v="D06"/>
    <x v="5"/>
    <s v="S02"/>
    <s v="D06-S02"/>
    <x v="37"/>
    <s v="P06"/>
    <s v="D06-S02-P06"/>
    <x v="222"/>
    <s v="K01"/>
    <s v="Wap"/>
  </r>
  <r>
    <s v="D06-S02-P06-K02"/>
    <s v="D06"/>
    <x v="5"/>
    <s v="S02"/>
    <s v="D06-S02"/>
    <x v="37"/>
    <s v="P06"/>
    <s v="D06-S02-P06"/>
    <x v="222"/>
    <s v="K02"/>
    <s v="Nimbako"/>
  </r>
  <r>
    <s v="D06-S02-P06-K03"/>
    <s v="D06"/>
    <x v="5"/>
    <s v="S02"/>
    <s v="D06-S02"/>
    <x v="37"/>
    <s v="P06"/>
    <s v="D06-S02-P06"/>
    <x v="222"/>
    <s v="K03"/>
    <s v="Kondolop"/>
  </r>
  <r>
    <s v="D06-S02-P06-K04"/>
    <s v="D06"/>
    <x v="5"/>
    <s v="S02"/>
    <s v="D06-S02"/>
    <x v="37"/>
    <s v="P06"/>
    <s v="D06-S02-P06"/>
    <x v="222"/>
    <s v="K04"/>
    <s v="Umbmon"/>
  </r>
  <r>
    <s v="D06-S02--K01"/>
    <s v="D06"/>
    <x v="5"/>
    <s v="S02"/>
    <s v="D06-S02"/>
    <x v="37"/>
    <m/>
    <s v="D06-S02-"/>
    <x v="90"/>
    <s v="K01"/>
    <s v="Maranatha "/>
  </r>
  <r>
    <s v="D06-S03-P01-K01"/>
    <s v="D06"/>
    <x v="5"/>
    <s v="S03"/>
    <s v="D06-S03"/>
    <x v="38"/>
    <s v="P01"/>
    <s v="D06-S03-P01"/>
    <x v="223"/>
    <s v="K01"/>
    <s v="Dengonde"/>
  </r>
  <r>
    <s v="D06-S03-P01-K02"/>
    <s v="D06"/>
    <x v="5"/>
    <s v="S03"/>
    <s v="D06-S03"/>
    <x v="38"/>
    <s v="P01"/>
    <s v="D06-S03-P01"/>
    <x v="223"/>
    <s v="K02"/>
    <s v="Sombongan"/>
  </r>
  <r>
    <s v="D06-S03-P01-K03"/>
    <s v="D06"/>
    <x v="5"/>
    <s v="S03"/>
    <s v="D06-S03"/>
    <x v="38"/>
    <s v="P01"/>
    <s v="D06-S03-P01"/>
    <x v="223"/>
    <s v="K03"/>
    <s v="Mumugan"/>
  </r>
  <r>
    <s v="D06-S03-P01-K04"/>
    <s v="D06"/>
    <x v="5"/>
    <s v="S03"/>
    <s v="D06-S03"/>
    <x v="38"/>
    <s v="P01"/>
    <s v="D06-S03-P01"/>
    <x v="223"/>
    <s v="K04"/>
    <s v="Kondoron"/>
  </r>
  <r>
    <s v="D06-S03-P01-K05"/>
    <s v="D06"/>
    <x v="5"/>
    <s v="S03"/>
    <s v="D06-S03"/>
    <x v="38"/>
    <s v="P01"/>
    <s v="D06-S03-P01"/>
    <x v="223"/>
    <s v="K05"/>
    <s v="Lomongmon"/>
  </r>
  <r>
    <s v="D06-S03-P02-K01"/>
    <s v="D06"/>
    <x v="5"/>
    <s v="S03"/>
    <s v="D06-S03"/>
    <x v="38"/>
    <s v="P02"/>
    <s v="D06-S03-P02"/>
    <x v="224"/>
    <s v="K01"/>
    <s v="Dawot"/>
  </r>
  <r>
    <s v="D06-S03-P02-K02"/>
    <s v="D06"/>
    <x v="5"/>
    <s v="S03"/>
    <s v="D06-S03"/>
    <x v="38"/>
    <s v="P02"/>
    <s v="D06-S03-P02"/>
    <x v="224"/>
    <s v="K02"/>
    <s v="Teng"/>
  </r>
  <r>
    <s v="D06-S03-P02-K03"/>
    <s v="D06"/>
    <x v="5"/>
    <s v="S03"/>
    <s v="D06-S03"/>
    <x v="38"/>
    <s v="P02"/>
    <s v="D06-S03-P02"/>
    <x v="224"/>
    <s v="K03"/>
    <s v="Sei"/>
  </r>
  <r>
    <s v="D06-S03-P02-K04"/>
    <s v="D06"/>
    <x v="5"/>
    <s v="S03"/>
    <s v="D06-S03"/>
    <x v="38"/>
    <s v="P02"/>
    <s v="D06-S03-P02"/>
    <x v="224"/>
    <s v="K04"/>
    <s v="Hemon"/>
  </r>
  <r>
    <s v="D06-S03-P03-K01"/>
    <s v="D06"/>
    <x v="5"/>
    <s v="S03"/>
    <s v="D06-S03"/>
    <x v="38"/>
    <s v="P03"/>
    <s v="D06-S03-P03"/>
    <x v="225"/>
    <s v="K01"/>
    <s v="Nawo"/>
  </r>
  <r>
    <s v="D06-S03-P03-K02"/>
    <s v="D06"/>
    <x v="5"/>
    <s v="S03"/>
    <s v="D06-S03"/>
    <x v="38"/>
    <s v="P03"/>
    <s v="D06-S03-P03"/>
    <x v="225"/>
    <s v="K02"/>
    <s v="Motu"/>
  </r>
  <r>
    <s v="D06-S03-P03-K03"/>
    <s v="D06"/>
    <x v="5"/>
    <s v="S03"/>
    <s v="D06-S03"/>
    <x v="38"/>
    <s v="P03"/>
    <s v="D06-S03-P03"/>
    <x v="225"/>
    <s v="K03"/>
    <s v="Takop"/>
  </r>
  <r>
    <s v="D06-S03-P03-K04"/>
    <s v="D06"/>
    <x v="5"/>
    <s v="S03"/>
    <s v="D06-S03"/>
    <x v="38"/>
    <s v="P03"/>
    <s v="D06-S03-P03"/>
    <x v="225"/>
    <s v="K04"/>
    <s v="Kulung"/>
  </r>
  <r>
    <s v="D06-S03-P04-K01"/>
    <s v="D06"/>
    <x v="5"/>
    <s v="S03"/>
    <s v="D06-S03"/>
    <x v="38"/>
    <s v="P04"/>
    <s v="D06-S03-P04"/>
    <x v="226"/>
    <s v="K01"/>
    <s v="Kawange"/>
  </r>
  <r>
    <s v="D06-S03-P04-K02"/>
    <s v="D06"/>
    <x v="5"/>
    <s v="S03"/>
    <s v="D06-S03"/>
    <x v="38"/>
    <s v="P04"/>
    <s v="D06-S03-P04"/>
    <x v="226"/>
    <s v="K02"/>
    <s v="Yowung"/>
  </r>
  <r>
    <s v="D06-S03-P04-K03"/>
    <s v="D06"/>
    <x v="5"/>
    <s v="S03"/>
    <s v="D06-S03"/>
    <x v="38"/>
    <s v="P04"/>
    <s v="D06-S03-P04"/>
    <x v="226"/>
    <s v="K03"/>
    <s v="Hem"/>
  </r>
  <r>
    <s v="D06-S03-P04-K04"/>
    <s v="D06"/>
    <x v="5"/>
    <s v="S03"/>
    <s v="D06-S03"/>
    <x v="38"/>
    <s v="P04"/>
    <s v="D06-S03-P04"/>
    <x v="226"/>
    <s v="K04"/>
    <s v="Songin"/>
  </r>
  <r>
    <s v="D06-S03-P04-K05"/>
    <s v="D06"/>
    <x v="5"/>
    <s v="S03"/>
    <s v="D06-S03"/>
    <x v="38"/>
    <s v="P04"/>
    <s v="D06-S03-P04"/>
    <x v="226"/>
    <s v="K05"/>
    <s v="Giwilon"/>
  </r>
  <r>
    <s v="D06-S03-P05-K01"/>
    <s v="D06"/>
    <x v="5"/>
    <s v="S03"/>
    <s v="D06-S03"/>
    <x v="38"/>
    <s v="P05"/>
    <s v="D06-S03-P05"/>
    <x v="227"/>
    <s v="K01"/>
    <s v="Derim Stetsin"/>
  </r>
  <r>
    <s v="D06-S03-P05-K02"/>
    <s v="D06"/>
    <x v="5"/>
    <s v="S03"/>
    <s v="D06-S03"/>
    <x v="38"/>
    <s v="P05"/>
    <s v="D06-S03-P05"/>
    <x v="227"/>
    <s v="K02"/>
    <s v="Derim Stetsin"/>
  </r>
  <r>
    <s v="D06-S03-P05-K03"/>
    <s v="D06"/>
    <x v="5"/>
    <s v="S03"/>
    <s v="D06-S03"/>
    <x v="38"/>
    <s v="P05"/>
    <s v="D06-S03-P05"/>
    <x v="227"/>
    <s v="K03"/>
    <s v="Busion"/>
  </r>
  <r>
    <s v="D06-S03-P05-K04"/>
    <s v="D06"/>
    <x v="5"/>
    <s v="S03"/>
    <s v="D06-S03"/>
    <x v="38"/>
    <s v="P05"/>
    <s v="D06-S03-P05"/>
    <x v="227"/>
    <s v="K04"/>
    <s v="Worongon"/>
  </r>
  <r>
    <s v="D06-S03-P05-K05"/>
    <s v="D06"/>
    <x v="5"/>
    <s v="S03"/>
    <s v="D06-S03"/>
    <x v="38"/>
    <s v="P05"/>
    <s v="D06-S03-P05"/>
    <x v="227"/>
    <s v="K05"/>
    <s v="Nembo"/>
  </r>
  <r>
    <s v="D06-S03-P05-K06"/>
    <s v="D06"/>
    <x v="5"/>
    <s v="S03"/>
    <s v="D06-S03"/>
    <x v="38"/>
    <s v="P05"/>
    <s v="D06-S03-P05"/>
    <x v="227"/>
    <s v="K06"/>
    <s v="Borokey"/>
  </r>
  <r>
    <s v="D06-S03-P05-K07"/>
    <s v="D06"/>
    <x v="5"/>
    <s v="S03"/>
    <s v="D06-S03"/>
    <x v="38"/>
    <s v="P05"/>
    <s v="D06-S03-P05"/>
    <x v="227"/>
    <s v="K07"/>
    <s v="Kabwum High School"/>
  </r>
  <r>
    <s v="D06-S03-P06-K01"/>
    <s v="D06"/>
    <x v="5"/>
    <s v="S03"/>
    <s v="D06-S03"/>
    <x v="38"/>
    <s v="P06"/>
    <s v="D06-S03-P06"/>
    <x v="228"/>
    <s v="K01"/>
    <s v="Yakop"/>
  </r>
  <r>
    <s v="D06-S03-P06-K02"/>
    <s v="D06"/>
    <x v="5"/>
    <s v="S03"/>
    <s v="D06-S03"/>
    <x v="38"/>
    <s v="P06"/>
    <s v="D06-S03-P06"/>
    <x v="228"/>
    <s v="K02"/>
    <s v="Malon"/>
  </r>
  <r>
    <s v="D06-S03-P07-K01"/>
    <s v="D06"/>
    <x v="5"/>
    <s v="S03"/>
    <s v="D06-S03"/>
    <x v="38"/>
    <s v="P07"/>
    <s v="D06-S03-P07"/>
    <x v="229"/>
    <s v="K01"/>
    <s v="Yandu 1"/>
  </r>
  <r>
    <s v="D06-S03-P07-K02"/>
    <s v="D06"/>
    <x v="5"/>
    <s v="S03"/>
    <s v="D06-S03"/>
    <x v="38"/>
    <s v="P07"/>
    <s v="D06-S03-P07"/>
    <x v="229"/>
    <s v="K02"/>
    <s v="Yandu 2"/>
  </r>
  <r>
    <s v="D06-S03-P07-K03"/>
    <s v="D06"/>
    <x v="5"/>
    <s v="S03"/>
    <s v="D06-S03"/>
    <x v="38"/>
    <s v="P07"/>
    <s v="D06-S03-P07"/>
    <x v="229"/>
    <s v="K03"/>
    <s v="Yandu 3"/>
  </r>
  <r>
    <s v="D06-S03-P07-K04"/>
    <s v="D06"/>
    <x v="5"/>
    <s v="S03"/>
    <s v="D06-S03"/>
    <x v="38"/>
    <s v="P07"/>
    <s v="D06-S03-P07"/>
    <x v="229"/>
    <s v="K04"/>
    <s v="Yandu 4"/>
  </r>
  <r>
    <s v="D06-S03-P08-K01"/>
    <s v="D06"/>
    <x v="5"/>
    <s v="S03"/>
    <s v="D06-S03"/>
    <x v="38"/>
    <s v="P08"/>
    <s v="D06-S03-P08"/>
    <x v="230"/>
    <s v="K01"/>
    <s v="Ondakey"/>
  </r>
  <r>
    <s v="D06-S03-P08-K02"/>
    <s v="D06"/>
    <x v="5"/>
    <s v="S03"/>
    <s v="D06-S03"/>
    <x v="38"/>
    <s v="P08"/>
    <s v="D06-S03-P08"/>
    <x v="230"/>
    <s v="K02"/>
    <s v="Tumun"/>
  </r>
  <r>
    <s v="D06-S03-P08-K03"/>
    <s v="D06"/>
    <x v="5"/>
    <s v="S03"/>
    <s v="D06-S03"/>
    <x v="38"/>
    <s v="P08"/>
    <s v="D06-S03-P08"/>
    <x v="230"/>
    <s v="K03"/>
    <s v="Gotowon"/>
  </r>
  <r>
    <s v="D06-S03-P08-K04"/>
    <s v="D06"/>
    <x v="5"/>
    <s v="S03"/>
    <s v="D06-S03"/>
    <x v="38"/>
    <s v="P08"/>
    <s v="D06-S03-P08"/>
    <x v="230"/>
    <s v="K04"/>
    <s v="Gevenan"/>
  </r>
  <r>
    <s v="D06-S08-P01-K01"/>
    <s v="D06"/>
    <x v="5"/>
    <s v="S08"/>
    <s v="D06-S08"/>
    <x v="39"/>
    <s v="P01"/>
    <s v="D06-S08-P01"/>
    <x v="231"/>
    <s v="K01"/>
    <s v="Maramung"/>
  </r>
  <r>
    <s v="D06-S08-P01-K02"/>
    <s v="D06"/>
    <x v="5"/>
    <s v="S08"/>
    <s v="D06-S08"/>
    <x v="39"/>
    <s v="P01"/>
    <s v="D06-S08-P01"/>
    <x v="231"/>
    <s v="K02"/>
    <s v="Dirit"/>
  </r>
  <r>
    <s v="D06-S08-P01-K03"/>
    <s v="D06"/>
    <x v="5"/>
    <s v="S08"/>
    <s v="D06-S08"/>
    <x v="39"/>
    <s v="P01"/>
    <s v="D06-S08-P01"/>
    <x v="231"/>
    <s v="K03"/>
    <s v="Kian"/>
  </r>
  <r>
    <s v="D06-S08-P01-K04"/>
    <s v="D06"/>
    <x v="5"/>
    <s v="S08"/>
    <s v="D06-S08"/>
    <x v="39"/>
    <s v="P01"/>
    <s v="D06-S08-P01"/>
    <x v="231"/>
    <s v="K04"/>
    <s v="Sipgo"/>
  </r>
  <r>
    <s v="D06-S08-P01-K05"/>
    <s v="D06"/>
    <x v="5"/>
    <s v="S08"/>
    <s v="D06-S08"/>
    <x v="39"/>
    <s v="P01"/>
    <s v="D06-S08-P01"/>
    <x v="231"/>
    <s v="K05"/>
    <s v="Ajanget"/>
  </r>
  <r>
    <s v="D06-S08-P01-K06"/>
    <s v="D06"/>
    <x v="5"/>
    <s v="S08"/>
    <s v="D06-S08"/>
    <x v="39"/>
    <s v="P01"/>
    <s v="D06-S08-P01"/>
    <x v="231"/>
    <s v="K06"/>
    <s v="Aunon"/>
  </r>
  <r>
    <s v="D06-S08-P01-K07"/>
    <s v="D06"/>
    <x v="5"/>
    <s v="S08"/>
    <s v="D06-S08"/>
    <x v="39"/>
    <s v="P01"/>
    <s v="D06-S08-P01"/>
    <x v="231"/>
    <s v="K07"/>
    <s v="Bobangat"/>
  </r>
  <r>
    <s v="D06-S08-P01-K08"/>
    <s v="D06"/>
    <x v="5"/>
    <s v="S08"/>
    <s v="D06-S08"/>
    <x v="39"/>
    <s v="P01"/>
    <s v="D06-S08-P01"/>
    <x v="231"/>
    <s v="K08"/>
    <s v="Wakopop"/>
  </r>
  <r>
    <s v="D06-S08-P02-K01"/>
    <s v="D06"/>
    <x v="5"/>
    <s v="S08"/>
    <s v="D06-S08"/>
    <x v="39"/>
    <s v="P02"/>
    <s v="D06-S08-P02"/>
    <x v="232"/>
    <s v="K01"/>
    <s v="Moum"/>
  </r>
  <r>
    <s v="D06-S08-P02-K02"/>
    <s v="D06"/>
    <x v="5"/>
    <s v="S08"/>
    <s v="D06-S08"/>
    <x v="39"/>
    <s v="P02"/>
    <s v="D06-S08-P02"/>
    <x v="232"/>
    <s v="K02"/>
    <s v="Gaptamon"/>
  </r>
  <r>
    <s v="D06-S08-P02-K03"/>
    <s v="D06"/>
    <x v="5"/>
    <s v="S08"/>
    <s v="D06-S08"/>
    <x v="39"/>
    <s v="P02"/>
    <s v="D06-S08-P02"/>
    <x v="232"/>
    <s v="K03"/>
    <s v="Yout "/>
  </r>
  <r>
    <s v="D06-S08-P02-K04"/>
    <s v="D06"/>
    <x v="5"/>
    <s v="S08"/>
    <s v="D06-S08"/>
    <x v="39"/>
    <s v="P02"/>
    <s v="D06-S08-P02"/>
    <x v="232"/>
    <s v="K04"/>
    <s v="Gakgep"/>
  </r>
  <r>
    <s v="D06-S08-P02-K05"/>
    <s v="D06"/>
    <x v="5"/>
    <s v="S08"/>
    <s v="D06-S08"/>
    <x v="39"/>
    <s v="P02"/>
    <s v="D06-S08-P02"/>
    <x v="232"/>
    <s v="K05"/>
    <s v="Kopungkpang"/>
  </r>
  <r>
    <s v="D06-S08-P03-K01"/>
    <s v="D06"/>
    <x v="5"/>
    <s v="S08"/>
    <s v="D06-S08"/>
    <x v="39"/>
    <s v="P03"/>
    <s v="D06-S08-P03"/>
    <x v="233"/>
    <s v="K01"/>
    <s v="Malalamai"/>
  </r>
  <r>
    <s v="D06-S08-P03-K02"/>
    <s v="D06"/>
    <x v="5"/>
    <s v="S08"/>
    <s v="D06-S08"/>
    <x v="39"/>
    <s v="P03"/>
    <s v="D06-S08-P03"/>
    <x v="233"/>
    <s v="K02"/>
    <s v="Bonga"/>
  </r>
  <r>
    <s v="D06-S08-P03-K03"/>
    <s v="D06"/>
    <x v="5"/>
    <s v="S08"/>
    <s v="D06-S08"/>
    <x v="39"/>
    <s v="P03"/>
    <s v="D06-S08-P03"/>
    <x v="233"/>
    <s v="K03"/>
    <s v="Gari"/>
  </r>
  <r>
    <s v="D06-S08-P03-K04"/>
    <s v="D06"/>
    <x v="5"/>
    <s v="S08"/>
    <s v="D06-S08"/>
    <x v="39"/>
    <s v="P03"/>
    <s v="D06-S08-P03"/>
    <x v="233"/>
    <s v="K04"/>
    <s v="Ronzi"/>
  </r>
  <r>
    <s v="D06-S08-P04-K01"/>
    <s v="D06"/>
    <x v="5"/>
    <s v="S08"/>
    <s v="D06-S08"/>
    <x v="39"/>
    <s v="P04"/>
    <s v="D06-S08-P04"/>
    <x v="234"/>
    <s v="K01"/>
    <s v="Yokondi"/>
  </r>
  <r>
    <s v="D06-S08-P04-K02"/>
    <s v="D06"/>
    <x v="5"/>
    <s v="S08"/>
    <s v="D06-S08"/>
    <x v="39"/>
    <s v="P04"/>
    <s v="D06-S08-P04"/>
    <x v="234"/>
    <s v="K02"/>
    <s v="Seore"/>
  </r>
  <r>
    <s v="D06-S08-P04-K03"/>
    <s v="D06"/>
    <x v="5"/>
    <s v="S08"/>
    <s v="D06-S08"/>
    <x v="39"/>
    <s v="P04"/>
    <s v="D06-S08-P04"/>
    <x v="234"/>
    <s v="K03"/>
    <s v="Sel"/>
  </r>
  <r>
    <s v="D06-S08-P04-K04"/>
    <s v="D06"/>
    <x v="5"/>
    <s v="S08"/>
    <s v="D06-S08"/>
    <x v="39"/>
    <s v="P04"/>
    <s v="D06-S08-P04"/>
    <x v="234"/>
    <s v="K04"/>
    <s v="Taurang"/>
  </r>
  <r>
    <s v="D06-S09-P01-K01"/>
    <s v="D06"/>
    <x v="5"/>
    <s v="S09"/>
    <s v="D06-S09"/>
    <x v="40"/>
    <s v="P01"/>
    <s v="D06-S09-P01"/>
    <x v="235"/>
    <s v="K01"/>
    <s v="Bonkiman"/>
  </r>
  <r>
    <s v="D06-S09-P01-K02"/>
    <s v="D06"/>
    <x v="5"/>
    <s v="S09"/>
    <s v="D06-S09"/>
    <x v="40"/>
    <s v="P01"/>
    <s v="D06-S09-P01"/>
    <x v="235"/>
    <s v="K02"/>
    <s v="Tason "/>
  </r>
  <r>
    <s v="D06-S09-P01-K03"/>
    <s v="D06"/>
    <x v="5"/>
    <s v="S09"/>
    <s v="D06-S09"/>
    <x v="40"/>
    <s v="P01"/>
    <s v="D06-S09-P01"/>
    <x v="235"/>
    <s v="K03"/>
    <s v="Komeleng"/>
  </r>
  <r>
    <s v="D06-S09-P01-K04"/>
    <s v="D06"/>
    <x v="5"/>
    <s v="S09"/>
    <s v="D06-S09"/>
    <x v="40"/>
    <s v="P01"/>
    <s v="D06-S09-P01"/>
    <x v="235"/>
    <s v="K04"/>
    <s v="Tapmot"/>
  </r>
  <r>
    <s v="D06-S09-P01-K05"/>
    <s v="D06"/>
    <x v="5"/>
    <s v="S09"/>
    <s v="D06-S09"/>
    <x v="40"/>
    <s v="P01"/>
    <s v="D06-S09-P01"/>
    <x v="235"/>
    <s v="K05"/>
    <s v="Dakaman"/>
  </r>
  <r>
    <s v="D06-S09-P01-K06"/>
    <s v="D06"/>
    <x v="5"/>
    <s v="S09"/>
    <s v="D06-S09"/>
    <x v="40"/>
    <s v="P01"/>
    <s v="D06-S09-P01"/>
    <x v="235"/>
    <s v="K06"/>
    <s v="Qaaop"/>
  </r>
  <r>
    <s v="D06-S09-P02-K01"/>
    <s v="D06"/>
    <x v="5"/>
    <s v="S09"/>
    <s v="D06-S09"/>
    <x v="40"/>
    <s v="P02"/>
    <s v="D06-S09-P02"/>
    <x v="236"/>
    <s v="K01"/>
    <s v="Norum"/>
  </r>
  <r>
    <s v="D06-S09-P02-K02"/>
    <s v="D06"/>
    <x v="5"/>
    <s v="S09"/>
    <s v="D06-S09"/>
    <x v="40"/>
    <s v="P02"/>
    <s v="D06-S09-P02"/>
    <x v="236"/>
    <s v="K02"/>
    <s v="Urop"/>
  </r>
  <r>
    <s v="D06-S09-P02-K03"/>
    <s v="D06"/>
    <x v="5"/>
    <s v="S09"/>
    <s v="D06-S09"/>
    <x v="40"/>
    <s v="P02"/>
    <s v="D06-S09-P02"/>
    <x v="236"/>
    <s v="K03"/>
    <s v="Kameda"/>
  </r>
  <r>
    <s v="D06-S09-P02-K04"/>
    <s v="D06"/>
    <x v="5"/>
    <s v="S09"/>
    <s v="D06-S09"/>
    <x v="40"/>
    <s v="P02"/>
    <s v="D06-S09-P02"/>
    <x v="236"/>
    <s v="K04"/>
    <s v="Bapuda"/>
  </r>
  <r>
    <s v="D06-S09-P02-K05"/>
    <s v="D06"/>
    <x v="5"/>
    <s v="S09"/>
    <s v="D06-S09"/>
    <x v="40"/>
    <s v="P02"/>
    <s v="D06-S09-P02"/>
    <x v="236"/>
    <s v="K05"/>
    <s v="Mek"/>
  </r>
  <r>
    <s v="D06-S09-P02-K06"/>
    <s v="D06"/>
    <x v="5"/>
    <s v="S09"/>
    <s v="D06-S09"/>
    <x v="40"/>
    <s v="P02"/>
    <s v="D06-S09-P02"/>
    <x v="236"/>
    <s v="K06"/>
    <s v="Klaset"/>
  </r>
  <r>
    <s v="D06-S09-P03-K01"/>
    <s v="D06"/>
    <x v="5"/>
    <s v="S09"/>
    <s v="D06-S09"/>
    <x v="40"/>
    <s v="P03"/>
    <s v="D06-S09-P03"/>
    <x v="237"/>
    <s v="K01"/>
    <s v="Wungon"/>
  </r>
  <r>
    <s v="D06-S09-P03-K02"/>
    <s v="D06"/>
    <x v="5"/>
    <s v="S09"/>
    <s v="D06-S09"/>
    <x v="40"/>
    <s v="P03"/>
    <s v="D06-S09-P03"/>
    <x v="237"/>
    <s v="K02"/>
    <s v="Kumbul"/>
  </r>
  <r>
    <s v="D06-S09-P03-K03"/>
    <s v="D06"/>
    <x v="5"/>
    <s v="S09"/>
    <s v="D06-S09"/>
    <x v="40"/>
    <s v="P03"/>
    <s v="D06-S09-P03"/>
    <x v="237"/>
    <s v="K03"/>
    <s v="Tapmange"/>
  </r>
  <r>
    <s v="D06-S09-P03-K04"/>
    <s v="D06"/>
    <x v="5"/>
    <s v="S09"/>
    <s v="D06-S09"/>
    <x v="40"/>
    <s v="P03"/>
    <s v="D06-S09-P03"/>
    <x v="237"/>
    <s v="K04"/>
    <s v="Memnan"/>
  </r>
  <r>
    <s v="D06-S09-P03-K05"/>
    <s v="D06"/>
    <x v="5"/>
    <s v="S09"/>
    <s v="D06-S09"/>
    <x v="40"/>
    <s v="P03"/>
    <s v="D06-S09-P03"/>
    <x v="237"/>
    <s v="K05"/>
    <s v="Gongam"/>
  </r>
  <r>
    <s v="D06-S09-P04-K01"/>
    <s v="D06"/>
    <x v="5"/>
    <s v="S09"/>
    <s v="D06-S09"/>
    <x v="40"/>
    <s v="P04"/>
    <s v="D06-S09-P04"/>
    <x v="238"/>
    <s v="K01"/>
    <s v="Gangurut"/>
  </r>
  <r>
    <s v="D06-S09-P04-K02"/>
    <s v="D06"/>
    <x v="5"/>
    <s v="S09"/>
    <s v="D06-S09"/>
    <x v="40"/>
    <s v="P04"/>
    <s v="D06-S09-P04"/>
    <x v="238"/>
    <s v="K02"/>
    <s v="Weskokop"/>
  </r>
  <r>
    <s v="D06-S09-P04-K03"/>
    <s v="D06"/>
    <x v="5"/>
    <s v="S09"/>
    <s v="D06-S09"/>
    <x v="40"/>
    <s v="P04"/>
    <s v="D06-S09-P04"/>
    <x v="238"/>
    <s v="K03"/>
    <s v="Gua"/>
  </r>
  <r>
    <s v="D06-S09-P04-K04"/>
    <s v="D06"/>
    <x v="5"/>
    <s v="S09"/>
    <s v="D06-S09"/>
    <x v="40"/>
    <s v="P04"/>
    <s v="D06-S09-P04"/>
    <x v="238"/>
    <s v="K04"/>
    <s v="Taing"/>
  </r>
  <r>
    <s v="D06-S09-P05-K01"/>
    <s v="D06"/>
    <x v="5"/>
    <s v="S09"/>
    <s v="D06-S09"/>
    <x v="40"/>
    <s v="P05"/>
    <s v="D06-S09-P05"/>
    <x v="239"/>
    <s v="K01"/>
    <s v="Dungket"/>
  </r>
  <r>
    <s v="D06-S09-P05-K02"/>
    <s v="D06"/>
    <x v="5"/>
    <s v="S09"/>
    <s v="D06-S09"/>
    <x v="40"/>
    <s v="P05"/>
    <s v="D06-S09-P05"/>
    <x v="239"/>
    <s v="K02"/>
    <s v="Kolipon"/>
  </r>
  <r>
    <s v="D06-S09-P06-K01"/>
    <s v="D06"/>
    <x v="5"/>
    <s v="S09"/>
    <s v="D06-S09"/>
    <x v="40"/>
    <s v="P06"/>
    <s v="D06-S09-P06"/>
    <x v="240"/>
    <s v="K01"/>
    <s v="Gogiok"/>
  </r>
  <r>
    <s v="D06-S09-P06-K02"/>
    <s v="D06"/>
    <x v="5"/>
    <s v="S09"/>
    <s v="D06-S09"/>
    <x v="40"/>
    <s v="P06"/>
    <s v="D06-S09-P06"/>
    <x v="240"/>
    <s v="K02"/>
    <s v="Tolik"/>
  </r>
  <r>
    <s v="D06-S09-P06-K03"/>
    <s v="D06"/>
    <x v="5"/>
    <s v="S09"/>
    <s v="D06-S09"/>
    <x v="40"/>
    <s v="P06"/>
    <s v="D06-S09-P06"/>
    <x v="240"/>
    <s v="K03"/>
    <s v="Mumanaran"/>
  </r>
  <r>
    <s v="D06-S09-P07-K01"/>
    <s v="D06"/>
    <x v="5"/>
    <s v="S09"/>
    <s v="D06-S09"/>
    <x v="40"/>
    <s v="P07"/>
    <s v="D06-S09-P07"/>
    <x v="241"/>
    <s v="K01"/>
    <s v="Sakam "/>
  </r>
  <r>
    <s v="D06-S09-P07-K02"/>
    <s v="D06"/>
    <x v="5"/>
    <s v="S09"/>
    <s v="D06-S09"/>
    <x v="40"/>
    <s v="P07"/>
    <s v="D06-S09-P07"/>
    <x v="241"/>
    <s v="K02"/>
    <s v="Tamunak"/>
  </r>
  <r>
    <s v="D06-S09-P07-K03"/>
    <s v="D06"/>
    <x v="5"/>
    <s v="S09"/>
    <s v="D06-S09"/>
    <x v="40"/>
    <s v="P07"/>
    <s v="D06-S09-P07"/>
    <x v="241"/>
    <s v="K03"/>
    <s v="Makwa"/>
  </r>
  <r>
    <s v="D06-S09-P07-K04"/>
    <s v="D06"/>
    <x v="5"/>
    <s v="S09"/>
    <s v="D06-S09"/>
    <x v="40"/>
    <s v="P07"/>
    <s v="D06-S09-P07"/>
    <x v="241"/>
    <s v="K04"/>
    <s v="Siwon"/>
  </r>
  <r>
    <s v="D06-S09-P07-K05"/>
    <s v="D06"/>
    <x v="5"/>
    <s v="S09"/>
    <s v="D06-S09"/>
    <x v="40"/>
    <s v="P07"/>
    <s v="D06-S09-P07"/>
    <x v="241"/>
    <s v="K05"/>
    <s v="Dinangat"/>
  </r>
  <r>
    <s v="D06-S09-P08-K01"/>
    <s v="D06"/>
    <x v="5"/>
    <s v="S09"/>
    <s v="D06-S09"/>
    <x v="40"/>
    <s v="P08"/>
    <s v="D06-S09-P08"/>
    <x v="242"/>
    <s v="K01"/>
    <s v="Sapmanga"/>
  </r>
  <r>
    <s v="D06-S09-P08-K02"/>
    <s v="D06"/>
    <x v="5"/>
    <s v="S09"/>
    <s v="D06-S09"/>
    <x v="40"/>
    <s v="P08"/>
    <s v="D06-S09-P08"/>
    <x v="242"/>
    <s v="K02"/>
    <s v="Kumdan"/>
  </r>
  <r>
    <s v="D06-S09-P08-K03"/>
    <s v="D06"/>
    <x v="5"/>
    <s v="S09"/>
    <s v="D06-S09"/>
    <x v="40"/>
    <s v="P08"/>
    <s v="D06-S09-P08"/>
    <x v="242"/>
    <s v="K03"/>
    <s v="Sagulong"/>
  </r>
  <r>
    <s v="D06-S09-P08-K04"/>
    <s v="D06"/>
    <x v="5"/>
    <s v="S09"/>
    <s v="D06-S09"/>
    <x v="40"/>
    <s v="P08"/>
    <s v="D06-S09-P08"/>
    <x v="242"/>
    <s v="K04"/>
    <s v="Boksawin"/>
  </r>
  <r>
    <s v="D06-S09-P08-K05"/>
    <s v="D06"/>
    <x v="5"/>
    <s v="S09"/>
    <s v="D06-S09"/>
    <x v="40"/>
    <s v="P08"/>
    <s v="D06-S09-P08"/>
    <x v="242"/>
    <s v="K05"/>
    <s v="Warin"/>
  </r>
  <r>
    <s v="D06-S09-P08-K06"/>
    <s v="D06"/>
    <x v="5"/>
    <s v="S09"/>
    <s v="D06-S09"/>
    <x v="40"/>
    <s v="P08"/>
    <s v="D06-S09-P08"/>
    <x v="242"/>
    <s v="K06"/>
    <s v="Yawan"/>
  </r>
  <r>
    <s v="D06-S09-P08-K07"/>
    <s v="D06"/>
    <x v="5"/>
    <s v="S09"/>
    <s v="D06-S09"/>
    <x v="40"/>
    <s v="P08"/>
    <s v="D06-S09-P08"/>
    <x v="242"/>
    <s v="K07"/>
    <s v="Mitmit"/>
  </r>
  <r>
    <s v="D06-S09-P08-K08"/>
    <s v="D06"/>
    <x v="5"/>
    <s v="S09"/>
    <s v="D06-S09"/>
    <x v="40"/>
    <s v="P08"/>
    <s v="D06-S09-P08"/>
    <x v="242"/>
    <s v="K08"/>
    <s v="Kotet"/>
  </r>
  <r>
    <s v="D06-S09-P08-K09"/>
    <s v="D06"/>
    <x v="5"/>
    <s v="S09"/>
    <s v="D06-S09"/>
    <x v="40"/>
    <s v="P08"/>
    <s v="D06-S09-P08"/>
    <x v="242"/>
    <s v="K09"/>
    <s v="Mup"/>
  </r>
  <r>
    <s v="D06-S09-P08-K10"/>
    <s v="D06"/>
    <x v="5"/>
    <s v="S09"/>
    <s v="D06-S09"/>
    <x v="40"/>
    <s v="P08"/>
    <s v="D06-S09-P08"/>
    <x v="242"/>
    <s v="K10"/>
    <s v="Sugan"/>
  </r>
  <r>
    <s v="D06-S09-P08-K11"/>
    <s v="D06"/>
    <x v="5"/>
    <s v="S09"/>
    <s v="D06-S09"/>
    <x v="40"/>
    <s v="P08"/>
    <s v="D06-S09-P08"/>
    <x v="242"/>
    <s v="K11"/>
    <s v="Sndamon"/>
  </r>
  <r>
    <s v="D06-S09-P08-K12"/>
    <s v="D06"/>
    <x v="5"/>
    <s v="S09"/>
    <s v="D06-S09"/>
    <x v="40"/>
    <s v="P08"/>
    <s v="D06-S09-P08"/>
    <x v="242"/>
    <s v="K12"/>
    <s v="Boit"/>
  </r>
  <r>
    <s v="D06-S10-P01-K01"/>
    <s v="D06"/>
    <x v="5"/>
    <s v="S10"/>
    <s v="D06-S10"/>
    <x v="41"/>
    <s v="P01"/>
    <s v="D06-S10-P01"/>
    <x v="243"/>
    <s v="K01"/>
    <s v="Sindoma"/>
  </r>
  <r>
    <s v="D06-S10-P01-K02"/>
    <s v="D06"/>
    <x v="5"/>
    <s v="S10"/>
    <s v="D06-S10"/>
    <x v="41"/>
    <s v="P01"/>
    <s v="D06-S10-P01"/>
    <x v="243"/>
    <s v="K02"/>
    <s v="Yongem"/>
  </r>
  <r>
    <s v="D06-S10-P01-K03"/>
    <s v="D06"/>
    <x v="5"/>
    <s v="S10"/>
    <s v="D06-S10"/>
    <x v="41"/>
    <s v="P01"/>
    <s v="D06-S10-P01"/>
    <x v="243"/>
    <s v="K03"/>
    <s v="Dagene"/>
  </r>
  <r>
    <s v="D06-S10-P01-K04"/>
    <s v="D06"/>
    <x v="5"/>
    <s v="S10"/>
    <s v="D06-S10"/>
    <x v="41"/>
    <s v="P01"/>
    <s v="D06-S10-P01"/>
    <x v="243"/>
    <s v="K04"/>
    <s v="Mipu"/>
  </r>
  <r>
    <s v="D06-S10-P01-K05"/>
    <s v="D06"/>
    <x v="5"/>
    <s v="S10"/>
    <s v="D06-S10"/>
    <x v="41"/>
    <s v="P01"/>
    <s v="D06-S10-P01"/>
    <x v="243"/>
    <s v="K05"/>
    <s v="Tangam"/>
  </r>
  <r>
    <s v="D06-S10-P01-K06"/>
    <s v="D06"/>
    <x v="5"/>
    <s v="S10"/>
    <s v="D06-S10"/>
    <x v="41"/>
    <s v="P01"/>
    <s v="D06-S10-P01"/>
    <x v="243"/>
    <s v="K06"/>
    <s v="Mambit"/>
  </r>
  <r>
    <s v="D06-S10-P01-K07"/>
    <s v="D06"/>
    <x v="5"/>
    <s v="S10"/>
    <s v="D06-S10"/>
    <x v="41"/>
    <s v="P01"/>
    <s v="D06-S10-P01"/>
    <x v="243"/>
    <s v="K07"/>
    <s v="Yaqbo"/>
  </r>
  <r>
    <s v="D06-S10-P02-K01"/>
    <s v="D06"/>
    <x v="5"/>
    <s v="S10"/>
    <s v="D06-S10"/>
    <x v="41"/>
    <s v="P02"/>
    <s v="D06-S10-P02"/>
    <x v="244"/>
    <s v="K01"/>
    <s v="Kasam"/>
  </r>
  <r>
    <s v="D06-S10-P02-K02"/>
    <s v="D06"/>
    <x v="5"/>
    <s v="S10"/>
    <s v="D06-S10"/>
    <x v="41"/>
    <s v="P02"/>
    <s v="D06-S10-P02"/>
    <x v="244"/>
    <s v="K02"/>
    <s v="Warabung"/>
  </r>
  <r>
    <s v="D06-S10-P02-K03"/>
    <s v="D06"/>
    <x v="5"/>
    <s v="S10"/>
    <s v="D06-S10"/>
    <x v="41"/>
    <s v="P02"/>
    <s v="D06-S10-P02"/>
    <x v="244"/>
    <s v="K03"/>
    <s v="Piwon"/>
  </r>
  <r>
    <s v="D06-S10-P02-K04"/>
    <s v="D06"/>
    <x v="5"/>
    <s v="S10"/>
    <s v="D06-S10"/>
    <x v="41"/>
    <s v="P02"/>
    <s v="D06-S10-P02"/>
    <x v="244"/>
    <s v="K04"/>
    <s v="Daik"/>
  </r>
  <r>
    <s v="D06-S10-P02-K05"/>
    <s v="D06"/>
    <x v="5"/>
    <s v="S10"/>
    <s v="D06-S10"/>
    <x v="41"/>
    <s v="P02"/>
    <s v="D06-S10-P02"/>
    <x v="244"/>
    <s v="K05"/>
    <s v="Kumbuwo"/>
  </r>
  <r>
    <s v="D06-S10-P03-K01"/>
    <s v="D06"/>
    <x v="5"/>
    <s v="S10"/>
    <s v="D06-S10"/>
    <x v="41"/>
    <s v="P03"/>
    <s v="D06-S10-P03"/>
    <x v="245"/>
    <s v="K01"/>
    <s v="Kadambo"/>
  </r>
  <r>
    <s v="D06-S10-P03-K02"/>
    <s v="D06"/>
    <x v="5"/>
    <s v="S10"/>
    <s v="D06-S10"/>
    <x v="41"/>
    <s v="P03"/>
    <s v="D06-S10-P03"/>
    <x v="245"/>
    <s v="K02"/>
    <s v="Gwarawon"/>
  </r>
  <r>
    <s v="D06-S10-P03-K03"/>
    <s v="D06"/>
    <x v="5"/>
    <s v="S10"/>
    <s v="D06-S10"/>
    <x v="41"/>
    <s v="P03"/>
    <s v="D06-S10-P03"/>
    <x v="245"/>
    <s v="K03"/>
    <s v="Gugon"/>
  </r>
  <r>
    <s v="D06-S10-P03-K04"/>
    <s v="D06"/>
    <x v="5"/>
    <s v="S10"/>
    <s v="D06-S10"/>
    <x v="41"/>
    <s v="P03"/>
    <s v="D06-S10-P03"/>
    <x v="245"/>
    <s v="K04"/>
    <s v="Kudiwek"/>
  </r>
  <r>
    <s v="D06-S10-P03-K05"/>
    <s v="D06"/>
    <x v="5"/>
    <s v="S10"/>
    <s v="D06-S10"/>
    <x v="41"/>
    <s v="P03"/>
    <s v="D06-S10-P03"/>
    <x v="245"/>
    <s v="K05"/>
    <s v="Miok"/>
  </r>
  <r>
    <s v="D06-S10-P04-K01"/>
    <s v="D06"/>
    <x v="5"/>
    <s v="S10"/>
    <s v="D06-S10"/>
    <x v="41"/>
    <s v="P04"/>
    <s v="D06-S10-P04"/>
    <x v="246"/>
    <s v="K01"/>
    <s v="Taip 1"/>
  </r>
  <r>
    <s v="D06-S10-P04-K02"/>
    <s v="D06"/>
    <x v="5"/>
    <s v="S10"/>
    <s v="D06-S10"/>
    <x v="41"/>
    <s v="P04"/>
    <s v="D06-S10-P04"/>
    <x v="246"/>
    <s v="K02"/>
    <s v="Taip 2"/>
  </r>
  <r>
    <s v="D06-S10-P04-K03"/>
    <s v="D06"/>
    <x v="5"/>
    <s v="S10"/>
    <s v="D06-S10"/>
    <x v="41"/>
    <s v="P04"/>
    <s v="D06-S10-P04"/>
    <x v="246"/>
    <s v="K03"/>
    <s v="Iqbo"/>
  </r>
  <r>
    <s v="D06-S10-P04-K04"/>
    <s v="D06"/>
    <x v="5"/>
    <s v="S10"/>
    <s v="D06-S10"/>
    <x v="41"/>
    <s v="P04"/>
    <s v="D06-S10-P04"/>
    <x v="246"/>
    <s v="K04"/>
    <s v="Bambu"/>
  </r>
  <r>
    <s v="D06-S10-P04-K05"/>
    <s v="D06"/>
    <x v="5"/>
    <s v="S10"/>
    <s v="D06-S10"/>
    <x v="41"/>
    <s v="P04"/>
    <s v="D06-S10-P04"/>
    <x v="246"/>
    <s v="K05"/>
    <s v="Meweng"/>
  </r>
  <r>
    <s v="D06-S10-P05-K01"/>
    <s v="D06"/>
    <x v="5"/>
    <s v="S10"/>
    <s v="D06-S10"/>
    <x v="41"/>
    <s v="P05"/>
    <s v="D06-S10-P05"/>
    <x v="247"/>
    <s v="K01"/>
    <s v="Eyengkewe"/>
  </r>
  <r>
    <s v="D06-S10-P05-K02"/>
    <s v="D06"/>
    <x v="5"/>
    <s v="S10"/>
    <s v="D06-S10"/>
    <x v="41"/>
    <s v="P05"/>
    <s v="D06-S10-P05"/>
    <x v="247"/>
    <s v="K02"/>
    <s v="Gumok"/>
  </r>
  <r>
    <s v="D06-S10-P05-K03"/>
    <s v="D06"/>
    <x v="5"/>
    <s v="S10"/>
    <s v="D06-S10"/>
    <x v="41"/>
    <s v="P05"/>
    <s v="D06-S10-P05"/>
    <x v="247"/>
    <s v="K03"/>
    <s v="Sevan"/>
  </r>
  <r>
    <s v="D06-S10-P05-K04"/>
    <s v="D06"/>
    <x v="5"/>
    <s v="S10"/>
    <s v="D06-S10"/>
    <x v="41"/>
    <s v="P05"/>
    <s v="D06-S10-P05"/>
    <x v="247"/>
    <s v="K04"/>
    <s v="Mambek"/>
  </r>
  <r>
    <s v="D06-S10-P05-K05"/>
    <s v="D06"/>
    <x v="5"/>
    <s v="S10"/>
    <s v="D06-S10"/>
    <x v="41"/>
    <s v="P05"/>
    <s v="D06-S10-P05"/>
    <x v="247"/>
    <s v="K05"/>
    <s v="Gubaiyong"/>
  </r>
  <r>
    <s v="D07-S01-P01-K01"/>
    <s v="D07"/>
    <x v="6"/>
    <s v="S01"/>
    <s v="D07-S01"/>
    <x v="42"/>
    <s v="P01"/>
    <s v="D07-S01-P01"/>
    <x v="248"/>
    <s v="K01"/>
    <s v="Songkubing"/>
  </r>
  <r>
    <s v="D07-S01-P01-K02"/>
    <s v="D07"/>
    <x v="6"/>
    <s v="S01"/>
    <s v="D07-S01"/>
    <x v="42"/>
    <s v="P01"/>
    <s v="D07-S01-P01"/>
    <x v="248"/>
    <s v="K02"/>
    <s v="Bungki"/>
  </r>
  <r>
    <s v="D07-S01-P01-K03"/>
    <s v="D07"/>
    <x v="6"/>
    <s v="S01"/>
    <s v="D07-S01"/>
    <x v="42"/>
    <s v="P01"/>
    <s v="D07-S01-P01"/>
    <x v="248"/>
    <s v="K03"/>
    <s v="Migima"/>
  </r>
  <r>
    <s v="D07-S01-P01-K04"/>
    <s v="D07"/>
    <x v="6"/>
    <s v="S01"/>
    <s v="D07-S01"/>
    <x v="42"/>
    <s v="P01"/>
    <s v="D07-S01-P01"/>
    <x v="248"/>
    <s v="K04"/>
    <s v="Sintogora"/>
  </r>
  <r>
    <s v="D07-S01-P01-K05"/>
    <s v="D07"/>
    <x v="6"/>
    <s v="S01"/>
    <s v="D07-S01"/>
    <x v="42"/>
    <s v="P01"/>
    <s v="D07-S01-P01"/>
    <x v="248"/>
    <s v="K05"/>
    <s v="Usop"/>
  </r>
  <r>
    <s v="D07-S01-P01-K06"/>
    <s v="D07"/>
    <x v="6"/>
    <s v="S01"/>
    <s v="D07-S01"/>
    <x v="42"/>
    <s v="P01"/>
    <s v="D07-S01-P01"/>
    <x v="248"/>
    <s v="K06"/>
    <s v="Sulumun"/>
  </r>
  <r>
    <s v="D07-S01-P02-K01"/>
    <s v="D07"/>
    <x v="6"/>
    <s v="S01"/>
    <s v="D07-S01"/>
    <x v="42"/>
    <s v="P02"/>
    <s v="D07-S01-P02"/>
    <x v="249"/>
    <s v="K01"/>
    <s v="Tagup"/>
  </r>
  <r>
    <s v="D07-S01-P02-K02"/>
    <s v="D07"/>
    <x v="6"/>
    <s v="S01"/>
    <s v="D07-S01"/>
    <x v="42"/>
    <s v="P02"/>
    <s v="D07-S01-P02"/>
    <x v="249"/>
    <s v="K02"/>
    <s v="Kokosan"/>
  </r>
  <r>
    <s v="D07-S01-P02-K03"/>
    <s v="D07"/>
    <x v="6"/>
    <s v="S01"/>
    <s v="D07-S01"/>
    <x v="42"/>
    <s v="P02"/>
    <s v="D07-S01-P02"/>
    <x v="249"/>
    <s v="K03"/>
    <s v="Gom"/>
  </r>
  <r>
    <s v="D07-S01-P02-K04"/>
    <s v="D07"/>
    <x v="6"/>
    <s v="S01"/>
    <s v="D07-S01"/>
    <x v="42"/>
    <s v="P02"/>
    <s v="D07-S01-P02"/>
    <x v="249"/>
    <s v="K04"/>
    <s v="Finongan"/>
  </r>
  <r>
    <s v="D07-S01-P02-K05"/>
    <s v="D07"/>
    <x v="6"/>
    <s v="S01"/>
    <s v="D07-S01"/>
    <x v="42"/>
    <s v="P02"/>
    <s v="D07-S01-P02"/>
    <x v="249"/>
    <s v="K05"/>
    <s v="Gafan"/>
  </r>
  <r>
    <s v="D07-S01-P03-K01"/>
    <s v="D07"/>
    <x v="6"/>
    <s v="S01"/>
    <s v="D07-S01"/>
    <x v="42"/>
    <s v="P03"/>
    <s v="D07-S01-P03"/>
    <x v="250"/>
    <s v="K01"/>
    <s v="Rowai 1"/>
  </r>
  <r>
    <s v="D07-S01-P03-K02"/>
    <s v="D07"/>
    <x v="6"/>
    <s v="S01"/>
    <s v="D07-S01"/>
    <x v="42"/>
    <s v="P03"/>
    <s v="D07-S01-P03"/>
    <x v="250"/>
    <s v="K02"/>
    <s v="Rowai 2"/>
  </r>
  <r>
    <s v="D07-S01-P03-K03"/>
    <s v="D07"/>
    <x v="6"/>
    <s v="S01"/>
    <s v="D07-S01"/>
    <x v="42"/>
    <s v="P03"/>
    <s v="D07-S01-P03"/>
    <x v="250"/>
    <s v="K03"/>
    <s v="Rabisap"/>
  </r>
  <r>
    <s v="D07-S01-P03-K04"/>
    <s v="D07"/>
    <x v="6"/>
    <s v="S01"/>
    <s v="D07-S01"/>
    <x v="42"/>
    <s v="P03"/>
    <s v="D07-S01-P03"/>
    <x v="250"/>
    <s v="K04"/>
    <s v="Nimara"/>
  </r>
  <r>
    <s v="D07-S01-P03-K05"/>
    <s v="D07"/>
    <x v="6"/>
    <s v="S01"/>
    <s v="D07-S01"/>
    <x v="42"/>
    <s v="P03"/>
    <s v="D07-S01-P03"/>
    <x v="250"/>
    <s v="K05"/>
    <s v="Kapora"/>
  </r>
  <r>
    <s v="D07-S01-P03-K06"/>
    <s v="D07"/>
    <x v="6"/>
    <s v="S01"/>
    <s v="D07-S01"/>
    <x v="42"/>
    <s v="P03"/>
    <s v="D07-S01-P03"/>
    <x v="250"/>
    <s v="K06"/>
    <s v="Nemem"/>
  </r>
  <r>
    <s v="D07-S01-P03-K07"/>
    <s v="D07"/>
    <x v="6"/>
    <s v="S01"/>
    <s v="D07-S01"/>
    <x v="42"/>
    <s v="P03"/>
    <s v="D07-S01-P03"/>
    <x v="250"/>
    <s v="K07"/>
    <s v="Yangarang"/>
  </r>
  <r>
    <s v="D07-S01-P03-K08"/>
    <s v="D07"/>
    <x v="6"/>
    <s v="S01"/>
    <s v="D07-S01"/>
    <x v="42"/>
    <s v="P03"/>
    <s v="D07-S01-P03"/>
    <x v="250"/>
    <s v="K08"/>
    <s v="Tating"/>
  </r>
  <r>
    <s v="D07-S01-P04-K01"/>
    <s v="D07"/>
    <x v="6"/>
    <s v="S01"/>
    <s v="D07-S01"/>
    <x v="42"/>
    <s v="P04"/>
    <s v="D07-S01-P04"/>
    <x v="251"/>
    <s v="K01"/>
    <s v="Fi"/>
  </r>
  <r>
    <s v="D07-S01-P04-K02"/>
    <s v="D07"/>
    <x v="6"/>
    <s v="S01"/>
    <s v="D07-S01"/>
    <x v="42"/>
    <s v="P04"/>
    <s v="D07-S01-P04"/>
    <x v="251"/>
    <s v="K02"/>
    <s v="Tinibe"/>
  </r>
  <r>
    <s v="D07-S01-P04-K03"/>
    <s v="D07"/>
    <x v="6"/>
    <s v="S01"/>
    <s v="D07-S01"/>
    <x v="42"/>
    <s v="P04"/>
    <s v="D07-S01-P04"/>
    <x v="251"/>
    <s v="K03"/>
    <s v="Torowa"/>
  </r>
  <r>
    <s v="D07-S01-P04-K04"/>
    <s v="D07"/>
    <x v="6"/>
    <s v="S01"/>
    <s v="D07-S01"/>
    <x v="42"/>
    <s v="P04"/>
    <s v="D07-S01-P04"/>
    <x v="251"/>
    <s v="K04"/>
    <s v="Wesan"/>
  </r>
  <r>
    <s v="D07-S01-P04-K05"/>
    <s v="D07"/>
    <x v="6"/>
    <s v="S01"/>
    <s v="D07-S01"/>
    <x v="42"/>
    <s v="P04"/>
    <s v="D07-S01-P04"/>
    <x v="251"/>
    <s v="K05"/>
    <s v="Kapmewang"/>
  </r>
  <r>
    <s v="D07-S01-P05-K01"/>
    <s v="D07"/>
    <x v="6"/>
    <s v="S01"/>
    <s v="D07-S01"/>
    <x v="42"/>
    <s v="P05"/>
    <s v="D07-S01-P05"/>
    <x v="252"/>
    <s v="K01"/>
    <s v="Sibi"/>
  </r>
  <r>
    <s v="D07-S01-P05-K02"/>
    <s v="D07"/>
    <x v="6"/>
    <s v="S01"/>
    <s v="D07-S01"/>
    <x v="42"/>
    <s v="P05"/>
    <s v="D07-S01-P05"/>
    <x v="252"/>
    <s v="K02"/>
    <s v="Rimbun"/>
  </r>
  <r>
    <s v="D07-S01-P05-K03"/>
    <s v="D07"/>
    <x v="6"/>
    <s v="S01"/>
    <s v="D07-S01"/>
    <x v="42"/>
    <s v="P05"/>
    <s v="D07-S01-P05"/>
    <x v="252"/>
    <s v="K03"/>
    <s v="Bayang"/>
  </r>
  <r>
    <s v="D07-S01-P05-K04"/>
    <s v="D07"/>
    <x v="6"/>
    <s v="S01"/>
    <s v="D07-S01"/>
    <x v="42"/>
    <s v="P05"/>
    <s v="D07-S01-P05"/>
    <x v="252"/>
    <s v="K04"/>
    <s v="Kawerarang"/>
  </r>
  <r>
    <s v="D07-S01-P05-K05"/>
    <s v="D07"/>
    <x v="6"/>
    <s v="S01"/>
    <s v="D07-S01"/>
    <x v="42"/>
    <s v="P05"/>
    <s v="D07-S01-P05"/>
    <x v="252"/>
    <s v="K05"/>
    <s v="Barawang"/>
  </r>
  <r>
    <s v="D07-S01-P06-K01"/>
    <s v="D07"/>
    <x v="6"/>
    <s v="S01"/>
    <s v="D07-S01"/>
    <x v="42"/>
    <s v="P06"/>
    <s v="D07-S01-P06"/>
    <x v="253"/>
    <s v="K01"/>
    <s v="Saut"/>
  </r>
  <r>
    <s v="D07-S01-P06-K02"/>
    <s v="D07"/>
    <x v="6"/>
    <s v="S01"/>
    <s v="D07-S01"/>
    <x v="42"/>
    <s v="P06"/>
    <s v="D07-S01-P06"/>
    <x v="253"/>
    <s v="K02"/>
    <s v="Lemang"/>
  </r>
  <r>
    <s v="D07-S01-P06-K03"/>
    <s v="D07"/>
    <x v="6"/>
    <s v="S01"/>
    <s v="D07-S01"/>
    <x v="42"/>
    <s v="P06"/>
    <s v="D07-S01-P06"/>
    <x v="253"/>
    <s v="K03"/>
    <s v="Kasangan"/>
  </r>
  <r>
    <s v="D07-S01-P06-K04"/>
    <s v="D07"/>
    <x v="6"/>
    <s v="S01"/>
    <s v="D07-S01"/>
    <x v="42"/>
    <s v="P06"/>
    <s v="D07-S01-P06"/>
    <x v="253"/>
    <s v="K04"/>
    <s v="Mosa"/>
  </r>
  <r>
    <s v="D07-S01-P06-K05"/>
    <s v="D07"/>
    <x v="6"/>
    <s v="S01"/>
    <s v="D07-S01"/>
    <x v="42"/>
    <s v="P06"/>
    <s v="D07-S01-P06"/>
    <x v="253"/>
    <s v="K05"/>
    <s v="Kamdaran"/>
  </r>
  <r>
    <s v="D07-S01-P06-K06"/>
    <s v="D07"/>
    <x v="6"/>
    <s v="S01"/>
    <s v="D07-S01"/>
    <x v="42"/>
    <s v="P06"/>
    <s v="D07-S01-P06"/>
    <x v="253"/>
    <s v="K06"/>
    <s v="Burapan"/>
  </r>
  <r>
    <s v="D07-S02-P01-K01"/>
    <s v="D07"/>
    <x v="6"/>
    <s v="S02"/>
    <s v="D07-S02"/>
    <x v="43"/>
    <s v="P01"/>
    <s v="D07-S02-P01"/>
    <x v="254"/>
    <s v="K01"/>
    <s v="Laip"/>
  </r>
  <r>
    <s v="D07-S02-P01-K02"/>
    <s v="D07"/>
    <x v="6"/>
    <s v="S02"/>
    <s v="D07-S02"/>
    <x v="43"/>
    <s v="P01"/>
    <s v="D07-S02-P01"/>
    <x v="254"/>
    <s v="K02"/>
    <s v="Salom"/>
  </r>
  <r>
    <s v="D07-S02-P01-K03"/>
    <s v="D07"/>
    <x v="6"/>
    <s v="S02"/>
    <s v="D07-S02"/>
    <x v="43"/>
    <s v="P01"/>
    <s v="D07-S02-P01"/>
    <x v="254"/>
    <s v="K03"/>
    <s v="Kisim Bek"/>
  </r>
  <r>
    <s v="D07-S02-P01-K04"/>
    <s v="D07"/>
    <x v="6"/>
    <s v="S02"/>
    <s v="D07-S02"/>
    <x v="43"/>
    <s v="P01"/>
    <s v="D07-S02-P01"/>
    <x v="254"/>
    <s v="K04"/>
    <s v="Marimari"/>
  </r>
  <r>
    <s v="D07-S02-P01-K05"/>
    <s v="D07"/>
    <x v="6"/>
    <s v="S02"/>
    <s v="D07-S02"/>
    <x v="43"/>
    <s v="P01"/>
    <s v="D07-S02-P01"/>
    <x v="254"/>
    <s v="K05"/>
    <s v="nadifo"/>
  </r>
  <r>
    <s v="D07-S02-P01-K06"/>
    <s v="D07"/>
    <x v="6"/>
    <s v="S02"/>
    <s v="D07-S02"/>
    <x v="43"/>
    <s v="P01"/>
    <s v="D07-S02-P01"/>
    <x v="254"/>
    <s v="K06"/>
    <s v="Silong"/>
  </r>
  <r>
    <s v="D07-S02-P01-K07"/>
    <s v="D07"/>
    <x v="6"/>
    <s v="S02"/>
    <s v="D07-S02"/>
    <x v="43"/>
    <s v="P01"/>
    <s v="D07-S02-P01"/>
    <x v="254"/>
    <s v="K07"/>
    <s v="Ankrismo"/>
  </r>
  <r>
    <s v="D07-S02-P01-K08"/>
    <s v="D07"/>
    <x v="6"/>
    <s v="S02"/>
    <s v="D07-S02"/>
    <x v="43"/>
    <s v="P01"/>
    <s v="D07-S02-P01"/>
    <x v="254"/>
    <s v="K08"/>
    <s v="Hauta"/>
  </r>
  <r>
    <s v="D07-S02-P02-K01"/>
    <s v="D07"/>
    <x v="6"/>
    <s v="S02"/>
    <s v="D07-S02"/>
    <x v="43"/>
    <s v="P02"/>
    <s v="D07-S02-P02"/>
    <x v="255"/>
    <s v="K01"/>
    <s v="Ninadi"/>
  </r>
  <r>
    <s v="D07-S02-P02-K02"/>
    <s v="D07"/>
    <x v="6"/>
    <s v="S02"/>
    <s v="D07-S02"/>
    <x v="43"/>
    <s v="P02"/>
    <s v="D07-S02-P02"/>
    <x v="255"/>
    <s v="K02"/>
    <s v="Dzendzen"/>
  </r>
  <r>
    <s v="D07-S02-P02-K03"/>
    <s v="D07"/>
    <x v="6"/>
    <s v="S02"/>
    <s v="D07-S02"/>
    <x v="43"/>
    <s v="P02"/>
    <s v="D07-S02-P02"/>
    <x v="255"/>
    <s v="K03"/>
    <s v="Wasin"/>
  </r>
  <r>
    <s v="D07-S02-P02-K04"/>
    <s v="D07"/>
    <x v="6"/>
    <s v="S02"/>
    <s v="D07-S02"/>
    <x v="43"/>
    <s v="P02"/>
    <s v="D07-S02-P02"/>
    <x v="255"/>
    <s v="K04"/>
    <s v="Diridia"/>
  </r>
  <r>
    <s v="D07-S02-P02-K05"/>
    <s v="D07"/>
    <x v="6"/>
    <s v="S02"/>
    <s v="D07-S02"/>
    <x v="43"/>
    <s v="P02"/>
    <s v="D07-S02-P02"/>
    <x v="255"/>
    <s v="K05"/>
    <s v="Sokam"/>
  </r>
  <r>
    <s v="D07-S02-P02-K06"/>
    <s v="D07"/>
    <x v="6"/>
    <s v="S02"/>
    <s v="D07-S02"/>
    <x v="43"/>
    <s v="P02"/>
    <s v="D07-S02-P02"/>
    <x v="255"/>
    <s v="K06"/>
    <s v="Mumingan"/>
  </r>
  <r>
    <s v="D07-S02-P03-K01"/>
    <s v="D07"/>
    <x v="6"/>
    <s v="S02"/>
    <s v="D07-S02"/>
    <x v="43"/>
    <s v="P03"/>
    <s v="D07-S02-P03"/>
    <x v="256"/>
    <s v="K01"/>
    <s v="Sikilen"/>
  </r>
  <r>
    <s v="D07-S02-P03-K02"/>
    <s v="D07"/>
    <x v="6"/>
    <s v="S02"/>
    <s v="D07-S02"/>
    <x v="43"/>
    <s v="P03"/>
    <s v="D07-S02-P03"/>
    <x v="256"/>
    <s v="K02"/>
    <s v="Bandong"/>
  </r>
  <r>
    <s v="D07-S02-P03-K03"/>
    <s v="D07"/>
    <x v="6"/>
    <s v="S02"/>
    <s v="D07-S02"/>
    <x v="43"/>
    <s v="P03"/>
    <s v="D07-S02-P03"/>
    <x v="256"/>
    <s v="K03"/>
    <s v="Bosagen"/>
  </r>
  <r>
    <s v="D07-S02-P03-K04"/>
    <s v="D07"/>
    <x v="6"/>
    <s v="S02"/>
    <s v="D07-S02"/>
    <x v="43"/>
    <s v="P03"/>
    <s v="D07-S02-P03"/>
    <x v="256"/>
    <s v="K04"/>
    <s v="Kawelau"/>
  </r>
  <r>
    <s v="D07-S02-P05-K01"/>
    <s v="D07"/>
    <x v="6"/>
    <s v="S02"/>
    <s v="D07-S02"/>
    <x v="43"/>
    <s v="P05"/>
    <s v="D07-S02-P05"/>
    <x v="257"/>
    <s v="K01"/>
    <s v="Ganzingan"/>
  </r>
  <r>
    <s v="D07-S02-P05-K02"/>
    <s v="D07"/>
    <x v="6"/>
    <s v="S02"/>
    <s v="D07-S02"/>
    <x v="43"/>
    <s v="P05"/>
    <s v="D07-S02-P05"/>
    <x v="257"/>
    <s v="K02"/>
    <s v="Goambot"/>
  </r>
  <r>
    <s v="D07-S02-P05-K03"/>
    <s v="D07"/>
    <x v="6"/>
    <s v="S02"/>
    <s v="D07-S02"/>
    <x v="43"/>
    <s v="P05"/>
    <s v="D07-S02-P05"/>
    <x v="257"/>
    <s v="K03"/>
    <s v="Wambangan"/>
  </r>
  <r>
    <s v="D07-S02-P05-K04"/>
    <s v="D07"/>
    <x v="6"/>
    <s v="S02"/>
    <s v="D07-S02"/>
    <x v="43"/>
    <s v="P05"/>
    <s v="D07-S02-P05"/>
    <x v="257"/>
    <s v="K04"/>
    <s v="Manandambin"/>
  </r>
  <r>
    <s v="D07-S02-P06-K01"/>
    <s v="D07"/>
    <x v="6"/>
    <s v="S02"/>
    <s v="D07-S02"/>
    <x v="43"/>
    <s v="P06"/>
    <s v="D07-S02-P06"/>
    <x v="258"/>
    <s v="K01"/>
    <s v="Tamben"/>
  </r>
  <r>
    <s v="D07-S02-P06-K02"/>
    <s v="D07"/>
    <x v="6"/>
    <s v="S02"/>
    <s v="D07-S02"/>
    <x v="43"/>
    <s v="P06"/>
    <s v="D07-S02-P06"/>
    <x v="258"/>
    <s v="K02"/>
    <s v="Bawan"/>
  </r>
  <r>
    <s v="D07-S02-P06-K03"/>
    <s v="D07"/>
    <x v="6"/>
    <s v="S02"/>
    <s v="D07-S02"/>
    <x v="43"/>
    <s v="P06"/>
    <s v="D07-S02-P06"/>
    <x v="258"/>
    <s v="K03"/>
    <s v="Gelmen"/>
  </r>
  <r>
    <s v="D07-S02-P06-K04"/>
    <s v="D07"/>
    <x v="6"/>
    <s v="S02"/>
    <s v="D07-S02"/>
    <x v="43"/>
    <s v="P06"/>
    <s v="D07-S02-P06"/>
    <x v="258"/>
    <s v="K04"/>
    <s v="Gewak"/>
  </r>
  <r>
    <s v="D07-S02-P06-K05"/>
    <s v="D07"/>
    <x v="6"/>
    <s v="S02"/>
    <s v="D07-S02"/>
    <x v="43"/>
    <s v="P06"/>
    <s v="D07-S02-P06"/>
    <x v="258"/>
    <s v="K05"/>
    <s v="Misok"/>
  </r>
  <r>
    <s v="D07-S02-P06-K06"/>
    <s v="D07"/>
    <x v="6"/>
    <s v="S02"/>
    <s v="D07-S02"/>
    <x v="43"/>
    <s v="P06"/>
    <s v="D07-S02-P06"/>
    <x v="258"/>
    <s v="K06"/>
    <s v="Orin"/>
  </r>
  <r>
    <s v="D07-S03-P01-K01"/>
    <s v="D07"/>
    <x v="6"/>
    <s v="S03"/>
    <s v="D07-S03"/>
    <x v="44"/>
    <s v="P01"/>
    <s v="D07-S03-P01"/>
    <x v="259"/>
    <s v="K01"/>
    <s v="Kiakum"/>
  </r>
  <r>
    <s v="D07-S03-P01-K02"/>
    <s v="D07"/>
    <x v="6"/>
    <s v="S03"/>
    <s v="D07-S03"/>
    <x v="44"/>
    <s v="P01"/>
    <s v="D07-S03-P01"/>
    <x v="259"/>
    <s v="K02"/>
    <s v="Tuwep"/>
  </r>
  <r>
    <s v="D07-S03-P01-K03"/>
    <s v="D07"/>
    <x v="6"/>
    <s v="S03"/>
    <s v="D07-S03"/>
    <x v="44"/>
    <s v="P01"/>
    <s v="D07-S03-P01"/>
    <x v="259"/>
    <s v="K03"/>
    <s v="Sakarang"/>
  </r>
  <r>
    <s v="D07-S03-P01-K04"/>
    <s v="D07"/>
    <x v="6"/>
    <s v="S03"/>
    <s v="D07-S03"/>
    <x v="44"/>
    <s v="P01"/>
    <s v="D07-S03-P01"/>
    <x v="259"/>
    <s v="K04"/>
    <s v="Mogon"/>
  </r>
  <r>
    <s v="D07-S03-P02-K01"/>
    <s v="D07"/>
    <x v="6"/>
    <s v="S03"/>
    <s v="D07-S03"/>
    <x v="44"/>
    <s v="P02"/>
    <s v="D07-S03-P02"/>
    <x v="260"/>
    <s v="K01"/>
    <s v="Yalumbang"/>
  </r>
  <r>
    <s v="D07-S03-P02-K02"/>
    <s v="D07"/>
    <x v="6"/>
    <s v="S03"/>
    <s v="D07-S03"/>
    <x v="44"/>
    <s v="P02"/>
    <s v="D07-S03-P02"/>
    <x v="260"/>
    <s v="K02"/>
    <s v="Mumbanzing"/>
  </r>
  <r>
    <s v="D07-S03-P02-K03"/>
    <s v="D07"/>
    <x v="6"/>
    <s v="S03"/>
    <s v="D07-S03"/>
    <x v="44"/>
    <s v="P02"/>
    <s v="D07-S03-P02"/>
    <x v="260"/>
    <s v="K03"/>
    <s v="Qamben"/>
  </r>
  <r>
    <s v="D07-S03-P03-K01"/>
    <s v="D07"/>
    <x v="6"/>
    <s v="S03"/>
    <s v="D07-S03"/>
    <x v="44"/>
    <s v="P03"/>
    <s v="D07-S03-P03"/>
    <x v="261"/>
    <s v="K01"/>
    <s v="Awen"/>
  </r>
  <r>
    <s v="D07-S03-P03-K02"/>
    <s v="D07"/>
    <x v="6"/>
    <s v="S03"/>
    <s v="D07-S03"/>
    <x v="44"/>
    <s v="P03"/>
    <s v="D07-S03-P03"/>
    <x v="261"/>
    <s v="K02"/>
    <s v="Tukwambet"/>
  </r>
  <r>
    <s v="D07-S03-P03-K03"/>
    <s v="D07"/>
    <x v="6"/>
    <s v="S03"/>
    <s v="D07-S03"/>
    <x v="44"/>
    <s v="P03"/>
    <s v="D07-S03-P03"/>
    <x v="261"/>
    <s v="K03"/>
    <s v="Baindoang"/>
  </r>
  <r>
    <s v="D07-S03-P03-K04"/>
    <s v="D07"/>
    <x v="6"/>
    <s v="S03"/>
    <s v="D07-S03"/>
    <x v="44"/>
    <s v="P03"/>
    <s v="D07-S03-P03"/>
    <x v="261"/>
    <s v="K04"/>
    <s v="Qamberen"/>
  </r>
  <r>
    <s v="D07-S03-P03-K05"/>
    <s v="D07"/>
    <x v="6"/>
    <s v="S03"/>
    <s v="D07-S03"/>
    <x v="44"/>
    <s v="P03"/>
    <s v="D07-S03-P03"/>
    <x v="261"/>
    <s v="K05"/>
    <s v="Akandang"/>
  </r>
  <r>
    <s v="D07-S03-P03-K06"/>
    <s v="D07"/>
    <x v="6"/>
    <s v="S03"/>
    <s v="D07-S03"/>
    <x v="44"/>
    <s v="P03"/>
    <s v="D07-S03-P03"/>
    <x v="261"/>
    <s v="K06"/>
    <s v="Anopman"/>
  </r>
  <r>
    <s v="D07-S03-P03-K07"/>
    <s v="D07"/>
    <x v="6"/>
    <s v="S03"/>
    <s v="D07-S03"/>
    <x v="44"/>
    <s v="P03"/>
    <s v="D07-S03-P03"/>
    <x v="261"/>
    <s v="K07"/>
    <s v="Umbangan"/>
  </r>
  <r>
    <s v="D07-S03-P04-K01"/>
    <s v="D07"/>
    <x v="6"/>
    <s v="S03"/>
    <s v="D07-S03"/>
    <x v="44"/>
    <s v="P04"/>
    <s v="D07-S03-P04"/>
    <x v="262"/>
    <s v="K01"/>
    <s v="Kistuen"/>
  </r>
  <r>
    <s v="D07-S03-P04-K02"/>
    <s v="D07"/>
    <x v="6"/>
    <s v="S03"/>
    <s v="D07-S03"/>
    <x v="44"/>
    <s v="P04"/>
    <s v="D07-S03-P04"/>
    <x v="262"/>
    <s v="K02"/>
    <s v="Mosoip"/>
  </r>
  <r>
    <s v="D07-S03-P04-K03"/>
    <s v="D07"/>
    <x v="6"/>
    <s v="S03"/>
    <s v="D07-S03"/>
    <x v="44"/>
    <s v="P04"/>
    <s v="D07-S03-P04"/>
    <x v="262"/>
    <s v="K03"/>
    <s v="Zinsaik"/>
  </r>
  <r>
    <s v="D07-S03-P04-K04"/>
    <s v="D07"/>
    <x v="6"/>
    <s v="S03"/>
    <s v="D07-S03"/>
    <x v="44"/>
    <s v="P04"/>
    <s v="D07-S03-P04"/>
    <x v="262"/>
    <s v="K04"/>
    <s v="Dokalang"/>
  </r>
  <r>
    <s v="D07-S03-P04-K05"/>
    <s v="D07"/>
    <x v="6"/>
    <s v="S03"/>
    <s v="D07-S03"/>
    <x v="44"/>
    <s v="P04"/>
    <s v="D07-S03-P04"/>
    <x v="262"/>
    <s v="K05"/>
    <s v="Sasawalen"/>
  </r>
  <r>
    <s v="D07-S03-P04-K06"/>
    <s v="D07"/>
    <x v="6"/>
    <s v="S03"/>
    <s v="D07-S03"/>
    <x v="44"/>
    <s v="P04"/>
    <s v="D07-S03-P04"/>
    <x v="262"/>
    <s v="K06"/>
    <s v="Kalangandong"/>
  </r>
  <r>
    <s v="D07-S03-P04-K07"/>
    <s v="D07"/>
    <x v="6"/>
    <s v="S03"/>
    <s v="D07-S03"/>
    <x v="44"/>
    <s v="P04"/>
    <s v="D07-S03-P04"/>
    <x v="262"/>
    <s v="K07"/>
    <s v="Bendep"/>
  </r>
  <r>
    <s v="D07-S03-P04-K08"/>
    <s v="D07"/>
    <x v="6"/>
    <s v="S03"/>
    <s v="D07-S03"/>
    <x v="44"/>
    <s v="P04"/>
    <s v="D07-S03-P04"/>
    <x v="262"/>
    <s v="K08"/>
    <s v="Momsalop"/>
  </r>
  <r>
    <s v="D07-S03-P04-K09"/>
    <s v="D07"/>
    <x v="6"/>
    <s v="S03"/>
    <s v="D07-S03"/>
    <x v="44"/>
    <s v="P04"/>
    <s v="D07-S03-P04"/>
    <x v="262"/>
    <s v="K09"/>
    <s v="Dimining"/>
  </r>
  <r>
    <s v="D07-S03-P05-K01"/>
    <s v="D07"/>
    <x v="6"/>
    <s v="S03"/>
    <s v="D07-S03"/>
    <x v="44"/>
    <s v="P05"/>
    <s v="D07-S03-P05"/>
    <x v="263"/>
    <s v="K01"/>
    <s v="Ogau"/>
  </r>
  <r>
    <s v="D07-S03-P05-K02"/>
    <s v="D07"/>
    <x v="6"/>
    <s v="S03"/>
    <s v="D07-S03"/>
    <x v="44"/>
    <s v="P05"/>
    <s v="D07-S03-P05"/>
    <x v="263"/>
    <s v="K02"/>
    <s v="Zitare"/>
  </r>
  <r>
    <s v="D07-S03-P05-K03"/>
    <s v="D07"/>
    <x v="6"/>
    <s v="S03"/>
    <s v="D07-S03"/>
    <x v="44"/>
    <s v="P05"/>
    <s v="D07-S03-P05"/>
    <x v="263"/>
    <s v="K03"/>
    <s v="Sezilime"/>
  </r>
  <r>
    <s v="D07-S03-P05-K04"/>
    <s v="D07"/>
    <x v="6"/>
    <s v="S03"/>
    <s v="D07-S03"/>
    <x v="44"/>
    <s v="P05"/>
    <s v="D07-S03-P05"/>
    <x v="263"/>
    <s v="K04"/>
    <s v="Tombaka"/>
  </r>
  <r>
    <s v="D07-S03-P05-K05"/>
    <s v="D07"/>
    <x v="6"/>
    <s v="S03"/>
    <s v="D07-S03"/>
    <x v="44"/>
    <s v="P05"/>
    <s v="D07-S03-P05"/>
    <x v="263"/>
    <s v="K05"/>
    <s v="Sambuen"/>
  </r>
  <r>
    <s v="D07-S03-P05-K06"/>
    <s v="D07"/>
    <x v="6"/>
    <s v="S03"/>
    <s v="D07-S03"/>
    <x v="44"/>
    <s v="P05"/>
    <s v="D07-S03-P05"/>
    <x v="263"/>
    <s v="K06"/>
    <s v="Zanam"/>
  </r>
  <r>
    <s v="D07-S03-P06-K01"/>
    <s v="D07"/>
    <x v="6"/>
    <s v="S03"/>
    <s v="D07-S03"/>
    <x v="44"/>
    <s v="P06"/>
    <s v="D07-S03-P06"/>
    <x v="264"/>
    <s v="K01"/>
    <s v="Samamansing"/>
  </r>
  <r>
    <s v="D07-S03-P06-K02"/>
    <s v="D07"/>
    <x v="6"/>
    <s v="S03"/>
    <s v="D07-S03"/>
    <x v="44"/>
    <s v="P06"/>
    <s v="D07-S03-P06"/>
    <x v="264"/>
    <s v="K02"/>
    <s v="Tuzing"/>
  </r>
  <r>
    <s v="D07-S03-P06-K03"/>
    <s v="D07"/>
    <x v="6"/>
    <s v="S03"/>
    <s v="D07-S03"/>
    <x v="44"/>
    <s v="P06"/>
    <s v="D07-S03-P06"/>
    <x v="264"/>
    <s v="K03"/>
    <s v="Tusulu"/>
  </r>
  <r>
    <s v="D07-S03-P06-K04"/>
    <s v="D07"/>
    <x v="6"/>
    <s v="S03"/>
    <s v="D07-S03"/>
    <x v="44"/>
    <s v="P06"/>
    <s v="D07-S03-P06"/>
    <x v="264"/>
    <s v="K04"/>
    <s v="Buko"/>
  </r>
  <r>
    <s v="D08-S01-P01-K01"/>
    <s v="D08"/>
    <x v="7"/>
    <s v="S01"/>
    <s v="D08-S01"/>
    <x v="45"/>
    <s v="P01"/>
    <s v="D08-S01-P01"/>
    <x v="265"/>
    <s v="K01"/>
    <s v="Ridima "/>
  </r>
  <r>
    <s v="D08-S01-P01-K02"/>
    <s v="D08"/>
    <x v="7"/>
    <s v="S01"/>
    <s v="D08-S01"/>
    <x v="45"/>
    <s v="P01"/>
    <s v="D08-S01-P01"/>
    <x v="265"/>
    <s v="K02"/>
    <s v="White Kompau"/>
  </r>
  <r>
    <s v="D08-S01-P01-K03"/>
    <s v="D08"/>
    <x v="7"/>
    <s v="S01"/>
    <s v="D08-S01"/>
    <x v="45"/>
    <s v="P01"/>
    <s v="D08-S01-P01"/>
    <x v="265"/>
    <s v="K03"/>
    <s v="Forestri"/>
  </r>
  <r>
    <s v="D08-S01-P01-K04"/>
    <s v="D08"/>
    <x v="7"/>
    <s v="S01"/>
    <s v="D08-S01"/>
    <x v="45"/>
    <s v="P01"/>
    <s v="D08-S01-P01"/>
    <x v="265"/>
    <s v="K04"/>
    <s v="New Bread"/>
  </r>
  <r>
    <s v="D08-S01-P01-K05"/>
    <s v="D08"/>
    <x v="7"/>
    <s v="S01"/>
    <s v="D08-S01"/>
    <x v="45"/>
    <s v="P01"/>
    <s v="D08-S01-P01"/>
    <x v="265"/>
    <s v="K05"/>
    <s v="Masama"/>
  </r>
  <r>
    <s v="D08-S01-P01-K06"/>
    <s v="D08"/>
    <x v="7"/>
    <s v="S01"/>
    <s v="D08-S01"/>
    <x v="45"/>
    <s v="P01"/>
    <s v="D08-S01-P01"/>
    <x v="265"/>
    <s v="K06"/>
    <s v="A.D.O."/>
  </r>
  <r>
    <s v="D08-S01-P01-K07"/>
    <s v="D08"/>
    <x v="7"/>
    <s v="S01"/>
    <s v="D08-S01"/>
    <x v="45"/>
    <s v="P01"/>
    <s v="D08-S01-P01"/>
    <x v="265"/>
    <s v="K07"/>
    <s v="Misisbot"/>
  </r>
  <r>
    <s v="D08-S01-P01-K08"/>
    <s v="D08"/>
    <x v="7"/>
    <s v="S01"/>
    <s v="D08-S01"/>
    <x v="45"/>
    <s v="P01"/>
    <s v="D08-S01-P01"/>
    <x v="265"/>
    <s v="K08"/>
    <s v="Mais Kaundi"/>
  </r>
  <r>
    <s v="D08-S01-P01-K09"/>
    <s v="D08"/>
    <x v="7"/>
    <s v="S01"/>
    <s v="D08-S01"/>
    <x v="45"/>
    <s v="P01"/>
    <s v="D08-S01-P01"/>
    <x v="265"/>
    <s v="K09"/>
    <s v="4 Mile"/>
  </r>
  <r>
    <s v="D08-S01-P01-K10"/>
    <s v="D08"/>
    <x v="7"/>
    <s v="S01"/>
    <s v="D08-S01"/>
    <x v="45"/>
    <s v="P01"/>
    <s v="D08-S01-P01"/>
    <x v="265"/>
    <s v="K10"/>
    <s v="Nemnem"/>
  </r>
  <r>
    <s v="D08-S01-P02-K01"/>
    <s v="D08"/>
    <x v="7"/>
    <s v="S01"/>
    <s v="D08-S01"/>
    <x v="45"/>
    <s v="P02"/>
    <s v="D08-S01-P02"/>
    <x v="266"/>
    <s v="K01"/>
    <s v="Kobiau"/>
  </r>
  <r>
    <s v="D08-S01-P02-K02"/>
    <s v="D08"/>
    <x v="7"/>
    <s v="S01"/>
    <s v="D08-S01"/>
    <x v="45"/>
    <s v="P02"/>
    <s v="D08-S01-P02"/>
    <x v="266"/>
    <s v="K02"/>
    <s v="Maus Kuranga"/>
  </r>
  <r>
    <s v="D08-S01-P02-K03"/>
    <s v="D08"/>
    <x v="7"/>
    <s v="S01"/>
    <s v="D08-S01"/>
    <x v="45"/>
    <s v="P02"/>
    <s v="D08-S01-P02"/>
    <x v="266"/>
    <s v="K03"/>
    <s v="St Philip"/>
  </r>
  <r>
    <s v="D08-S01-P03-K01"/>
    <s v="D08"/>
    <x v="7"/>
    <s v="S01"/>
    <s v="D08-S01"/>
    <x v="45"/>
    <s v="P03"/>
    <s v="D08-S01-P03"/>
    <x v="267"/>
    <s v="K01"/>
    <s v="Wara Karap"/>
  </r>
  <r>
    <s v="D08-S01-P03-K02"/>
    <s v="D08"/>
    <x v="7"/>
    <s v="S01"/>
    <s v="D08-S01"/>
    <x v="45"/>
    <s v="P03"/>
    <s v="D08-S01-P03"/>
    <x v="267"/>
    <s v="K02"/>
    <s v="?"/>
  </r>
  <r>
    <s v="D08-S01-P03-K03"/>
    <s v="D08"/>
    <x v="7"/>
    <s v="S01"/>
    <s v="D08-S01"/>
    <x v="45"/>
    <s v="P03"/>
    <s v="D08-S01-P03"/>
    <x v="267"/>
    <s v="K03"/>
    <s v="?"/>
  </r>
  <r>
    <s v="D08-S01-P04-K01"/>
    <s v="D08"/>
    <x v="7"/>
    <s v="S01"/>
    <s v="D08-S01"/>
    <x v="45"/>
    <s v="P04"/>
    <s v="D08-S01-P04"/>
    <x v="268"/>
    <s v="K01"/>
    <s v="Yawadibu"/>
  </r>
  <r>
    <s v="D08-S01-P05-K01"/>
    <s v="D08"/>
    <x v="7"/>
    <s v="S01"/>
    <s v="D08-S01"/>
    <x v="45"/>
    <s v="P05"/>
    <s v="D08-S01-P05"/>
    <x v="269"/>
    <s v="K01"/>
    <s v="Wandumi"/>
  </r>
  <r>
    <s v="D08-S01-P05-K02"/>
    <s v="D08"/>
    <x v="7"/>
    <s v="S01"/>
    <s v="D08-S01"/>
    <x v="45"/>
    <s v="P05"/>
    <s v="D08-S01-P05"/>
    <x v="269"/>
    <s v="K02"/>
    <s v="Kaisini"/>
  </r>
  <r>
    <s v="D08-S02-P01-K01"/>
    <s v="D08"/>
    <x v="7"/>
    <s v="S02"/>
    <s v="D08-S02"/>
    <x v="46"/>
    <s v="P01"/>
    <s v="D08-S02-P01"/>
    <x v="270"/>
    <s v="K01"/>
    <s v="Leklu"/>
  </r>
  <r>
    <s v="D08-S02-P01-K02"/>
    <s v="D08"/>
    <x v="7"/>
    <s v="S02"/>
    <s v="D08-S02"/>
    <x v="46"/>
    <s v="P01"/>
    <s v="D08-S02-P01"/>
    <x v="270"/>
    <s v="K02"/>
    <s v="Latep"/>
  </r>
  <r>
    <s v="D08-S02-P01-K03"/>
    <s v="D08"/>
    <x v="7"/>
    <s v="S02"/>
    <s v="D08-S02"/>
    <x v="46"/>
    <s v="P01"/>
    <s v="D08-S02-P01"/>
    <x v="270"/>
    <s v="K03"/>
    <s v="Gawapu"/>
  </r>
  <r>
    <s v="D08-S02-P01-K04"/>
    <s v="D08"/>
    <x v="7"/>
    <s v="S02"/>
    <s v="D08-S02"/>
    <x v="46"/>
    <s v="P01"/>
    <s v="D08-S02-P01"/>
    <x v="270"/>
    <s v="K04"/>
    <s v="Denglu"/>
  </r>
  <r>
    <s v="D08-S02-P01-K05"/>
    <s v="D08"/>
    <x v="7"/>
    <s v="S02"/>
    <s v="D08-S02"/>
    <x v="46"/>
    <s v="P01"/>
    <s v="D08-S02-P01"/>
    <x v="270"/>
    <s v="K05"/>
    <s v="Bimbu"/>
  </r>
  <r>
    <s v="D08-S02-P01-K06"/>
    <s v="D08"/>
    <x v="7"/>
    <s v="S02"/>
    <s v="D08-S02"/>
    <x v="46"/>
    <s v="P01"/>
    <s v="D08-S02-P01"/>
    <x v="270"/>
    <s v="K06"/>
    <s v="Sangas"/>
  </r>
  <r>
    <s v="D08-S02-P01-K07"/>
    <s v="D08"/>
    <x v="7"/>
    <s v="S02"/>
    <s v="D08-S02"/>
    <x v="46"/>
    <s v="P01"/>
    <s v="D08-S02-P01"/>
    <x v="270"/>
    <s v="K07"/>
    <s v="Samsam"/>
  </r>
  <r>
    <s v="D08-S02-P01-K08"/>
    <s v="D08"/>
    <x v="7"/>
    <s v="S02"/>
    <s v="D08-S02"/>
    <x v="46"/>
    <s v="P01"/>
    <s v="D08-S02-P01"/>
    <x v="270"/>
    <s v="K08"/>
    <s v="Pelanguwa"/>
  </r>
  <r>
    <s v="D08-S02-P02-K01"/>
    <s v="D08"/>
    <x v="7"/>
    <s v="S02"/>
    <s v="D08-S02"/>
    <x v="46"/>
    <s v="P02"/>
    <s v="D08-S02-P02"/>
    <x v="94"/>
    <s v="K01"/>
    <s v="Sausau"/>
  </r>
  <r>
    <s v="D08-S02-P02-K02"/>
    <s v="D08"/>
    <x v="7"/>
    <s v="S02"/>
    <s v="D08-S02"/>
    <x v="46"/>
    <s v="P02"/>
    <s v="D08-S02-P02"/>
    <x v="94"/>
    <s v="K02"/>
    <s v="Admin"/>
  </r>
  <r>
    <s v="D08-S02-P02-K03"/>
    <s v="D08"/>
    <x v="7"/>
    <s v="S02"/>
    <s v="D08-S02"/>
    <x v="46"/>
    <s v="P02"/>
    <s v="D08-S02-P02"/>
    <x v="94"/>
    <s v="K03"/>
    <s v="Forestry"/>
  </r>
  <r>
    <s v="D08-S02-P02-K04"/>
    <s v="D08"/>
    <x v="7"/>
    <s v="S02"/>
    <s v="D08-S02"/>
    <x v="46"/>
    <s v="P02"/>
    <s v="D08-S02-P02"/>
    <x v="94"/>
    <s v="K04"/>
    <s v="New Kemp"/>
  </r>
  <r>
    <s v="D08-S02-P02-K05"/>
    <s v="D08"/>
    <x v="7"/>
    <s v="S02"/>
    <s v="D08-S02"/>
    <x v="46"/>
    <s v="P02"/>
    <s v="D08-S02-P02"/>
    <x v="94"/>
    <s v="K05"/>
    <s v="Bailis"/>
  </r>
  <r>
    <s v="D08-S02-P02-K06"/>
    <s v="D08"/>
    <x v="7"/>
    <s v="S02"/>
    <s v="D08-S02"/>
    <x v="46"/>
    <s v="P02"/>
    <s v="D08-S02-P02"/>
    <x v="94"/>
    <s v="K06"/>
    <s v="Karanas"/>
  </r>
  <r>
    <s v="D08-S02-P02-K07"/>
    <s v="D08"/>
    <x v="7"/>
    <s v="S02"/>
    <s v="D08-S02"/>
    <x v="46"/>
    <s v="P02"/>
    <s v="D08-S02-P02"/>
    <x v="94"/>
    <s v="K07"/>
    <s v="Siapan"/>
  </r>
  <r>
    <s v="D08-S02-P02-K08"/>
    <s v="D08"/>
    <x v="7"/>
    <s v="S02"/>
    <s v="D08-S02"/>
    <x v="46"/>
    <s v="P02"/>
    <s v="D08-S02-P02"/>
    <x v="94"/>
    <s v="K08"/>
    <s v="Paitop"/>
  </r>
  <r>
    <s v="D08-S02-P02-K09"/>
    <s v="D08"/>
    <x v="7"/>
    <s v="S02"/>
    <s v="D08-S02"/>
    <x v="46"/>
    <s v="P02"/>
    <s v="D08-S02-P02"/>
    <x v="94"/>
    <s v="K09"/>
    <s v="Mausboxs"/>
  </r>
  <r>
    <s v="D08-S02-P02-K10"/>
    <s v="D08"/>
    <x v="7"/>
    <s v="S02"/>
    <s v="D08-S02"/>
    <x v="46"/>
    <s v="P02"/>
    <s v="D08-S02-P02"/>
    <x v="94"/>
    <s v="K10"/>
    <s v="Ekopa"/>
  </r>
  <r>
    <s v="D08-S02-P02-K11"/>
    <s v="D08"/>
    <x v="7"/>
    <s v="S02"/>
    <s v="D08-S02"/>
    <x v="46"/>
    <s v="P02"/>
    <s v="D08-S02-P02"/>
    <x v="94"/>
    <s v="K11"/>
    <s v="Frosal"/>
  </r>
  <r>
    <s v="D08-S02-P03-K01"/>
    <s v="D08"/>
    <x v="7"/>
    <s v="S02"/>
    <s v="D08-S02"/>
    <x v="46"/>
    <s v="P03"/>
    <s v="D08-S02-P03"/>
    <x v="271"/>
    <s v="K01"/>
    <s v="Erowa Creen"/>
  </r>
  <r>
    <s v="D08-S02-P03-K02"/>
    <s v="D08"/>
    <x v="7"/>
    <s v="S02"/>
    <s v="D08-S02"/>
    <x v="46"/>
    <s v="P03"/>
    <s v="D08-S02-P03"/>
    <x v="271"/>
    <s v="K02"/>
    <s v="Nauti"/>
  </r>
  <r>
    <s v="D08-S02-P03-K03"/>
    <s v="D08"/>
    <x v="7"/>
    <s v="S02"/>
    <s v="D08-S02"/>
    <x v="46"/>
    <s v="P03"/>
    <s v="D08-S02-P03"/>
    <x v="271"/>
    <s v="K03"/>
    <s v="Sapanda"/>
  </r>
  <r>
    <s v="D08-S02-P04-K01"/>
    <s v="D08"/>
    <x v="7"/>
    <s v="S02"/>
    <s v="D08-S02"/>
    <x v="46"/>
    <s v="P04"/>
    <s v="D08-S02-P04"/>
    <x v="272"/>
    <s v="K01"/>
    <s v="Manyanda"/>
  </r>
  <r>
    <s v="D08-S02-P04-K02"/>
    <s v="D08"/>
    <x v="7"/>
    <s v="S02"/>
    <s v="D08-S02"/>
    <x v="46"/>
    <s v="P04"/>
    <s v="D08-S02-P04"/>
    <x v="272"/>
    <s v="K02"/>
    <s v="Pararoa"/>
  </r>
  <r>
    <s v="D08-S02-P04-K03"/>
    <s v="D08"/>
    <x v="7"/>
    <s v="S02"/>
    <s v="D08-S02"/>
    <x v="46"/>
    <s v="P04"/>
    <s v="D08-S02-P04"/>
    <x v="272"/>
    <s v="K03"/>
    <s v="Gumi"/>
  </r>
  <r>
    <s v="D08-S02-P04-K04"/>
    <s v="D08"/>
    <x v="7"/>
    <s v="S02"/>
    <s v="D08-S02"/>
    <x v="46"/>
    <s v="P04"/>
    <s v="D08-S02-P04"/>
    <x v="272"/>
    <s v="K04"/>
    <s v="Andarola"/>
  </r>
  <r>
    <s v="D08-S03-P01-K01"/>
    <s v="D08"/>
    <x v="7"/>
    <s v="S03"/>
    <s v="D08-S03"/>
    <x v="47"/>
    <s v="P01"/>
    <s v="D08-S03-P01"/>
    <x v="127"/>
    <s v="K01"/>
    <s v="Uumalu"/>
  </r>
  <r>
    <s v="D08-S03-P01-K02"/>
    <s v="D08"/>
    <x v="7"/>
    <s v="S03"/>
    <s v="D08-S03"/>
    <x v="47"/>
    <s v="P01"/>
    <s v="D08-S03-P01"/>
    <x v="127"/>
    <s v="K02"/>
    <s v="St Gesungtaus"/>
  </r>
  <r>
    <s v="D08-S03-P01-K03"/>
    <s v="D08"/>
    <x v="7"/>
    <s v="S03"/>
    <s v="D08-S03"/>
    <x v="47"/>
    <s v="P01"/>
    <s v="D08-S03-P01"/>
    <x v="127"/>
    <s v="K03"/>
    <s v="Pamelabus"/>
  </r>
  <r>
    <s v="D08-S03-P01-K04"/>
    <s v="D08"/>
    <x v="7"/>
    <s v="S03"/>
    <s v="D08-S03"/>
    <x v="47"/>
    <s v="P01"/>
    <s v="D08-S03-P01"/>
    <x v="127"/>
    <s v="K04"/>
    <s v="Stesin"/>
  </r>
  <r>
    <s v="D08-S03-P01-K05"/>
    <s v="D08"/>
    <x v="7"/>
    <s v="S03"/>
    <s v="D08-S03"/>
    <x v="47"/>
    <s v="P01"/>
    <s v="D08-S03-P01"/>
    <x v="127"/>
    <s v="K05"/>
    <s v="Bamaulum"/>
  </r>
  <r>
    <s v="D08-S03-P01-K06"/>
    <s v="D08"/>
    <x v="7"/>
    <s v="S03"/>
    <s v="D08-S03"/>
    <x v="47"/>
    <s v="P01"/>
    <s v="D08-S03-P01"/>
    <x v="127"/>
    <s v="K06"/>
    <s v="Sambio"/>
  </r>
  <r>
    <s v="D08-S03-P02-K01"/>
    <s v="D08"/>
    <x v="7"/>
    <s v="S03"/>
    <s v="D08-S03"/>
    <x v="47"/>
    <s v="P02"/>
    <s v="D08-S03-P02"/>
    <x v="273"/>
    <s v="K01"/>
    <s v="Denglu"/>
  </r>
  <r>
    <s v="D08-S03-P02-K02"/>
    <s v="D08"/>
    <x v="7"/>
    <s v="S03"/>
    <s v="D08-S03"/>
    <x v="47"/>
    <s v="P02"/>
    <s v="D08-S03-P02"/>
    <x v="273"/>
    <s v="K02"/>
    <s v="Viriuxa"/>
  </r>
  <r>
    <s v="D08-S03-P02-K03"/>
    <s v="D08"/>
    <x v="7"/>
    <s v="S03"/>
    <s v="D08-S03"/>
    <x v="47"/>
    <s v="P02"/>
    <s v="D08-S03-P02"/>
    <x v="273"/>
    <s v="K03"/>
    <s v="Hambu"/>
  </r>
  <r>
    <s v="D08-S03-P02-K04"/>
    <s v="D08"/>
    <x v="7"/>
    <s v="S03"/>
    <s v="D08-S03"/>
    <x v="47"/>
    <s v="P02"/>
    <s v="D08-S03-P02"/>
    <x v="273"/>
    <s v="K04"/>
    <s v="Mahomba"/>
  </r>
  <r>
    <s v="D08-S03-P03-K01"/>
    <s v="D08"/>
    <x v="7"/>
    <s v="S03"/>
    <s v="D08-S03"/>
    <x v="47"/>
    <s v="P03"/>
    <s v="D08-S03-P03"/>
    <x v="274"/>
    <s v="K01"/>
    <s v="Wakni"/>
  </r>
  <r>
    <s v="D08-S03-P03-K02"/>
    <s v="D08"/>
    <x v="7"/>
    <s v="S03"/>
    <s v="D08-S03"/>
    <x v="47"/>
    <s v="P03"/>
    <s v="D08-S03-P03"/>
    <x v="274"/>
    <s v="K02"/>
    <s v="Bundun"/>
  </r>
  <r>
    <s v="D08-S03-P03-K03"/>
    <s v="D08"/>
    <x v="7"/>
    <s v="S03"/>
    <s v="D08-S03"/>
    <x v="47"/>
    <s v="P03"/>
    <s v="D08-S03-P03"/>
    <x v="274"/>
    <s v="K03"/>
    <s v="Genengmo"/>
  </r>
  <r>
    <s v="D08-S03-P03-K04"/>
    <s v="D08"/>
    <x v="7"/>
    <s v="S03"/>
    <s v="D08-S03"/>
    <x v="47"/>
    <s v="P03"/>
    <s v="D08-S03-P03"/>
    <x v="274"/>
    <s v="K04"/>
    <s v="Bialopu"/>
  </r>
  <r>
    <s v="D08-S03-P04-K01"/>
    <s v="D08"/>
    <x v="7"/>
    <s v="S03"/>
    <s v="D08-S03"/>
    <x v="47"/>
    <s v="P04"/>
    <s v="D08-S03-P04"/>
    <x v="275"/>
    <s v="K01"/>
    <s v="Mumentain"/>
  </r>
  <r>
    <s v="D08-S03-P05-K01"/>
    <s v="D08"/>
    <x v="7"/>
    <s v="S03"/>
    <s v="D08-S03"/>
    <x v="47"/>
    <s v="P05"/>
    <s v="D08-S03-P05"/>
    <x v="276"/>
    <s v="K01"/>
    <s v="Parakris"/>
  </r>
  <r>
    <s v="D08-S03-P05-K02"/>
    <s v="D08"/>
    <x v="7"/>
    <s v="S03"/>
    <s v="D08-S03"/>
    <x v="47"/>
    <s v="P05"/>
    <s v="D08-S03-P05"/>
    <x v="276"/>
    <s v="K02"/>
    <s v="Yanta"/>
  </r>
  <r>
    <s v="D08-S03-P05-K03"/>
    <s v="D08"/>
    <x v="7"/>
    <s v="S03"/>
    <s v="D08-S03"/>
    <x v="47"/>
    <s v="P05"/>
    <s v="D08-S03-P05"/>
    <x v="276"/>
    <s v="K03"/>
    <s v="Zenag"/>
  </r>
  <r>
    <s v="D08-S04-P01-K01"/>
    <s v="D08"/>
    <x v="7"/>
    <s v="S04"/>
    <s v="D08-S04"/>
    <x v="48"/>
    <s v="P01"/>
    <s v="D08-S04-P01"/>
    <x v="277"/>
    <s v="K01"/>
    <s v="Tayem"/>
  </r>
  <r>
    <s v="D08-S04-P01-K02"/>
    <s v="D08"/>
    <x v="7"/>
    <s v="S04"/>
    <s v="D08-S04"/>
    <x v="48"/>
    <s v="P01"/>
    <s v="D08-S04-P01"/>
    <x v="277"/>
    <s v="K02"/>
    <s v="Galawo"/>
  </r>
  <r>
    <s v="D08-S04-P01-K03"/>
    <s v="D08"/>
    <x v="7"/>
    <s v="S04"/>
    <s v="D08-S04"/>
    <x v="48"/>
    <s v="P01"/>
    <s v="D08-S04-P01"/>
    <x v="277"/>
    <s v="K03"/>
    <s v="Sanang"/>
  </r>
  <r>
    <s v="D08-S04-P01-K04"/>
    <s v="D08"/>
    <x v="7"/>
    <s v="S04"/>
    <s v="D08-S04"/>
    <x v="48"/>
    <s v="P01"/>
    <s v="D08-S04-P01"/>
    <x v="277"/>
    <s v="K04"/>
    <s v="Geules"/>
  </r>
  <r>
    <s v="D08-S04-P01-K05"/>
    <s v="D08"/>
    <x v="7"/>
    <s v="S04"/>
    <s v="D08-S04"/>
    <x v="48"/>
    <s v="P01"/>
    <s v="D08-S04-P01"/>
    <x v="277"/>
    <s v="K05"/>
    <s v="Sambus"/>
  </r>
  <r>
    <s v="D08-S04-P02-K01"/>
    <s v="D08"/>
    <x v="7"/>
    <s v="S04"/>
    <s v="D08-S04"/>
    <x v="48"/>
    <s v="P02"/>
    <s v="D08-S04-P02"/>
    <x v="278"/>
    <s v="K01"/>
    <s v="Gawapu"/>
  </r>
  <r>
    <s v="D08-S04-P02-K02"/>
    <s v="D08"/>
    <x v="7"/>
    <s v="S04"/>
    <s v="D08-S04"/>
    <x v="48"/>
    <s v="P02"/>
    <s v="D08-S04-P02"/>
    <x v="278"/>
    <s v="K02"/>
    <s v="Dambi"/>
  </r>
  <r>
    <s v="D08-S04-P02-K03"/>
    <s v="D08"/>
    <x v="7"/>
    <s v="S04"/>
    <s v="D08-S04"/>
    <x v="48"/>
    <s v="P02"/>
    <s v="D08-S04-P02"/>
    <x v="278"/>
    <s v="K03"/>
    <s v="Dangal"/>
  </r>
  <r>
    <s v="D08-S04-P02-K04"/>
    <s v="D08"/>
    <x v="7"/>
    <s v="S04"/>
    <s v="D08-S04"/>
    <x v="48"/>
    <s v="P02"/>
    <s v="D08-S04-P02"/>
    <x v="278"/>
    <s v="K04"/>
    <s v="Biamena"/>
  </r>
  <r>
    <s v="D08-S04-P02-K05"/>
    <s v="D08"/>
    <x v="7"/>
    <s v="S04"/>
    <s v="D08-S04"/>
    <x v="48"/>
    <s v="P02"/>
    <s v="D08-S04-P02"/>
    <x v="278"/>
    <s v="K05"/>
    <s v="Piu"/>
  </r>
  <r>
    <s v="D08-S05-P01-K02"/>
    <s v="D08"/>
    <x v="7"/>
    <s v="S05"/>
    <s v="D08-S05"/>
    <x v="49"/>
    <s v="P01"/>
    <s v="D08-S05-P01"/>
    <x v="279"/>
    <s v="K02"/>
    <s v="Humbake"/>
  </r>
  <r>
    <s v="D08-S05-P01-K03"/>
    <s v="D08"/>
    <x v="7"/>
    <s v="S05"/>
    <s v="D08-S05"/>
    <x v="49"/>
    <s v="P01"/>
    <s v="D08-S05-P01"/>
    <x v="279"/>
    <s v="K03"/>
    <s v="Tumbol"/>
  </r>
  <r>
    <s v="D08-S05-P01-K04"/>
    <s v="D08"/>
    <x v="7"/>
    <s v="S05"/>
    <s v="D08-S05"/>
    <x v="49"/>
    <s v="P01"/>
    <s v="D08-S05-P01"/>
    <x v="279"/>
    <s v="K04"/>
    <s v="Gelengno"/>
  </r>
  <r>
    <s v="D08-S05-P02-K01"/>
    <s v="D08"/>
    <x v="7"/>
    <s v="S05"/>
    <s v="D08-S05"/>
    <x v="49"/>
    <s v="P02"/>
    <s v="D08-S05-P02"/>
    <x v="280"/>
    <s v="K01"/>
    <s v="Gurakol"/>
  </r>
  <r>
    <s v="D08-S05-P02-K02"/>
    <s v="D08"/>
    <x v="7"/>
    <s v="S05"/>
    <s v="D08-S05"/>
    <x v="49"/>
    <s v="P02"/>
    <s v="D08-S05-P02"/>
    <x v="280"/>
    <s v="K02"/>
    <s v="Bupu"/>
  </r>
  <r>
    <s v="D08-S05-P02-K03"/>
    <s v="D08"/>
    <x v="7"/>
    <s v="S05"/>
    <s v="D08-S05"/>
    <x v="49"/>
    <s v="P02"/>
    <s v="D08-S05-P02"/>
    <x v="280"/>
    <s v="K03"/>
    <s v="Omalai"/>
  </r>
  <r>
    <s v="D08-S05-P03-K01"/>
    <s v="D08"/>
    <x v="7"/>
    <s v="S05"/>
    <s v="D08-S05"/>
    <x v="49"/>
    <s v="P03"/>
    <s v="D08-S05-P03"/>
    <x v="281"/>
    <s v="K01"/>
    <s v="Hengabu"/>
  </r>
  <r>
    <s v="D08-S05-P03-K02"/>
    <s v="D08"/>
    <x v="7"/>
    <s v="S05"/>
    <s v="D08-S05"/>
    <x v="49"/>
    <s v="P03"/>
    <s v="D08-S05-P03"/>
    <x v="281"/>
    <s v="K02"/>
    <s v="Toangola"/>
  </r>
  <r>
    <s v="D08-S05-P03-K03"/>
    <s v="D08"/>
    <x v="7"/>
    <s v="S05"/>
    <s v="D08-S05"/>
    <x v="49"/>
    <s v="P03"/>
    <s v="D08-S05-P03"/>
    <x v="281"/>
    <s v="K03"/>
    <s v="Zimangke"/>
  </r>
  <r>
    <s v="D09-S01-P01-K01"/>
    <s v="D09"/>
    <x v="8"/>
    <s v="S01"/>
    <s v="D09-S01"/>
    <x v="50"/>
    <s v="P01"/>
    <s v="D09-S01-P01"/>
    <x v="282"/>
    <s v="K01"/>
    <s v="Sios Graun"/>
  </r>
  <r>
    <s v="D09-S01-P01-K02"/>
    <s v="D09"/>
    <x v="8"/>
    <s v="S01"/>
    <s v="D09-S01"/>
    <x v="50"/>
    <s v="P01"/>
    <s v="D09-S01-P01"/>
    <x v="282"/>
    <s v="K02"/>
    <s v="Bilom 1"/>
  </r>
  <r>
    <s v="D09-S01-P01-K03"/>
    <s v="D09"/>
    <x v="8"/>
    <s v="S01"/>
    <s v="D09-S01"/>
    <x v="50"/>
    <s v="P01"/>
    <s v="D09-S01-P01"/>
    <x v="282"/>
    <s v="K03"/>
    <s v="Bilom 2"/>
  </r>
  <r>
    <s v="D09-S01-P01-K04"/>
    <s v="D09"/>
    <x v="8"/>
    <s v="S01"/>
    <s v="D09-S01"/>
    <x v="50"/>
    <s v="P01"/>
    <s v="D09-S01-P01"/>
    <x v="282"/>
    <s v="K04"/>
    <s v="Bilom 3"/>
  </r>
  <r>
    <s v="D09-S01-P01-K05"/>
    <s v="D09"/>
    <x v="8"/>
    <s v="S01"/>
    <s v="D09-S01"/>
    <x v="50"/>
    <s v="P01"/>
    <s v="D09-S01-P01"/>
    <x v="282"/>
    <s v="K05"/>
    <s v="Molova &amp; Kalasu"/>
  </r>
  <r>
    <s v="D09-S01-P01-K06"/>
    <s v="D09"/>
    <x v="8"/>
    <s v="S01"/>
    <s v="D09-S01"/>
    <x v="50"/>
    <s v="P01"/>
    <s v="D09-S01-P01"/>
    <x v="282"/>
    <s v="K06"/>
    <s v="Forest"/>
  </r>
  <r>
    <s v="D09-S01-P01-K07"/>
    <s v="D09"/>
    <x v="8"/>
    <s v="S01"/>
    <s v="D09-S01"/>
    <x v="50"/>
    <s v="P01"/>
    <s v="D09-S01-P01"/>
    <x v="282"/>
    <s v="K07"/>
    <s v="Mil kompaun"/>
  </r>
  <r>
    <s v="D09-S04--K01"/>
    <s v="D09"/>
    <x v="8"/>
    <s v="S04"/>
    <s v="D09-S04"/>
    <x v="51"/>
    <m/>
    <s v="D09-S04-"/>
    <x v="90"/>
    <s v="K01"/>
    <s v="Kevieng"/>
  </r>
  <r>
    <s v="D09-S04--K02"/>
    <s v="D09"/>
    <x v="8"/>
    <s v="S04"/>
    <s v="D09-S04"/>
    <x v="51"/>
    <m/>
    <s v="D09-S04-"/>
    <x v="90"/>
    <s v="K02"/>
    <s v="Namatanai"/>
  </r>
  <r>
    <s v="D12-S04--K01"/>
    <s v="D12"/>
    <x v="9"/>
    <s v="S04"/>
    <s v="D12-S04"/>
    <x v="52"/>
    <m/>
    <s v="D12-S04-"/>
    <x v="283"/>
    <s v="K01"/>
    <s v="Kafana"/>
  </r>
  <r>
    <s v="D12-S04-P01-K02"/>
    <s v="D12"/>
    <x v="9"/>
    <s v="S04"/>
    <s v="D12-S04"/>
    <x v="52"/>
    <s v="P01"/>
    <s v="D12-S04-P01"/>
    <x v="283"/>
    <s v="K02"/>
    <s v="Finito"/>
  </r>
  <r>
    <s v="D12-S04-P01-K03"/>
    <s v="D12"/>
    <x v="9"/>
    <s v="S04"/>
    <s v="D12-S04"/>
    <x v="52"/>
    <s v="P01"/>
    <s v="D12-S04-P01"/>
    <x v="283"/>
    <s v="K03"/>
    <s v="Gamuka"/>
  </r>
  <r>
    <s v="D12-S04-P01-K04"/>
    <s v="D12"/>
    <x v="9"/>
    <s v="S04"/>
    <s v="D12-S04"/>
    <x v="52"/>
    <s v="P01"/>
    <s v="D12-S04-P01"/>
    <x v="283"/>
    <s v="K04"/>
    <s v="Arikayufa"/>
  </r>
  <r>
    <s v="D12-S04-P01-K05"/>
    <s v="D12"/>
    <x v="9"/>
    <s v="S04"/>
    <s v="D12-S04"/>
    <x v="52"/>
    <s v="P01"/>
    <s v="D12-S04-P01"/>
    <x v="283"/>
    <s v="K05"/>
    <s v="Gotobe"/>
  </r>
  <r>
    <s v="D12-S04-P01-K06"/>
    <s v="D12"/>
    <x v="9"/>
    <s v="S04"/>
    <s v="D12-S04"/>
    <x v="52"/>
    <s v="P01"/>
    <s v="D12-S04-P01"/>
    <x v="283"/>
    <s v="K06"/>
    <s v="Masumare"/>
  </r>
  <r>
    <s v="D12-S04-P01-K07"/>
    <s v="D12"/>
    <x v="9"/>
    <s v="S04"/>
    <s v="D12-S04"/>
    <x v="52"/>
    <s v="P01"/>
    <s v="D12-S04-P01"/>
    <x v="283"/>
    <s v="K07"/>
    <s v="Kamariki"/>
  </r>
  <r>
    <s v="D12-S04-P01-K08"/>
    <s v="D12"/>
    <x v="9"/>
    <s v="S04"/>
    <s v="D12-S04"/>
    <x v="52"/>
    <s v="P01"/>
    <s v="D12-S04-P01"/>
    <x v="283"/>
    <s v="K08"/>
    <s v="Roza"/>
  </r>
  <r>
    <s v="D12-S04-P02-K01"/>
    <s v="D12"/>
    <x v="9"/>
    <s v="S04"/>
    <s v="D12-S04"/>
    <x v="52"/>
    <s v="P02"/>
    <s v="D12-S04-P02"/>
    <x v="80"/>
    <s v="K01"/>
    <s v="Mono"/>
  </r>
  <r>
    <s v="D12-S04-P02-K02"/>
    <s v="D12"/>
    <x v="9"/>
    <s v="S04"/>
    <s v="D12-S04"/>
    <x v="52"/>
    <s v="P02"/>
    <s v="D12-S04-P02"/>
    <x v="80"/>
    <s v="K02"/>
    <s v="Gepaina o Betali"/>
  </r>
  <r>
    <s v="D12-S04-P02-K03"/>
    <s v="D12"/>
    <x v="9"/>
    <s v="S04"/>
    <s v="D12-S04"/>
    <x v="52"/>
    <s v="P02"/>
    <s v="D12-S04-P02"/>
    <x v="80"/>
    <s v="K03"/>
    <s v="Sipira"/>
  </r>
  <r>
    <s v="D12-S04-P07-K01"/>
    <s v="D12"/>
    <x v="9"/>
    <s v="S04"/>
    <s v="D12-S04"/>
    <x v="52"/>
    <s v="P07"/>
    <s v="D12-S04-P07"/>
    <x v="284"/>
    <s v="K01"/>
    <s v="Orumba"/>
  </r>
  <r>
    <s v="D12-S04-P07-K02"/>
    <s v="D12"/>
    <x v="9"/>
    <s v="S04"/>
    <s v="D12-S04"/>
    <x v="52"/>
    <s v="P07"/>
    <s v="D12-S04-P07"/>
    <x v="284"/>
    <s v="K02"/>
    <s v="Arango"/>
  </r>
  <r>
    <s v="D12-S04-P07-K03"/>
    <s v="D12"/>
    <x v="9"/>
    <s v="S04"/>
    <s v="D12-S04"/>
    <x v="52"/>
    <s v="P07"/>
    <s v="D12-S04-P07"/>
    <x v="284"/>
    <s v="K03"/>
    <s v="Lataro"/>
  </r>
  <r>
    <s v="D12-S04-P07-K04"/>
    <s v="D12"/>
    <x v="9"/>
    <s v="S04"/>
    <s v="D12-S04"/>
    <x v="52"/>
    <s v="P07"/>
    <s v="D12-S04-P07"/>
    <x v="284"/>
    <s v="K04"/>
    <s v="St. Jekop"/>
  </r>
  <r>
    <s v="D12-S04-P07-K05"/>
    <s v="D12"/>
    <x v="9"/>
    <s v="S04"/>
    <s v="D12-S04"/>
    <x v="52"/>
    <s v="P07"/>
    <s v="D12-S04-P07"/>
    <x v="284"/>
    <s v="K05"/>
    <s v="Betel"/>
  </r>
  <r>
    <s v="D12-S04-P07-K06"/>
    <s v="D12"/>
    <x v="9"/>
    <s v="S04"/>
    <s v="D12-S04"/>
    <x v="52"/>
    <s v="P07"/>
    <s v="D12-S04-P07"/>
    <x v="284"/>
    <s v="K06"/>
    <s v="Emegawe"/>
  </r>
  <r>
    <s v="D12-S04-P07-K07"/>
    <s v="D12"/>
    <x v="9"/>
    <s v="S04"/>
    <s v="D12-S04"/>
    <x v="52"/>
    <s v="P07"/>
    <s v="D12-S04-P07"/>
    <x v="284"/>
    <s v="K07"/>
    <s v="Jafoka"/>
  </r>
  <r>
    <s v="D12-S04-P07-K08"/>
    <s v="D12"/>
    <x v="9"/>
    <s v="S04"/>
    <s v="D12-S04"/>
    <x v="52"/>
    <s v="P07"/>
    <s v="D12-S04-P07"/>
    <x v="284"/>
    <s v="K08"/>
    <s v="Hegu"/>
  </r>
  <r>
    <s v="D12-S04-P07-K09"/>
    <s v="D12"/>
    <x v="9"/>
    <s v="S04"/>
    <s v="D12-S04"/>
    <x v="52"/>
    <s v="P07"/>
    <s v="D12-S04-P07"/>
    <x v="284"/>
    <s v="K09"/>
    <s v="Kononenge"/>
  </r>
  <r>
    <s v="D12-S04-P09-K01"/>
    <s v="D12"/>
    <x v="9"/>
    <s v="S04"/>
    <s v="D12-S04"/>
    <x v="52"/>
    <s v="P09"/>
    <s v="D12-S04-P09"/>
    <x v="285"/>
    <s v="K01"/>
    <s v="Kesewai"/>
  </r>
  <r>
    <s v="D12-S04-P09-K02"/>
    <s v="D12"/>
    <x v="9"/>
    <s v="S04"/>
    <s v="D12-S04"/>
    <x v="52"/>
    <s v="P09"/>
    <s v="D12-S04-P09"/>
    <x v="285"/>
    <s v="K02"/>
    <s v="Asas"/>
  </r>
  <r>
    <s v="D12-S04-P09-K03"/>
    <s v="D12"/>
    <x v="9"/>
    <s v="S04"/>
    <s v="D12-S04"/>
    <x v="52"/>
    <s v="P09"/>
    <s v="D12-S04-P09"/>
    <x v="285"/>
    <s v="K03"/>
    <s v="Torokop"/>
  </r>
  <r>
    <s v="D12-S04-P09-K04"/>
    <s v="D12"/>
    <x v="9"/>
    <s v="S04"/>
    <s v="D12-S04"/>
    <x v="52"/>
    <s v="P09"/>
    <s v="D12-S04-P09"/>
    <x v="285"/>
    <s v="K04"/>
    <s v="Misinari"/>
  </r>
  <r>
    <s v="D12-S04-P09-K05"/>
    <s v="D12"/>
    <x v="9"/>
    <s v="S04"/>
    <s v="D12-S04"/>
    <x v="52"/>
    <s v="P09"/>
    <s v="D12-S04-P09"/>
    <x v="285"/>
    <s v="K05"/>
    <s v="Teri"/>
  </r>
  <r>
    <s v="D12-S04-P09-K06"/>
    <s v="D12"/>
    <x v="9"/>
    <s v="S04"/>
    <s v="D12-S04"/>
    <x v="52"/>
    <s v="P09"/>
    <s v="D12-S04-P09"/>
    <x v="285"/>
    <s v="K06"/>
    <s v="Malea"/>
  </r>
  <r>
    <s v="D12-S04-P09-K07"/>
    <s v="D12"/>
    <x v="9"/>
    <s v="S04"/>
    <s v="D12-S04"/>
    <x v="52"/>
    <s v="P09"/>
    <s v="D12-S04-P09"/>
    <x v="285"/>
    <s v="K07"/>
    <s v="Nilmami"/>
  </r>
  <r>
    <s v="D12-S04-P09-K08"/>
    <s v="D12"/>
    <x v="9"/>
    <s v="S04"/>
    <s v="D12-S04"/>
    <x v="52"/>
    <s v="P09"/>
    <s v="D12-S04-P09"/>
    <x v="285"/>
    <s v="K08"/>
    <s v="?"/>
  </r>
  <r>
    <s v="D12-S06-P01-K01"/>
    <s v="D12"/>
    <x v="9"/>
    <s v="S06"/>
    <s v="D12-S06"/>
    <x v="53"/>
    <s v="P01"/>
    <s v="D12-S06-P01"/>
    <x v="286"/>
    <s v="K01"/>
    <s v="English"/>
  </r>
  <r>
    <s v="D12-S06-P01-K02"/>
    <s v="D12"/>
    <x v="9"/>
    <s v="S06"/>
    <s v="D12-S06"/>
    <x v="53"/>
    <s v="P01"/>
    <s v="D12-S06-P01"/>
    <x v="286"/>
    <s v="K02"/>
    <s v="Pisin"/>
  </r>
  <r>
    <s v="D12-S06-P01-K03"/>
    <s v="D12"/>
    <x v="9"/>
    <s v="S06"/>
    <s v="D12-S06"/>
    <x v="53"/>
    <s v="P01"/>
    <s v="D12-S06-P01"/>
    <x v="286"/>
    <s v="K03"/>
    <s v="Paragon"/>
  </r>
  <r>
    <s v="D12-S06-P02-K01"/>
    <s v="D12"/>
    <x v="9"/>
    <s v="S06"/>
    <s v="D12-S06"/>
    <x v="53"/>
    <s v="P02"/>
    <s v="D12-S06-P02"/>
    <x v="95"/>
    <s v="K01"/>
    <s v="St. Matyu"/>
  </r>
  <r>
    <s v="D12-S06-P02-K02"/>
    <s v="D12"/>
    <x v="9"/>
    <s v="S06"/>
    <s v="D12-S06"/>
    <x v="53"/>
    <s v="P02"/>
    <s v="D12-S06-P02"/>
    <x v="95"/>
    <s v="K02"/>
    <s v="Biute"/>
  </r>
  <r>
    <s v="D12-S06-P02-K03"/>
    <s v="D12"/>
    <x v="9"/>
    <s v="S06"/>
    <s v="D12-S06"/>
    <x v="53"/>
    <s v="P02"/>
    <s v="D12-S06-P02"/>
    <x v="95"/>
    <s v="K03"/>
    <s v="Fotama"/>
  </r>
  <r>
    <s v="D12-S06-P02-K04"/>
    <s v="D12"/>
    <x v="9"/>
    <s v="S06"/>
    <s v="D12-S06"/>
    <x v="53"/>
    <s v="P02"/>
    <s v="D12-S06-P02"/>
    <x v="95"/>
    <s v="K04"/>
    <s v="Beter"/>
  </r>
  <r>
    <s v="D12-S06-P02-K05"/>
    <s v="D12"/>
    <x v="9"/>
    <s v="S06"/>
    <s v="D12-S06"/>
    <x v="53"/>
    <s v="P02"/>
    <s v="D12-S06-P02"/>
    <x v="95"/>
    <s v="K05"/>
    <s v="Matega"/>
  </r>
</pivotCacheRecords>
</file>

<file path=xl/pivotCache/pivotCacheRecords3.xml><?xml version="1.0" encoding="utf-8"?>
<pivotCacheRecords xmlns="http://schemas.openxmlformats.org/spreadsheetml/2006/main" xmlns:r="http://schemas.openxmlformats.org/officeDocument/2006/relationships" count="84">
  <r>
    <s v="D01-S01"/>
    <s v="D01"/>
    <x v="0"/>
    <s v="S01"/>
    <x v="0"/>
  </r>
  <r>
    <s v="D01-S02"/>
    <s v="D01"/>
    <x v="0"/>
    <s v="S02"/>
    <x v="1"/>
  </r>
  <r>
    <s v="D01-S03"/>
    <s v="D01"/>
    <x v="0"/>
    <s v="S03"/>
    <x v="2"/>
  </r>
  <r>
    <s v="D01-S04"/>
    <s v="D01"/>
    <x v="0"/>
    <s v="S04"/>
    <x v="3"/>
  </r>
  <r>
    <s v="D01-S05"/>
    <s v="D01"/>
    <x v="0"/>
    <s v="S05"/>
    <x v="4"/>
  </r>
  <r>
    <s v="D01-S06"/>
    <s v="D01"/>
    <x v="0"/>
    <s v="S06"/>
    <x v="5"/>
  </r>
  <r>
    <s v="D01-S07"/>
    <s v="D01"/>
    <x v="0"/>
    <s v="S07"/>
    <x v="6"/>
  </r>
  <r>
    <s v="D01-S08"/>
    <s v="D01"/>
    <x v="0"/>
    <s v="S08"/>
    <x v="7"/>
  </r>
  <r>
    <s v="D02-S01"/>
    <s v="D02"/>
    <x v="1"/>
    <s v="S01"/>
    <x v="8"/>
  </r>
  <r>
    <s v="D02-S02"/>
    <s v="D02"/>
    <x v="1"/>
    <s v="S02"/>
    <x v="9"/>
  </r>
  <r>
    <s v="D02-S03"/>
    <s v="D02"/>
    <x v="1"/>
    <s v="S03"/>
    <x v="10"/>
  </r>
  <r>
    <s v="D02-S04"/>
    <s v="D02"/>
    <x v="1"/>
    <s v="S04"/>
    <x v="11"/>
  </r>
  <r>
    <s v="D02-S05"/>
    <s v="D02"/>
    <x v="1"/>
    <s v="S05"/>
    <x v="12"/>
  </r>
  <r>
    <s v="D02-S06"/>
    <s v="D02"/>
    <x v="1"/>
    <s v="S06"/>
    <x v="13"/>
  </r>
  <r>
    <s v="D02-S07"/>
    <s v="D02"/>
    <x v="1"/>
    <s v="S07"/>
    <x v="14"/>
  </r>
  <r>
    <s v="D02-S08"/>
    <s v="D02"/>
    <x v="1"/>
    <s v="S08"/>
    <x v="15"/>
  </r>
  <r>
    <s v="D02-S09"/>
    <s v="D02"/>
    <x v="1"/>
    <s v="S09"/>
    <x v="16"/>
  </r>
  <r>
    <s v="D02-S10"/>
    <s v="D02"/>
    <x v="1"/>
    <s v="S10"/>
    <x v="17"/>
  </r>
  <r>
    <s v="D02-S11"/>
    <s v="D02"/>
    <x v="1"/>
    <s v="S11"/>
    <x v="18"/>
  </r>
  <r>
    <s v="D02-S12"/>
    <s v="D02"/>
    <x v="1"/>
    <s v="S12"/>
    <x v="19"/>
  </r>
  <r>
    <s v="D02-S13"/>
    <s v="D02"/>
    <x v="1"/>
    <s v="S13"/>
    <x v="20"/>
  </r>
  <r>
    <s v="D02-S14"/>
    <s v="D02"/>
    <x v="1"/>
    <s v="S14"/>
    <x v="21"/>
  </r>
  <r>
    <s v="D03-S01"/>
    <s v="D03"/>
    <x v="2"/>
    <s v="S01"/>
    <x v="22"/>
  </r>
  <r>
    <s v="D03-S02"/>
    <s v="D03"/>
    <x v="2"/>
    <s v="S02"/>
    <x v="23"/>
  </r>
  <r>
    <s v="D03-S03"/>
    <s v="D03"/>
    <x v="2"/>
    <s v="S03"/>
    <x v="24"/>
  </r>
  <r>
    <s v="D03-S04"/>
    <s v="D03"/>
    <x v="2"/>
    <s v="S04"/>
    <x v="25"/>
  </r>
  <r>
    <s v="D03-S05"/>
    <s v="D03"/>
    <x v="2"/>
    <s v="S05"/>
    <x v="26"/>
  </r>
  <r>
    <s v="D03-S06"/>
    <s v="D03"/>
    <x v="2"/>
    <s v="S06"/>
    <x v="27"/>
  </r>
  <r>
    <s v="D03-S07"/>
    <s v="D03"/>
    <x v="2"/>
    <s v="S07"/>
    <x v="28"/>
  </r>
  <r>
    <s v="D03-S08"/>
    <s v="D03"/>
    <x v="2"/>
    <s v="S08"/>
    <x v="29"/>
  </r>
  <r>
    <s v="D04-S01"/>
    <s v="D04"/>
    <x v="3"/>
    <s v="S01"/>
    <x v="30"/>
  </r>
  <r>
    <s v="D04-S02"/>
    <s v="D04"/>
    <x v="3"/>
    <s v="S02"/>
    <x v="31"/>
  </r>
  <r>
    <s v="D04-S03"/>
    <s v="D04"/>
    <x v="3"/>
    <s v="S03"/>
    <x v="32"/>
  </r>
  <r>
    <s v="D04-S04"/>
    <s v="D04"/>
    <x v="3"/>
    <s v="S04"/>
    <x v="33"/>
  </r>
  <r>
    <s v="D04-S05"/>
    <s v="D04"/>
    <x v="3"/>
    <s v="S05"/>
    <x v="34"/>
  </r>
  <r>
    <s v="D04-S06"/>
    <s v="D04"/>
    <x v="3"/>
    <s v="S06"/>
    <x v="35"/>
  </r>
  <r>
    <s v="D05-S01"/>
    <s v="D05"/>
    <x v="4"/>
    <s v="S01"/>
    <x v="36"/>
  </r>
  <r>
    <s v="D05-S02"/>
    <s v="D05"/>
    <x v="4"/>
    <s v="S02"/>
    <x v="37"/>
  </r>
  <r>
    <s v="D06-S01"/>
    <s v="D06"/>
    <x v="5"/>
    <s v="S01"/>
    <x v="38"/>
  </r>
  <r>
    <s v="D06-S02"/>
    <s v="D06"/>
    <x v="5"/>
    <s v="S02"/>
    <x v="39"/>
  </r>
  <r>
    <s v="D06-S03"/>
    <s v="D06"/>
    <x v="5"/>
    <s v="S03"/>
    <x v="40"/>
  </r>
  <r>
    <s v="D06-S04"/>
    <s v="D06"/>
    <x v="5"/>
    <s v="S04"/>
    <x v="41"/>
  </r>
  <r>
    <s v="D06-S05"/>
    <s v="D06"/>
    <x v="5"/>
    <s v="S05"/>
    <x v="42"/>
  </r>
  <r>
    <s v="D06-S06"/>
    <s v="D06"/>
    <x v="5"/>
    <s v="S06"/>
    <x v="43"/>
  </r>
  <r>
    <s v="D06-S07"/>
    <s v="D06"/>
    <x v="5"/>
    <s v="S07"/>
    <x v="44"/>
  </r>
  <r>
    <s v="D06-S08"/>
    <s v="D06"/>
    <x v="5"/>
    <s v="S08"/>
    <x v="45"/>
  </r>
  <r>
    <s v="D06-S09"/>
    <s v="D06"/>
    <x v="5"/>
    <s v="S09"/>
    <x v="46"/>
  </r>
  <r>
    <s v="D06-S10"/>
    <s v="D06"/>
    <x v="5"/>
    <s v="S10"/>
    <x v="47"/>
  </r>
  <r>
    <s v="D07-S01"/>
    <s v="D07"/>
    <x v="6"/>
    <s v="S01"/>
    <x v="48"/>
  </r>
  <r>
    <s v="D07-S02"/>
    <s v="D07"/>
    <x v="6"/>
    <s v="S02"/>
    <x v="49"/>
  </r>
  <r>
    <s v="D07-S03"/>
    <s v="D07"/>
    <x v="6"/>
    <s v="S03"/>
    <x v="50"/>
  </r>
  <r>
    <s v="D08-S01"/>
    <s v="D08"/>
    <x v="7"/>
    <s v="S01"/>
    <x v="51"/>
  </r>
  <r>
    <s v="D08-S02"/>
    <s v="D08"/>
    <x v="7"/>
    <s v="S02"/>
    <x v="52"/>
  </r>
  <r>
    <s v="D08-S03"/>
    <s v="D08"/>
    <x v="7"/>
    <s v="S03"/>
    <x v="53"/>
  </r>
  <r>
    <s v="D08-S04"/>
    <s v="D08"/>
    <x v="7"/>
    <s v="S04"/>
    <x v="54"/>
  </r>
  <r>
    <s v="D08-S05"/>
    <s v="D08"/>
    <x v="7"/>
    <s v="S05"/>
    <x v="55"/>
  </r>
  <r>
    <s v="D09-S01"/>
    <s v="D09"/>
    <x v="8"/>
    <s v="S01"/>
    <x v="56"/>
  </r>
  <r>
    <s v="D09-S02"/>
    <s v="D09"/>
    <x v="8"/>
    <s v="S02"/>
    <x v="57"/>
  </r>
  <r>
    <s v="D09-S03"/>
    <s v="D09"/>
    <x v="8"/>
    <s v="S03"/>
    <x v="58"/>
  </r>
  <r>
    <s v="D09-S04"/>
    <s v="D09"/>
    <x v="8"/>
    <s v="S04"/>
    <x v="59"/>
  </r>
  <r>
    <s v="D12-S01"/>
    <s v="D12"/>
    <x v="9"/>
    <s v="S01"/>
    <x v="60"/>
  </r>
  <r>
    <s v="D12-S02"/>
    <s v="D12"/>
    <x v="9"/>
    <s v="S02"/>
    <x v="61"/>
  </r>
  <r>
    <s v="D12-S03"/>
    <s v="D12"/>
    <x v="9"/>
    <s v="S03"/>
    <x v="62"/>
  </r>
  <r>
    <s v="D12-S04"/>
    <s v="D12"/>
    <x v="9"/>
    <s v="S04"/>
    <x v="63"/>
  </r>
  <r>
    <s v="D12-S05"/>
    <s v="D12"/>
    <x v="9"/>
    <s v="S05"/>
    <x v="64"/>
  </r>
  <r>
    <s v="D12-S06"/>
    <s v="D12"/>
    <x v="9"/>
    <s v="S06"/>
    <x v="65"/>
  </r>
  <r>
    <s v="D12-S07"/>
    <s v="D12"/>
    <x v="9"/>
    <s v="S07"/>
    <x v="66"/>
  </r>
  <r>
    <s v="D14-S01"/>
    <s v="D14"/>
    <x v="10"/>
    <s v="S01"/>
    <x v="67"/>
  </r>
  <r>
    <s v="D14-S02"/>
    <s v="D14"/>
    <x v="10"/>
    <s v="S02"/>
    <x v="68"/>
  </r>
  <r>
    <s v="D14-S03"/>
    <s v="D14"/>
    <x v="10"/>
    <s v="S03"/>
    <x v="69"/>
  </r>
  <r>
    <s v="D14-S04"/>
    <s v="D14"/>
    <x v="10"/>
    <s v="S04"/>
    <x v="70"/>
  </r>
  <r>
    <s v="D14-S05"/>
    <s v="D14"/>
    <x v="10"/>
    <s v="S05"/>
    <x v="71"/>
  </r>
  <r>
    <s v="D14-S06"/>
    <s v="D14"/>
    <x v="10"/>
    <s v="S06"/>
    <x v="72"/>
  </r>
  <r>
    <s v="D14-S07"/>
    <s v="D14"/>
    <x v="10"/>
    <s v="S07"/>
    <x v="73"/>
  </r>
  <r>
    <s v="D14-S08"/>
    <s v="D14"/>
    <x v="10"/>
    <s v="S08"/>
    <x v="74"/>
  </r>
  <r>
    <s v="D14-S09"/>
    <s v="D14"/>
    <x v="10"/>
    <s v="S09"/>
    <x v="75"/>
  </r>
  <r>
    <s v="D14-S10"/>
    <s v="D14"/>
    <x v="10"/>
    <s v="S10"/>
    <x v="76"/>
  </r>
  <r>
    <s v="D14-S11"/>
    <s v="D14"/>
    <x v="10"/>
    <s v="S11"/>
    <x v="77"/>
  </r>
  <r>
    <s v="D14-S12"/>
    <s v="D14"/>
    <x v="10"/>
    <s v="S12"/>
    <x v="78"/>
  </r>
  <r>
    <s v="D14-S13"/>
    <s v="D14"/>
    <x v="10"/>
    <s v="S13"/>
    <x v="79"/>
  </r>
  <r>
    <s v="D14-S14"/>
    <s v="D14"/>
    <x v="10"/>
    <s v="S14"/>
    <x v="80"/>
  </r>
  <r>
    <s v="D14-S15"/>
    <s v="D14"/>
    <x v="10"/>
    <s v="S15"/>
    <x v="81"/>
  </r>
  <r>
    <s v="D14-S16"/>
    <s v="D14"/>
    <x v="10"/>
    <s v="S16"/>
    <x v="82"/>
  </r>
  <r>
    <s v="D14-S17"/>
    <s v="D14"/>
    <x v="10"/>
    <s v="S17"/>
    <x v="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Districts">
  <location ref="J47:K58" firstHeaderRow="1" firstDataRow="1" firstDataCol="1"/>
  <pivotFields count="8">
    <pivotField dataField="1" showAll="0"/>
    <pivotField showAll="0"/>
    <pivotField axis="axisRow" showAll="0">
      <items count="11">
        <item sd="0" x="0"/>
        <item sd="0" x="1"/>
        <item sd="0" x="2"/>
        <item sd="0" x="3"/>
        <item sd="0" x="4"/>
        <item sd="0" x="5"/>
        <item sd="0" x="6"/>
        <item sd="0" x="7"/>
        <item sd="0" x="8"/>
        <item sd="0" x="9"/>
        <item t="default"/>
      </items>
    </pivotField>
    <pivotField showAll="0"/>
    <pivotField showAll="0"/>
    <pivotField axis="axisRow" showAll="0">
      <items count="55">
        <item x="22"/>
        <item x="52"/>
        <item x="8"/>
        <item x="33"/>
        <item x="31"/>
        <item x="24"/>
        <item x="23"/>
        <item x="10"/>
        <item x="29"/>
        <item x="1"/>
        <item x="9"/>
        <item x="7"/>
        <item x="53"/>
        <item x="4"/>
        <item x="21"/>
        <item x="25"/>
        <item x="37"/>
        <item x="11"/>
        <item x="12"/>
        <item x="0"/>
        <item x="50"/>
        <item x="36"/>
        <item x="30"/>
        <item x="14"/>
        <item x="13"/>
        <item x="15"/>
        <item x="16"/>
        <item x="17"/>
        <item x="41"/>
        <item x="3"/>
        <item x="26"/>
        <item x="51"/>
        <item x="28"/>
        <item x="18"/>
        <item x="2"/>
        <item x="5"/>
        <item x="32"/>
        <item x="39"/>
        <item x="40"/>
        <item x="38"/>
        <item x="19"/>
        <item x="20"/>
        <item x="27"/>
        <item x="6"/>
        <item x="45"/>
        <item x="42"/>
        <item x="34"/>
        <item x="46"/>
        <item x="35"/>
        <item x="43"/>
        <item x="47"/>
        <item x="44"/>
        <item x="48"/>
        <item x="49"/>
        <item t="default"/>
      </items>
    </pivotField>
    <pivotField showAll="0"/>
    <pivotField showAll="0"/>
  </pivotFields>
  <rowFields count="2">
    <field x="2"/>
    <field x="5"/>
  </rowFields>
  <rowItems count="11">
    <i>
      <x/>
    </i>
    <i>
      <x v="1"/>
    </i>
    <i>
      <x v="2"/>
    </i>
    <i>
      <x v="3"/>
    </i>
    <i>
      <x v="4"/>
    </i>
    <i>
      <x v="5"/>
    </i>
    <i>
      <x v="6"/>
    </i>
    <i>
      <x v="7"/>
    </i>
    <i>
      <x v="8"/>
    </i>
    <i>
      <x v="9"/>
    </i>
    <i t="grand">
      <x/>
    </i>
  </rowItems>
  <colItems count="1">
    <i/>
  </colItems>
  <dataFields count="1">
    <dataField name="number of Parish"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8" cacheId="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rowHeaderCaption="District">
  <location ref="N23:O35" firstHeaderRow="1" firstDataRow="1" firstDataCol="1"/>
  <pivotFields count="5">
    <pivotField dataField="1" showAll="0"/>
    <pivotField showAll="0"/>
    <pivotField axis="axisRow" showAll="0">
      <items count="13">
        <item sd="0" x="0"/>
        <item sd="0" x="1"/>
        <item sd="0" x="2"/>
        <item sd="0" x="3"/>
        <item sd="0" x="4"/>
        <item sd="0" x="6"/>
        <item sd="0" x="7"/>
        <item sd="0" x="5"/>
        <item sd="0" x="8"/>
        <item sd="0" x="9"/>
        <item sd="0" x="10"/>
        <item m="1" x="11"/>
        <item t="default" sd="0"/>
      </items>
    </pivotField>
    <pivotField showAll="0"/>
    <pivotField axis="axisRow" showAll="0">
      <items count="88">
        <item x="22"/>
        <item x="63"/>
        <item x="8"/>
        <item x="35"/>
        <item m="1" x="86"/>
        <item x="25"/>
        <item x="66"/>
        <item x="57"/>
        <item m="1" x="84"/>
        <item x="23"/>
        <item x="10"/>
        <item x="31"/>
        <item x="1"/>
        <item x="9"/>
        <item x="71"/>
        <item x="61"/>
        <item x="7"/>
        <item x="65"/>
        <item x="64"/>
        <item x="4"/>
        <item x="75"/>
        <item x="21"/>
        <item x="26"/>
        <item x="39"/>
        <item x="68"/>
        <item x="11"/>
        <item x="12"/>
        <item x="0"/>
        <item x="77"/>
        <item x="74"/>
        <item x="80"/>
        <item x="59"/>
        <item x="56"/>
        <item x="38"/>
        <item x="32"/>
        <item x="82"/>
        <item x="14"/>
        <item x="13"/>
        <item x="15"/>
        <item x="28"/>
        <item x="16"/>
        <item x="69"/>
        <item x="17"/>
        <item x="73"/>
        <item x="72"/>
        <item x="83"/>
        <item x="47"/>
        <item x="81"/>
        <item x="78"/>
        <item x="79"/>
        <item x="3"/>
        <item x="58"/>
        <item x="27"/>
        <item x="62"/>
        <item x="30"/>
        <item x="18"/>
        <item x="2"/>
        <item x="67"/>
        <item x="42"/>
        <item x="5"/>
        <item x="34"/>
        <item x="70"/>
        <item x="45"/>
        <item x="60"/>
        <item x="46"/>
        <item x="40"/>
        <item x="76"/>
        <item x="43"/>
        <item x="19"/>
        <item x="20"/>
        <item x="29"/>
        <item x="44"/>
        <item x="41"/>
        <item x="6"/>
        <item x="51"/>
        <item x="48"/>
        <item x="36"/>
        <item x="52"/>
        <item x="37"/>
        <item x="49"/>
        <item x="53"/>
        <item x="50"/>
        <item x="54"/>
        <item x="55"/>
        <item m="1" x="85"/>
        <item x="24"/>
        <item x="33"/>
        <item t="default"/>
      </items>
    </pivotField>
  </pivotFields>
  <rowFields count="2">
    <field x="2"/>
    <field x="4"/>
  </rowFields>
  <rowItems count="12">
    <i>
      <x/>
    </i>
    <i>
      <x v="1"/>
    </i>
    <i>
      <x v="2"/>
    </i>
    <i>
      <x v="3"/>
    </i>
    <i>
      <x v="4"/>
    </i>
    <i>
      <x v="5"/>
    </i>
    <i>
      <x v="6"/>
    </i>
    <i>
      <x v="7"/>
    </i>
    <i>
      <x v="8"/>
    </i>
    <i>
      <x v="9"/>
    </i>
    <i>
      <x v="10"/>
    </i>
    <i t="grand">
      <x/>
    </i>
  </rowItems>
  <colItems count="1">
    <i/>
  </colItems>
  <dataFields count="1">
    <dataField name="number of seket" fld="0" subtotal="count" baseField="2" baseItem="0"/>
  </dataFields>
  <formats count="12">
    <format>
      <pivotArea collapsedLevelsAreSubtotals="1" fieldPosition="0">
        <references count="1">
          <reference field="2" count="1">
            <x v="0"/>
          </reference>
        </references>
      </pivotArea>
    </format>
    <format>
      <pivotArea collapsedLevelsAreSubtotals="1" fieldPosition="0">
        <references count="1">
          <reference field="2" count="1">
            <x v="1"/>
          </reference>
        </references>
      </pivotArea>
    </format>
    <format>
      <pivotArea collapsedLevelsAreSubtotals="1" fieldPosition="0">
        <references count="1">
          <reference field="2" count="1">
            <x v="2"/>
          </reference>
        </references>
      </pivotArea>
    </format>
    <format>
      <pivotArea collapsedLevelsAreSubtotals="1" fieldPosition="0">
        <references count="1">
          <reference field="2" count="1">
            <x v="3"/>
          </reference>
        </references>
      </pivotArea>
    </format>
    <format>
      <pivotArea collapsedLevelsAreSubtotals="1" fieldPosition="0">
        <references count="1">
          <reference field="2" count="1">
            <x v="4"/>
          </reference>
        </references>
      </pivotArea>
    </format>
    <format>
      <pivotArea collapsedLevelsAreSubtotals="1" fieldPosition="0">
        <references count="1">
          <reference field="2" count="1">
            <x v="5"/>
          </reference>
        </references>
      </pivotArea>
    </format>
    <format>
      <pivotArea collapsedLevelsAreSubtotals="1" fieldPosition="0">
        <references count="1">
          <reference field="2" count="1">
            <x v="6"/>
          </reference>
        </references>
      </pivotArea>
    </format>
    <format>
      <pivotArea collapsedLevelsAreSubtotals="1" fieldPosition="0">
        <references count="1">
          <reference field="2" count="1">
            <x v="7"/>
          </reference>
        </references>
      </pivotArea>
    </format>
    <format>
      <pivotArea collapsedLevelsAreSubtotals="1" fieldPosition="0">
        <references count="1">
          <reference field="2" count="1">
            <x v="8"/>
          </reference>
        </references>
      </pivotArea>
    </format>
    <format>
      <pivotArea collapsedLevelsAreSubtotals="1" fieldPosition="0">
        <references count="1">
          <reference field="2" count="1">
            <x v="9"/>
          </reference>
        </references>
      </pivotArea>
    </format>
    <format>
      <pivotArea collapsedLevelsAreSubtotals="1" fieldPosition="0">
        <references count="1">
          <reference field="2" count="1">
            <x v="10"/>
          </reference>
        </references>
      </pivotArea>
    </format>
    <format>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Dist/Seket/Parish">
  <location ref="F47:G58" firstHeaderRow="1" firstDataRow="1" firstDataCol="1"/>
  <pivotFields count="11">
    <pivotField dataField="1" showAll="0"/>
    <pivotField showAll="0"/>
    <pivotField axis="axisRow" showAll="0" includeNewItemsInFilter="1" countASubtotal="1">
      <items count="11">
        <item sd="0" x="0"/>
        <item sd="0" x="1"/>
        <item sd="0" x="2"/>
        <item sd="0" x="3"/>
        <item sd="0" x="4"/>
        <item sd="0" x="5"/>
        <item sd="0" x="6"/>
        <item sd="0" x="7"/>
        <item sd="0" x="8"/>
        <item sd="0" x="9"/>
        <item t="countA"/>
      </items>
    </pivotField>
    <pivotField showAll="0"/>
    <pivotField showAll="0"/>
    <pivotField axis="axisRow" showAll="0">
      <items count="55">
        <item sd="0" x="22"/>
        <item sd="0" x="52"/>
        <item x="8"/>
        <item sd="0" x="32"/>
        <item sd="0" x="24"/>
        <item sd="0" x="23"/>
        <item x="10"/>
        <item x="30"/>
        <item sd="0" x="1"/>
        <item x="9"/>
        <item sd="0" x="7"/>
        <item sd="0" x="53"/>
        <item sd="0" x="4"/>
        <item x="21"/>
        <item sd="0" x="25"/>
        <item x="37"/>
        <item x="11"/>
        <item x="12"/>
        <item sd="0" x="0"/>
        <item x="51"/>
        <item x="50"/>
        <item x="36"/>
        <item x="31"/>
        <item x="14"/>
        <item x="13"/>
        <item x="15"/>
        <item sd="0" x="27"/>
        <item x="16"/>
        <item x="17"/>
        <item x="41"/>
        <item sd="0" x="3"/>
        <item sd="0" x="26"/>
        <item x="29"/>
        <item x="18"/>
        <item sd="0" x="2"/>
        <item sd="0" x="5"/>
        <item x="33"/>
        <item x="39"/>
        <item x="40"/>
        <item x="38"/>
        <item x="19"/>
        <item x="20"/>
        <item sd="0" x="28"/>
        <item sd="0" x="6"/>
        <item x="45"/>
        <item x="42"/>
        <item x="34"/>
        <item x="46"/>
        <item x="35"/>
        <item x="43"/>
        <item x="47"/>
        <item x="44"/>
        <item x="48"/>
        <item x="49"/>
        <item t="default"/>
      </items>
    </pivotField>
    <pivotField showAll="0"/>
    <pivotField showAll="0"/>
    <pivotField axis="axisRow" showAll="0">
      <items count="288">
        <item x="247"/>
        <item x="72"/>
        <item x="19"/>
        <item x="281"/>
        <item x="168"/>
        <item x="196"/>
        <item x="58"/>
        <item x="85"/>
        <item x="161"/>
        <item x="0"/>
        <item x="272"/>
        <item x="83"/>
        <item x="104"/>
        <item x="206"/>
        <item x="143"/>
        <item x="29"/>
        <item x="164"/>
        <item x="246"/>
        <item x="118"/>
        <item x="256"/>
        <item x="160"/>
        <item x="108"/>
        <item x="261"/>
        <item x="119"/>
        <item x="45"/>
        <item x="158"/>
        <item x="78"/>
        <item x="70"/>
        <item x="53"/>
        <item x="16"/>
        <item x="6"/>
        <item x="182"/>
        <item x="114"/>
        <item x="68"/>
        <item x="155"/>
        <item x="144"/>
        <item x="165"/>
        <item x="145"/>
        <item x="239"/>
        <item x="64"/>
        <item x="62"/>
        <item x="91"/>
        <item x="191"/>
        <item x="42"/>
        <item x="134"/>
        <item x="221"/>
        <item x="63"/>
        <item x="227"/>
        <item x="54"/>
        <item x="241"/>
        <item x="223"/>
        <item x="33"/>
        <item x="51"/>
        <item x="35"/>
        <item x="15"/>
        <item x="140"/>
        <item x="249"/>
        <item x="34"/>
        <item x="18"/>
        <item x="120"/>
        <item x="254"/>
        <item x="80"/>
        <item x="41"/>
        <item x="232"/>
        <item x="154"/>
        <item x="278"/>
        <item x="4"/>
        <item x="219"/>
        <item x="258"/>
        <item x="210"/>
        <item x="150"/>
        <item x="152"/>
        <item x="5"/>
        <item x="240"/>
        <item x="215"/>
        <item x="81"/>
        <item x="207"/>
        <item x="280"/>
        <item x="27"/>
        <item x="82"/>
        <item x="257"/>
        <item x="245"/>
        <item x="69"/>
        <item x="125"/>
        <item x="28"/>
        <item x="178"/>
        <item x="121"/>
        <item x="228"/>
        <item x="124"/>
        <item x="175"/>
        <item x="109"/>
        <item x="282"/>
        <item x="14"/>
        <item x="217"/>
        <item x="212"/>
        <item x="275"/>
        <item x="220"/>
        <item x="169"/>
        <item x="236"/>
        <item x="132"/>
        <item x="48"/>
        <item x="31"/>
        <item x="36"/>
        <item x="195"/>
        <item x="117"/>
        <item x="267"/>
        <item x="88"/>
        <item x="111"/>
        <item x="190"/>
        <item x="2"/>
        <item x="57"/>
        <item x="61"/>
        <item x="129"/>
        <item x="55"/>
        <item x="193"/>
        <item x="274"/>
        <item x="84"/>
        <item x="163"/>
        <item x="116"/>
        <item x="44"/>
        <item x="23"/>
        <item x="113"/>
        <item x="237"/>
        <item x="73"/>
        <item x="22"/>
        <item x="172"/>
        <item x="222"/>
        <item x="122"/>
        <item x="12"/>
        <item x="30"/>
        <item x="32"/>
        <item x="131"/>
        <item x="255"/>
        <item x="49"/>
        <item x="183"/>
        <item x="37"/>
        <item x="213"/>
        <item x="205"/>
        <item x="148"/>
        <item x="185"/>
        <item x="204"/>
        <item x="233"/>
        <item x="174"/>
        <item x="194"/>
        <item x="170"/>
        <item x="208"/>
        <item x="115"/>
        <item x="270"/>
        <item x="156"/>
        <item x="187"/>
        <item x="180"/>
        <item x="264"/>
        <item x="65"/>
        <item x="67"/>
        <item x="159"/>
        <item x="10"/>
        <item x="253"/>
        <item x="243"/>
        <item x="149"/>
        <item x="106"/>
        <item x="173"/>
        <item x="179"/>
        <item x="107"/>
        <item x="269"/>
        <item x="203"/>
        <item x="225"/>
        <item x="147"/>
        <item x="251"/>
        <item x="110"/>
        <item x="266"/>
        <item x="186"/>
        <item x="9"/>
        <item x="231"/>
        <item x="166"/>
        <item x="248"/>
        <item x="52"/>
        <item x="171"/>
        <item x="135"/>
        <item x="157"/>
        <item x="202"/>
        <item x="153"/>
        <item x="47"/>
        <item x="230"/>
        <item x="199"/>
        <item x="276"/>
        <item x="99"/>
        <item x="59"/>
        <item x="285"/>
        <item x="167"/>
        <item x="92"/>
        <item x="93"/>
        <item x="3"/>
        <item x="263"/>
        <item x="181"/>
        <item x="50"/>
        <item x="142"/>
        <item x="43"/>
        <item x="133"/>
        <item x="197"/>
        <item x="141"/>
        <item x="66"/>
        <item x="162"/>
        <item x="20"/>
        <item x="259"/>
        <item x="97"/>
        <item x="198"/>
        <item x="128"/>
        <item x="189"/>
        <item x="151"/>
        <item x="38"/>
        <item x="103"/>
        <item x="283"/>
        <item x="226"/>
        <item x="101"/>
        <item x="138"/>
        <item x="250"/>
        <item x="96"/>
        <item x="127"/>
        <item x="286"/>
        <item x="77"/>
        <item x="75"/>
        <item x="273"/>
        <item x="95"/>
        <item x="136"/>
        <item x="100"/>
        <item x="98"/>
        <item x="102"/>
        <item x="94"/>
        <item x="89"/>
        <item x="139"/>
        <item x="252"/>
        <item x="200"/>
        <item x="277"/>
        <item x="86"/>
        <item x="60"/>
        <item x="7"/>
        <item x="1"/>
        <item x="279"/>
        <item x="224"/>
        <item x="218"/>
        <item x="176"/>
        <item x="39"/>
        <item x="211"/>
        <item x="130"/>
        <item x="209"/>
        <item x="262"/>
        <item x="244"/>
        <item x="201"/>
        <item x="214"/>
        <item x="192"/>
        <item x="216"/>
        <item x="238"/>
        <item x="112"/>
        <item x="146"/>
        <item x="105"/>
        <item x="271"/>
        <item x="87"/>
        <item x="235"/>
        <item x="24"/>
        <item x="71"/>
        <item x="123"/>
        <item x="25"/>
        <item x="137"/>
        <item x="126"/>
        <item x="265"/>
        <item x="56"/>
        <item x="21"/>
        <item x="40"/>
        <item x="184"/>
        <item x="177"/>
        <item x="229"/>
        <item x="74"/>
        <item x="260"/>
        <item x="76"/>
        <item x="234"/>
        <item x="11"/>
        <item x="79"/>
        <item x="242"/>
        <item x="284"/>
        <item x="268"/>
        <item x="188"/>
        <item x="8"/>
        <item x="46"/>
        <item x="26"/>
        <item x="13"/>
        <item x="17"/>
        <item x="90"/>
        <item t="default"/>
      </items>
    </pivotField>
    <pivotField showAll="0"/>
    <pivotField showAll="0"/>
  </pivotFields>
  <rowFields count="3">
    <field x="2"/>
    <field x="5"/>
    <field x="8"/>
  </rowFields>
  <rowItems count="11">
    <i>
      <x/>
    </i>
    <i>
      <x v="1"/>
    </i>
    <i>
      <x v="2"/>
    </i>
    <i>
      <x v="3"/>
    </i>
    <i>
      <x v="4"/>
    </i>
    <i>
      <x v="5"/>
    </i>
    <i>
      <x v="6"/>
    </i>
    <i>
      <x v="7"/>
    </i>
    <i>
      <x v="8"/>
    </i>
    <i>
      <x v="9"/>
    </i>
    <i t="grand">
      <x/>
    </i>
  </rowItems>
  <colItems count="1">
    <i/>
  </colItems>
  <dataFields count="1">
    <dataField name="number of cong" fld="0" subtotal="count" baseField="2" baseItem="0"/>
  </dataFields>
  <formats count="8">
    <format>
      <pivotArea type="all" dataOnly="0" outline="0" fieldPosition="0"/>
    </format>
    <format>
      <pivotArea outline="0" collapsedLevelsAreSubtotals="1" fieldPosition="0"/>
    </format>
    <format>
      <pivotArea field="2" type="button" dataOnly="0" labelOnly="1" outline="0" axis="axisRow" fieldPosition="0"/>
    </format>
    <format>
      <pivotArea dataOnly="0" labelOnly="1" outline="0" axis="axisValues" fieldPosition="0"/>
    </format>
    <format>
      <pivotArea dataOnly="0" labelOnly="1" fieldPosition="0">
        <references count="1">
          <reference field="2" count="0"/>
        </references>
      </pivotArea>
    </format>
    <format>
      <pivotArea dataOnly="0" labelOnly="1" grandRow="1" outline="0" fieldPosition="0"/>
    </format>
    <format>
      <pivotArea field="2" type="button" dataOnly="0" labelOnly="1" outline="0" axis="axisRow" fieldPosition="0"/>
    </format>
    <format>
      <pivotArea dataOnly="0" labelOnly="1" outline="0" axis="axisValues" fieldPosition="0"/>
    </format>
  </formats>
  <pivotTableStyleInfo name="PivotStyleLight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blDistrict" displayName="tblDistrict" ref="F4:G21">
  <autoFilter ref="F4:G21"/>
  <tableColumns count="2">
    <tableColumn id="1" name="DistCode" dataDxfId="25"/>
    <tableColumn id="2" name="Dist Name" dataDxfId="24"/>
  </tableColumns>
  <tableStyleInfo name="TableStyleMedium27" showFirstColumn="0" showLastColumn="0" showRowStripes="1" showColumnStripes="0"/>
</table>
</file>

<file path=xl/tables/table2.xml><?xml version="1.0" encoding="utf-8"?>
<table xmlns="http://schemas.openxmlformats.org/spreadsheetml/2006/main" id="2" name="tblSeket" displayName="tblSeket" ref="F4:J88">
  <autoFilter ref="F4:J88"/>
  <sortState ref="G4:I19">
    <sortCondition ref="G3:G20"/>
  </sortState>
  <tableColumns count="5">
    <tableColumn id="1" name="SeketCode" dataDxfId="23"/>
    <tableColumn id="2" name="DistCode" dataDxfId="22"/>
    <tableColumn id="3" name="distName" dataDxfId="21">
      <calculatedColumnFormula>VLOOKUP(tblSeket[[#This Row],[DistCode]],tblDistrict[#All],2,FALSE)</calculatedColumnFormula>
    </tableColumn>
    <tableColumn id="4" name="scode" dataDxfId="20"/>
    <tableColumn id="5" name="SeketName" dataDxfId="19"/>
  </tableColumns>
  <tableStyleInfo name="TableStyleMedium28" showFirstColumn="0" showLastColumn="0" showRowStripes="1" showColumnStripes="0"/>
</table>
</file>

<file path=xl/tables/table3.xml><?xml version="1.0" encoding="utf-8"?>
<table xmlns="http://schemas.openxmlformats.org/spreadsheetml/2006/main" id="3" name="tblParish" displayName="tblParish" ref="F4:M359">
  <autoFilter ref="F4:M359"/>
  <tableColumns count="8">
    <tableColumn id="1" name="parishCode" dataDxfId="18"/>
    <tableColumn id="2" name="DistCode" dataDxfId="17"/>
    <tableColumn id="3" name="disName" dataDxfId="16"/>
    <tableColumn id="4" name="sCode" dataDxfId="15"/>
    <tableColumn id="5" name="seketCode" dataDxfId="14"/>
    <tableColumn id="6" name="seketName" dataDxfId="13"/>
    <tableColumn id="7" name="pCode" dataDxfId="12"/>
    <tableColumn id="8" name="Paris Name" dataDxfId="11"/>
  </tableColumns>
  <tableStyleInfo name="TableStyleLight19" showFirstColumn="0" showLastColumn="0" showRowStripes="1" showColumnStripes="0"/>
</table>
</file>

<file path=xl/tables/table4.xml><?xml version="1.0" encoding="utf-8"?>
<table xmlns="http://schemas.openxmlformats.org/spreadsheetml/2006/main" id="4" name="tblCong" displayName="tblCong" ref="F4:P1399">
  <autoFilter ref="F4:P1399"/>
  <tableColumns count="11">
    <tableColumn id="1" name="congCode" dataDxfId="10"/>
    <tableColumn id="2" name="distCode" dataDxfId="9"/>
    <tableColumn id="3" name="distName" dataDxfId="8">
      <calculatedColumnFormula>VLOOKUP(tblCong[[#This Row],[distCode]],tblDistrict[#All],2)</calculatedColumnFormula>
    </tableColumn>
    <tableColumn id="4" name="sCode" dataDxfId="7"/>
    <tableColumn id="5" name="seketCode" dataDxfId="6"/>
    <tableColumn id="6" name="seketName" dataDxfId="5">
      <calculatedColumnFormula>VLOOKUP(tblCong[[#This Row],[seketCode]],tblSeket[#All],5,FALSE)</calculatedColumnFormula>
    </tableColumn>
    <tableColumn id="7" name="pCode" dataDxfId="4"/>
    <tableColumn id="8" name="parishCode" dataDxfId="3"/>
    <tableColumn id="9" name="Paris Name" dataDxfId="2"/>
    <tableColumn id="10" name="kCode" dataDxfId="1"/>
    <tableColumn id="11" name="congName" dataDxfId="0"/>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0"/>
  </sheetPr>
  <dimension ref="A1:W109"/>
  <sheetViews>
    <sheetView topLeftCell="A26" workbookViewId="0">
      <selection activeCell="B12" sqref="B12:C13"/>
    </sheetView>
  </sheetViews>
  <sheetFormatPr defaultColWidth="9.1796875" defaultRowHeight="14.5" x14ac:dyDescent="0.35"/>
  <cols>
    <col min="1" max="1" width="3.1796875" style="1" customWidth="1"/>
    <col min="2" max="2" width="11.1796875" style="1" customWidth="1"/>
    <col min="3" max="3" width="12.26953125" style="1" customWidth="1"/>
    <col min="4" max="4" width="4.1796875" style="2" customWidth="1"/>
    <col min="5" max="5" width="9.1796875" style="1"/>
    <col min="6" max="6" width="18" style="1" bestFit="1" customWidth="1"/>
    <col min="7" max="7" width="14.54296875" style="1" bestFit="1" customWidth="1"/>
    <col min="8" max="8" width="12.54296875" style="1" customWidth="1"/>
    <col min="9" max="9" width="10.1796875" style="1" customWidth="1"/>
    <col min="10" max="10" width="11" style="1" bestFit="1" customWidth="1"/>
    <col min="11" max="11" width="15.7265625" style="1" bestFit="1" customWidth="1"/>
    <col min="12" max="12" width="10.1796875" style="1" customWidth="1"/>
    <col min="13" max="13" width="9.1796875" style="1"/>
    <col min="14" max="14" width="10.7265625" style="1" customWidth="1"/>
    <col min="15" max="15" width="14.7265625" style="1" customWidth="1"/>
    <col min="16" max="16384" width="9.1796875" style="1"/>
  </cols>
  <sheetData>
    <row r="1" spans="1:23" x14ac:dyDescent="0.35">
      <c r="D1" s="1"/>
    </row>
    <row r="2" spans="1:23" ht="28.5" x14ac:dyDescent="0.65">
      <c r="B2" s="3"/>
      <c r="C2" s="4"/>
      <c r="D2" s="1"/>
      <c r="E2" s="5" t="s">
        <v>0</v>
      </c>
    </row>
    <row r="3" spans="1:23" s="6" customFormat="1" x14ac:dyDescent="0.35">
      <c r="A3" s="1"/>
      <c r="B3" s="7"/>
      <c r="C3" s="8"/>
      <c r="D3" s="1"/>
    </row>
    <row r="4" spans="1:23" x14ac:dyDescent="0.35">
      <c r="B4" s="7"/>
      <c r="C4" s="8"/>
    </row>
    <row r="5" spans="1:23" x14ac:dyDescent="0.35">
      <c r="B5" s="7"/>
      <c r="C5" s="8"/>
      <c r="F5" s="1" t="s">
        <v>1</v>
      </c>
    </row>
    <row r="6" spans="1:23" x14ac:dyDescent="0.35">
      <c r="A6" s="9"/>
      <c r="B6" s="10"/>
      <c r="C6" s="11"/>
      <c r="D6" s="12"/>
      <c r="F6" s="1" t="s">
        <v>2</v>
      </c>
    </row>
    <row r="7" spans="1:23" x14ac:dyDescent="0.35">
      <c r="B7" s="7"/>
      <c r="C7" s="8"/>
    </row>
    <row r="8" spans="1:23" ht="15.5" x14ac:dyDescent="0.35">
      <c r="B8" s="51" t="s">
        <v>3</v>
      </c>
      <c r="C8" s="52"/>
      <c r="F8" s="1" t="s">
        <v>4</v>
      </c>
    </row>
    <row r="9" spans="1:23" ht="15" customHeight="1" x14ac:dyDescent="0.35">
      <c r="B9" s="53" t="s">
        <v>5</v>
      </c>
      <c r="C9" s="54"/>
      <c r="F9" s="13" t="s">
        <v>6</v>
      </c>
      <c r="G9" s="14" t="s">
        <v>7</v>
      </c>
      <c r="H9" s="55" t="s">
        <v>8</v>
      </c>
      <c r="I9" s="55"/>
      <c r="J9" s="55"/>
      <c r="K9" s="55"/>
      <c r="L9" s="55"/>
      <c r="M9" s="55"/>
      <c r="N9" s="55"/>
      <c r="O9" s="55"/>
      <c r="P9" s="55"/>
      <c r="Q9" s="55"/>
      <c r="R9" s="55"/>
      <c r="S9" s="55"/>
      <c r="T9" s="55"/>
      <c r="U9" s="55"/>
      <c r="V9" s="55"/>
      <c r="W9" s="55"/>
    </row>
    <row r="10" spans="1:23" x14ac:dyDescent="0.35">
      <c r="B10" s="15"/>
      <c r="C10" s="16"/>
      <c r="F10" s="17" t="s">
        <v>9</v>
      </c>
      <c r="G10" s="18" t="s">
        <v>10</v>
      </c>
      <c r="H10" s="56" t="s">
        <v>11</v>
      </c>
      <c r="I10" s="56"/>
      <c r="J10" s="56"/>
      <c r="K10" s="56"/>
      <c r="L10" s="56"/>
      <c r="M10" s="56"/>
      <c r="N10" s="56"/>
      <c r="O10" s="56"/>
      <c r="P10" s="56"/>
      <c r="Q10" s="56"/>
      <c r="R10" s="56"/>
      <c r="S10" s="56"/>
      <c r="T10" s="56"/>
      <c r="U10" s="56"/>
      <c r="V10" s="56"/>
      <c r="W10" s="56"/>
    </row>
    <row r="11" spans="1:23" x14ac:dyDescent="0.35">
      <c r="F11" s="17"/>
      <c r="G11" s="18"/>
      <c r="H11" s="57" t="s">
        <v>12</v>
      </c>
      <c r="I11" s="58"/>
      <c r="J11" s="58"/>
      <c r="K11" s="58"/>
      <c r="L11" s="58"/>
      <c r="M11" s="58"/>
      <c r="N11" s="58"/>
      <c r="O11" s="58"/>
      <c r="P11" s="58"/>
      <c r="Q11" s="58"/>
      <c r="R11" s="58"/>
      <c r="S11" s="58"/>
      <c r="T11" s="58"/>
      <c r="U11" s="58"/>
      <c r="V11" s="58"/>
      <c r="W11" s="59"/>
    </row>
    <row r="12" spans="1:23" ht="15" customHeight="1" x14ac:dyDescent="0.35">
      <c r="B12" s="70" t="s">
        <v>13</v>
      </c>
      <c r="C12" s="71"/>
      <c r="F12" s="19" t="s">
        <v>14</v>
      </c>
      <c r="G12" s="20" t="s">
        <v>15</v>
      </c>
      <c r="H12" s="74" t="s">
        <v>16</v>
      </c>
      <c r="I12" s="74"/>
      <c r="J12" s="74"/>
      <c r="K12" s="74"/>
      <c r="L12" s="74"/>
      <c r="M12" s="74"/>
      <c r="N12" s="74"/>
      <c r="O12" s="74"/>
      <c r="P12" s="74"/>
      <c r="Q12" s="74"/>
      <c r="R12" s="74"/>
      <c r="S12" s="74"/>
      <c r="T12" s="74"/>
      <c r="U12" s="74"/>
      <c r="V12" s="74"/>
      <c r="W12" s="74"/>
    </row>
    <row r="13" spans="1:23" ht="15" customHeight="1" x14ac:dyDescent="0.35">
      <c r="B13" s="72"/>
      <c r="C13" s="73"/>
      <c r="F13" s="19"/>
      <c r="G13" s="20"/>
      <c r="H13" s="75" t="s">
        <v>17</v>
      </c>
      <c r="I13" s="76"/>
      <c r="J13" s="76"/>
      <c r="K13" s="76"/>
      <c r="L13" s="76"/>
      <c r="M13" s="76"/>
      <c r="N13" s="76"/>
      <c r="O13" s="76"/>
      <c r="P13" s="76"/>
      <c r="Q13" s="76"/>
      <c r="R13" s="76"/>
      <c r="S13" s="76"/>
      <c r="T13" s="76"/>
      <c r="U13" s="76"/>
      <c r="V13" s="76"/>
      <c r="W13" s="77"/>
    </row>
    <row r="14" spans="1:23" x14ac:dyDescent="0.35">
      <c r="F14" s="21" t="s">
        <v>18</v>
      </c>
      <c r="G14" s="22" t="s">
        <v>19</v>
      </c>
      <c r="H14" s="78" t="s">
        <v>20</v>
      </c>
      <c r="I14" s="79"/>
      <c r="J14" s="79"/>
      <c r="K14" s="79"/>
      <c r="L14" s="79"/>
      <c r="M14" s="79"/>
      <c r="N14" s="79"/>
      <c r="O14" s="79"/>
      <c r="P14" s="79"/>
      <c r="Q14" s="79"/>
      <c r="R14" s="79"/>
      <c r="S14" s="79"/>
      <c r="T14" s="79"/>
      <c r="U14" s="79"/>
      <c r="V14" s="79"/>
      <c r="W14" s="80"/>
    </row>
    <row r="15" spans="1:23" ht="15" customHeight="1" x14ac:dyDescent="0.35">
      <c r="B15" s="81" t="s">
        <v>21</v>
      </c>
      <c r="C15" s="82"/>
      <c r="F15" s="22"/>
      <c r="G15" s="22"/>
      <c r="H15" s="85" t="s">
        <v>22</v>
      </c>
      <c r="I15" s="85"/>
      <c r="J15" s="85"/>
      <c r="K15" s="85"/>
      <c r="L15" s="85"/>
      <c r="M15" s="85"/>
      <c r="N15" s="85"/>
      <c r="O15" s="85"/>
      <c r="P15" s="85"/>
      <c r="Q15" s="85"/>
      <c r="R15" s="85"/>
      <c r="S15" s="85"/>
      <c r="T15" s="85"/>
      <c r="U15" s="85"/>
      <c r="V15" s="85"/>
      <c r="W15" s="85"/>
    </row>
    <row r="16" spans="1:23" ht="15" customHeight="1" x14ac:dyDescent="0.35">
      <c r="B16" s="83"/>
      <c r="C16" s="84"/>
      <c r="F16" s="23" t="s">
        <v>23</v>
      </c>
      <c r="G16" s="24"/>
      <c r="H16" s="86" t="s">
        <v>24</v>
      </c>
      <c r="I16" s="86"/>
      <c r="J16" s="86"/>
      <c r="K16" s="86"/>
      <c r="L16" s="86"/>
      <c r="M16" s="86"/>
      <c r="N16" s="86"/>
      <c r="O16" s="86"/>
      <c r="P16" s="86"/>
      <c r="Q16" s="86"/>
      <c r="R16" s="86"/>
      <c r="S16" s="86"/>
      <c r="T16" s="86"/>
      <c r="U16" s="86"/>
      <c r="V16" s="86"/>
      <c r="W16" s="86"/>
    </row>
    <row r="17" spans="2:23" x14ac:dyDescent="0.35">
      <c r="F17" s="24"/>
      <c r="G17" s="24"/>
      <c r="H17" s="60" t="s">
        <v>25</v>
      </c>
      <c r="I17" s="60"/>
      <c r="J17" s="60"/>
      <c r="K17" s="60"/>
      <c r="L17" s="60"/>
      <c r="M17" s="60"/>
      <c r="N17" s="60"/>
      <c r="O17" s="60"/>
      <c r="P17" s="60"/>
      <c r="Q17" s="60"/>
      <c r="R17" s="60"/>
      <c r="S17" s="60"/>
      <c r="T17" s="60"/>
      <c r="U17" s="60"/>
      <c r="V17" s="60"/>
      <c r="W17" s="60"/>
    </row>
    <row r="18" spans="2:23" ht="15" customHeight="1" x14ac:dyDescent="0.35">
      <c r="B18" s="61" t="s">
        <v>26</v>
      </c>
      <c r="C18" s="62"/>
    </row>
    <row r="19" spans="2:23" ht="15" customHeight="1" x14ac:dyDescent="0.35">
      <c r="B19" s="63"/>
      <c r="C19" s="64"/>
      <c r="F19" s="25" t="s">
        <v>27</v>
      </c>
    </row>
    <row r="20" spans="2:23" x14ac:dyDescent="0.35">
      <c r="F20" s="1" t="s">
        <v>28</v>
      </c>
    </row>
    <row r="21" spans="2:23" ht="15" customHeight="1" x14ac:dyDescent="0.35">
      <c r="B21" s="65" t="s">
        <v>29</v>
      </c>
      <c r="C21" s="66"/>
    </row>
    <row r="22" spans="2:23" ht="15" customHeight="1" x14ac:dyDescent="0.35">
      <c r="B22" s="67"/>
      <c r="C22" s="68"/>
      <c r="F22" s="25" t="s">
        <v>30</v>
      </c>
      <c r="I22" s="25" t="s">
        <v>31</v>
      </c>
      <c r="N22" s="25" t="s">
        <v>32</v>
      </c>
    </row>
    <row r="23" spans="2:23" x14ac:dyDescent="0.35">
      <c r="F23" s="14" t="s">
        <v>33</v>
      </c>
      <c r="G23" s="14">
        <f>ROWS(tblDistrict[])</f>
        <v>17</v>
      </c>
      <c r="I23" s="13" t="s">
        <v>13</v>
      </c>
      <c r="J23" s="17" t="s">
        <v>34</v>
      </c>
      <c r="K23" s="19" t="s">
        <v>35</v>
      </c>
      <c r="L23" s="21" t="s">
        <v>36</v>
      </c>
      <c r="N23" s="49" t="s">
        <v>13</v>
      </c>
      <c r="O23" t="s">
        <v>37</v>
      </c>
    </row>
    <row r="24" spans="2:23" x14ac:dyDescent="0.35">
      <c r="B24" s="69"/>
      <c r="C24" s="69"/>
      <c r="F24" s="18" t="s">
        <v>38</v>
      </c>
      <c r="G24" s="18">
        <f>ROWS(tblSeket[])</f>
        <v>84</v>
      </c>
      <c r="I24" s="14" t="s">
        <v>39</v>
      </c>
      <c r="J24" s="18">
        <f>COUNTIFS(tblSeket[distName],I24)</f>
        <v>8</v>
      </c>
      <c r="K24" s="20">
        <f>COUNTIFS(tblParish[disName],I24)</f>
        <v>59</v>
      </c>
      <c r="L24" s="22">
        <f>COUNTIFS(tblCong[distName],I24)</f>
        <v>283</v>
      </c>
      <c r="N24" s="27" t="s">
        <v>39</v>
      </c>
      <c r="O24" s="50">
        <v>8</v>
      </c>
    </row>
    <row r="25" spans="2:23" x14ac:dyDescent="0.35">
      <c r="B25" s="69"/>
      <c r="C25" s="69"/>
      <c r="F25" s="20" t="s">
        <v>40</v>
      </c>
      <c r="G25" s="20">
        <f>ROWS(tblParish[])</f>
        <v>355</v>
      </c>
      <c r="I25" s="14" t="s">
        <v>41</v>
      </c>
      <c r="J25" s="18">
        <f>COUNTIFS(tblSeket[distName],I25)</f>
        <v>14</v>
      </c>
      <c r="K25" s="20">
        <f>COUNTIFS(tblParish[disName],I25)</f>
        <v>116</v>
      </c>
      <c r="L25" s="22">
        <f>COUNTIFS(tblCong[distName],I25)</f>
        <v>542</v>
      </c>
      <c r="N25" s="27" t="s">
        <v>41</v>
      </c>
      <c r="O25" s="50">
        <v>14</v>
      </c>
    </row>
    <row r="26" spans="2:23" x14ac:dyDescent="0.35">
      <c r="F26" s="22" t="s">
        <v>42</v>
      </c>
      <c r="G26" s="22">
        <f>ROWS(tblCong[])</f>
        <v>1395</v>
      </c>
      <c r="I26" s="14" t="s">
        <v>43</v>
      </c>
      <c r="J26" s="18">
        <f>COUNTIFS(tblSeket[distName],I26)</f>
        <v>8</v>
      </c>
      <c r="K26" s="20">
        <f>COUNTIFS(tblParish[disName],I26)</f>
        <v>33</v>
      </c>
      <c r="L26" s="22">
        <f>COUNTIFS(tblCong[distName],I26)</f>
        <v>70</v>
      </c>
      <c r="N26" s="27" t="s">
        <v>43</v>
      </c>
      <c r="O26" s="50">
        <v>8</v>
      </c>
    </row>
    <row r="27" spans="2:23" x14ac:dyDescent="0.35">
      <c r="I27" s="14" t="s">
        <v>44</v>
      </c>
      <c r="J27" s="18">
        <f>COUNTIFS(tblSeket[distName],I27)</f>
        <v>6</v>
      </c>
      <c r="K27" s="20">
        <f>COUNTIFS(tblParish[disName],I27)</f>
        <v>31</v>
      </c>
      <c r="L27" s="22">
        <f>COUNTIFS(tblCong[distName],I27)</f>
        <v>71</v>
      </c>
      <c r="N27" s="27" t="s">
        <v>44</v>
      </c>
      <c r="O27" s="50">
        <v>6</v>
      </c>
    </row>
    <row r="28" spans="2:23" x14ac:dyDescent="0.35">
      <c r="I28" s="14" t="s">
        <v>45</v>
      </c>
      <c r="J28" s="18">
        <f>COUNTIFS(tblSeket[distName],I28)</f>
        <v>2</v>
      </c>
      <c r="K28" s="20">
        <f>COUNTIFS(tblParish[disName],I28)</f>
        <v>15</v>
      </c>
      <c r="L28" s="22">
        <f>COUNTIFS(tblCong[distName],I28)</f>
        <v>35</v>
      </c>
      <c r="N28" s="27" t="s">
        <v>45</v>
      </c>
      <c r="O28" s="50">
        <v>2</v>
      </c>
    </row>
    <row r="29" spans="2:23" x14ac:dyDescent="0.35">
      <c r="I29" s="14" t="s">
        <v>46</v>
      </c>
      <c r="J29" s="18">
        <f>COUNTIFS(tblSeket[distName],I29)</f>
        <v>10</v>
      </c>
      <c r="K29" s="20">
        <v>57</v>
      </c>
      <c r="L29" s="22">
        <v>253</v>
      </c>
      <c r="N29" s="27" t="s">
        <v>47</v>
      </c>
      <c r="O29" s="50">
        <v>3</v>
      </c>
    </row>
    <row r="30" spans="2:23" x14ac:dyDescent="0.35">
      <c r="I30" s="14" t="s">
        <v>47</v>
      </c>
      <c r="J30" s="18">
        <f>COUNTIFS(tblSeket[distName],I30)</f>
        <v>3</v>
      </c>
      <c r="K30" s="20">
        <f>COUNTIFS(tblParish[disName],I30)</f>
        <v>18</v>
      </c>
      <c r="L30" s="22">
        <f>COUNTIFS(tblCong[distName],I30)</f>
        <v>96</v>
      </c>
      <c r="N30" s="27" t="s">
        <v>48</v>
      </c>
      <c r="O30" s="50">
        <v>5</v>
      </c>
    </row>
    <row r="31" spans="2:23" x14ac:dyDescent="0.35">
      <c r="I31" s="14" t="s">
        <v>48</v>
      </c>
      <c r="J31" s="18">
        <f>COUNTIFS(tblSeket[distName],I31)</f>
        <v>5</v>
      </c>
      <c r="K31" s="20">
        <f>COUNTIFS(tblParish[disName],I31)</f>
        <v>19</v>
      </c>
      <c r="L31" s="22">
        <f>COUNTIFS(tblCong[distName],I31)</f>
        <v>82</v>
      </c>
      <c r="N31" s="27" t="s">
        <v>46</v>
      </c>
      <c r="O31" s="50">
        <v>10</v>
      </c>
    </row>
    <row r="32" spans="2:23" x14ac:dyDescent="0.35">
      <c r="I32" s="14" t="s">
        <v>49</v>
      </c>
      <c r="J32" s="18">
        <f>COUNTIFS(tblSeket[distName],I32)</f>
        <v>4</v>
      </c>
      <c r="K32" s="20">
        <f>COUNTIFS(tblParish[disName],I32)</f>
        <v>5</v>
      </c>
      <c r="L32" s="22">
        <f>COUNTIFS(tblCong[distName],I32)</f>
        <v>9</v>
      </c>
      <c r="N32" s="27" t="s">
        <v>49</v>
      </c>
      <c r="O32" s="50">
        <v>4</v>
      </c>
    </row>
    <row r="33" spans="6:15" x14ac:dyDescent="0.35">
      <c r="I33" s="14" t="s">
        <v>50</v>
      </c>
      <c r="J33" s="18">
        <v>4</v>
      </c>
      <c r="K33" s="26" t="s">
        <v>51</v>
      </c>
      <c r="L33" s="22">
        <v>30</v>
      </c>
      <c r="N33" s="27" t="s">
        <v>52</v>
      </c>
      <c r="O33" s="50">
        <v>7</v>
      </c>
    </row>
    <row r="34" spans="6:15" x14ac:dyDescent="0.35">
      <c r="I34" s="14" t="s">
        <v>53</v>
      </c>
      <c r="J34" s="18">
        <v>7</v>
      </c>
      <c r="K34" s="20">
        <v>25</v>
      </c>
      <c r="L34" s="22">
        <v>104</v>
      </c>
      <c r="N34" s="27" t="s">
        <v>54</v>
      </c>
      <c r="O34" s="50">
        <v>17</v>
      </c>
    </row>
    <row r="35" spans="6:15" x14ac:dyDescent="0.35">
      <c r="I35" s="14" t="s">
        <v>52</v>
      </c>
      <c r="J35" s="18">
        <f>COUNTIFS(tblSeket[distName],I35)</f>
        <v>7</v>
      </c>
      <c r="K35" s="20">
        <f>COUNTIFS(tblParish[disName],I35)</f>
        <v>18</v>
      </c>
      <c r="L35" s="22">
        <f>COUNTIFS(tblCong[distName],I35)</f>
        <v>36</v>
      </c>
      <c r="N35" s="27" t="s">
        <v>55</v>
      </c>
      <c r="O35" s="50">
        <v>84</v>
      </c>
    </row>
    <row r="36" spans="6:15" x14ac:dyDescent="0.35">
      <c r="I36" s="14" t="s">
        <v>56</v>
      </c>
      <c r="J36" s="18">
        <v>0</v>
      </c>
      <c r="K36" s="20">
        <v>0</v>
      </c>
      <c r="L36" s="22">
        <v>0</v>
      </c>
      <c r="N36"/>
      <c r="O36"/>
    </row>
    <row r="37" spans="6:15" x14ac:dyDescent="0.35">
      <c r="I37" s="14" t="s">
        <v>54</v>
      </c>
      <c r="J37" s="18">
        <f>COUNTIFS(tblSeket[distName],I37)</f>
        <v>17</v>
      </c>
      <c r="K37" s="20">
        <v>16</v>
      </c>
      <c r="L37" s="22">
        <v>250</v>
      </c>
      <c r="N37"/>
      <c r="O37"/>
    </row>
    <row r="38" spans="6:15" x14ac:dyDescent="0.35">
      <c r="I38" s="14" t="s">
        <v>57</v>
      </c>
      <c r="J38" s="18">
        <v>8</v>
      </c>
      <c r="K38" s="20">
        <v>52</v>
      </c>
      <c r="L38" s="22">
        <v>205</v>
      </c>
      <c r="N38"/>
      <c r="O38"/>
    </row>
    <row r="39" spans="6:15" x14ac:dyDescent="0.35">
      <c r="I39" s="14" t="s">
        <v>58</v>
      </c>
      <c r="J39" s="18">
        <v>13</v>
      </c>
      <c r="K39" s="20">
        <v>50</v>
      </c>
      <c r="L39" s="22">
        <v>242</v>
      </c>
      <c r="N39"/>
      <c r="O39"/>
    </row>
    <row r="40" spans="6:15" x14ac:dyDescent="0.35">
      <c r="I40" s="14" t="s">
        <v>59</v>
      </c>
      <c r="J40" s="18">
        <f>COUNTIFS(tblSeket[distName],I40)</f>
        <v>0</v>
      </c>
      <c r="K40" s="20">
        <f>COUNTIFS(tblParish[disName],I40)</f>
        <v>0</v>
      </c>
      <c r="L40" s="22">
        <f>COUNTIFS(tblCong[distName],I40)</f>
        <v>0</v>
      </c>
      <c r="N40"/>
      <c r="O40"/>
    </row>
    <row r="41" spans="6:15" x14ac:dyDescent="0.35">
      <c r="N41"/>
      <c r="O41"/>
    </row>
    <row r="42" spans="6:15" x14ac:dyDescent="0.35">
      <c r="I42" s="28" t="s">
        <v>60</v>
      </c>
      <c r="J42" s="28">
        <f>SUM(J24:J40)</f>
        <v>116</v>
      </c>
      <c r="K42" s="28">
        <f t="shared" ref="K42:L42" si="0">SUM(K24:K40)</f>
        <v>514</v>
      </c>
      <c r="L42" s="28">
        <f t="shared" si="0"/>
        <v>2308</v>
      </c>
      <c r="N42"/>
      <c r="O42"/>
    </row>
    <row r="43" spans="6:15" x14ac:dyDescent="0.35">
      <c r="N43"/>
      <c r="O43"/>
    </row>
    <row r="44" spans="6:15" x14ac:dyDescent="0.35">
      <c r="N44"/>
      <c r="O44"/>
    </row>
    <row r="45" spans="6:15" x14ac:dyDescent="0.35">
      <c r="F45" s="25" t="s">
        <v>61</v>
      </c>
      <c r="G45" s="25"/>
      <c r="H45" s="25"/>
      <c r="J45" s="25" t="s">
        <v>62</v>
      </c>
      <c r="N45"/>
      <c r="O45"/>
    </row>
    <row r="46" spans="6:15" x14ac:dyDescent="0.35">
      <c r="F46" s="25"/>
      <c r="G46" s="25"/>
      <c r="H46" s="25"/>
      <c r="N46"/>
      <c r="O46"/>
    </row>
    <row r="47" spans="6:15" x14ac:dyDescent="0.35">
      <c r="F47" t="s">
        <v>63</v>
      </c>
      <c r="G47" t="s">
        <v>64</v>
      </c>
      <c r="J47" t="s">
        <v>65</v>
      </c>
      <c r="K47" t="s">
        <v>66</v>
      </c>
      <c r="N47"/>
      <c r="O47"/>
    </row>
    <row r="48" spans="6:15" x14ac:dyDescent="0.35">
      <c r="F48" s="27" t="s">
        <v>39</v>
      </c>
      <c r="G48">
        <v>283</v>
      </c>
      <c r="J48" s="27" t="s">
        <v>39</v>
      </c>
      <c r="K48">
        <v>59</v>
      </c>
      <c r="N48"/>
      <c r="O48"/>
    </row>
    <row r="49" spans="6:15" x14ac:dyDescent="0.35">
      <c r="F49" s="27" t="s">
        <v>41</v>
      </c>
      <c r="G49">
        <v>541</v>
      </c>
      <c r="J49" s="27" t="s">
        <v>41</v>
      </c>
      <c r="K49">
        <v>116</v>
      </c>
      <c r="N49"/>
      <c r="O49"/>
    </row>
    <row r="50" spans="6:15" x14ac:dyDescent="0.35">
      <c r="F50" s="27" t="s">
        <v>43</v>
      </c>
      <c r="G50">
        <v>70</v>
      </c>
      <c r="J50" s="27" t="s">
        <v>43</v>
      </c>
      <c r="K50" s="29">
        <v>33</v>
      </c>
      <c r="N50"/>
      <c r="O50"/>
    </row>
    <row r="51" spans="6:15" x14ac:dyDescent="0.35">
      <c r="F51" s="27" t="s">
        <v>44</v>
      </c>
      <c r="G51">
        <v>71</v>
      </c>
      <c r="J51" s="27" t="s">
        <v>44</v>
      </c>
      <c r="K51">
        <v>31</v>
      </c>
      <c r="N51"/>
      <c r="O51"/>
    </row>
    <row r="52" spans="6:15" x14ac:dyDescent="0.35">
      <c r="F52" s="27" t="s">
        <v>45</v>
      </c>
      <c r="G52">
        <v>35</v>
      </c>
      <c r="J52" s="27" t="s">
        <v>45</v>
      </c>
      <c r="K52">
        <v>15</v>
      </c>
      <c r="N52"/>
      <c r="O52"/>
    </row>
    <row r="53" spans="6:15" x14ac:dyDescent="0.35">
      <c r="F53" s="27" t="s">
        <v>46</v>
      </c>
      <c r="G53">
        <v>171</v>
      </c>
      <c r="J53" s="27" t="s">
        <v>46</v>
      </c>
      <c r="K53">
        <v>40</v>
      </c>
      <c r="N53"/>
      <c r="O53"/>
    </row>
    <row r="54" spans="6:15" x14ac:dyDescent="0.35">
      <c r="F54" s="27" t="s">
        <v>47</v>
      </c>
      <c r="G54">
        <v>96</v>
      </c>
      <c r="J54" s="27" t="s">
        <v>47</v>
      </c>
      <c r="K54">
        <v>18</v>
      </c>
      <c r="N54"/>
      <c r="O54"/>
    </row>
    <row r="55" spans="6:15" x14ac:dyDescent="0.35">
      <c r="F55" s="27" t="s">
        <v>48</v>
      </c>
      <c r="G55">
        <v>82</v>
      </c>
      <c r="J55" s="27" t="s">
        <v>48</v>
      </c>
      <c r="K55">
        <v>19</v>
      </c>
      <c r="N55"/>
      <c r="O55"/>
    </row>
    <row r="56" spans="6:15" x14ac:dyDescent="0.35">
      <c r="F56" s="27" t="s">
        <v>49</v>
      </c>
      <c r="G56">
        <v>9</v>
      </c>
      <c r="J56" s="27" t="s">
        <v>49</v>
      </c>
      <c r="K56">
        <v>5</v>
      </c>
      <c r="N56"/>
      <c r="O56"/>
    </row>
    <row r="57" spans="6:15" x14ac:dyDescent="0.35">
      <c r="F57" s="27" t="s">
        <v>52</v>
      </c>
      <c r="G57">
        <v>36</v>
      </c>
      <c r="J57" s="27" t="s">
        <v>52</v>
      </c>
      <c r="K57">
        <v>18</v>
      </c>
      <c r="N57"/>
      <c r="O57"/>
    </row>
    <row r="58" spans="6:15" x14ac:dyDescent="0.35">
      <c r="F58" s="27" t="s">
        <v>55</v>
      </c>
      <c r="G58">
        <v>1394</v>
      </c>
      <c r="J58" s="27" t="s">
        <v>55</v>
      </c>
      <c r="K58">
        <v>354</v>
      </c>
      <c r="N58"/>
      <c r="O58"/>
    </row>
    <row r="59" spans="6:15" x14ac:dyDescent="0.35">
      <c r="N59"/>
      <c r="O59"/>
    </row>
    <row r="60" spans="6:15" x14ac:dyDescent="0.35">
      <c r="N60"/>
      <c r="O60"/>
    </row>
    <row r="61" spans="6:15" x14ac:dyDescent="0.35">
      <c r="N61"/>
      <c r="O61"/>
    </row>
    <row r="62" spans="6:15" x14ac:dyDescent="0.35">
      <c r="N62"/>
      <c r="O62"/>
    </row>
    <row r="63" spans="6:15" x14ac:dyDescent="0.35">
      <c r="N63"/>
      <c r="O63"/>
    </row>
    <row r="64" spans="6:15" x14ac:dyDescent="0.35">
      <c r="N64"/>
      <c r="O64"/>
    </row>
    <row r="65" spans="14:15" x14ac:dyDescent="0.35">
      <c r="N65"/>
      <c r="O65"/>
    </row>
    <row r="66" spans="14:15" x14ac:dyDescent="0.35">
      <c r="N66"/>
      <c r="O66"/>
    </row>
    <row r="67" spans="14:15" x14ac:dyDescent="0.35">
      <c r="N67"/>
      <c r="O67"/>
    </row>
    <row r="68" spans="14:15" x14ac:dyDescent="0.35">
      <c r="N68"/>
      <c r="O68"/>
    </row>
    <row r="69" spans="14:15" x14ac:dyDescent="0.35">
      <c r="N69"/>
      <c r="O69"/>
    </row>
    <row r="70" spans="14:15" x14ac:dyDescent="0.35">
      <c r="N70"/>
      <c r="O70"/>
    </row>
    <row r="71" spans="14:15" x14ac:dyDescent="0.35">
      <c r="N71"/>
      <c r="O71"/>
    </row>
    <row r="72" spans="14:15" x14ac:dyDescent="0.35">
      <c r="N72"/>
      <c r="O72"/>
    </row>
    <row r="73" spans="14:15" x14ac:dyDescent="0.35">
      <c r="N73"/>
      <c r="O73"/>
    </row>
    <row r="74" spans="14:15" x14ac:dyDescent="0.35">
      <c r="N74"/>
      <c r="O74"/>
    </row>
    <row r="75" spans="14:15" x14ac:dyDescent="0.35">
      <c r="N75"/>
      <c r="O75"/>
    </row>
    <row r="76" spans="14:15" x14ac:dyDescent="0.35">
      <c r="N76"/>
      <c r="O76"/>
    </row>
    <row r="77" spans="14:15" x14ac:dyDescent="0.35">
      <c r="N77"/>
      <c r="O77"/>
    </row>
    <row r="78" spans="14:15" x14ac:dyDescent="0.35">
      <c r="N78"/>
      <c r="O78"/>
    </row>
    <row r="79" spans="14:15" x14ac:dyDescent="0.35">
      <c r="N79"/>
      <c r="O79"/>
    </row>
    <row r="80" spans="14:15" x14ac:dyDescent="0.35">
      <c r="N80"/>
      <c r="O80"/>
    </row>
    <row r="81" spans="14:15" x14ac:dyDescent="0.35">
      <c r="N81"/>
      <c r="O81"/>
    </row>
    <row r="82" spans="14:15" x14ac:dyDescent="0.35">
      <c r="N82"/>
      <c r="O82"/>
    </row>
    <row r="83" spans="14:15" x14ac:dyDescent="0.35">
      <c r="N83"/>
      <c r="O83"/>
    </row>
    <row r="84" spans="14:15" x14ac:dyDescent="0.35">
      <c r="N84"/>
      <c r="O84"/>
    </row>
    <row r="85" spans="14:15" x14ac:dyDescent="0.35">
      <c r="N85"/>
      <c r="O85"/>
    </row>
    <row r="86" spans="14:15" x14ac:dyDescent="0.35">
      <c r="N86"/>
      <c r="O86"/>
    </row>
    <row r="87" spans="14:15" x14ac:dyDescent="0.35">
      <c r="N87"/>
      <c r="O87"/>
    </row>
    <row r="88" spans="14:15" x14ac:dyDescent="0.35">
      <c r="N88"/>
      <c r="O88"/>
    </row>
    <row r="89" spans="14:15" x14ac:dyDescent="0.35">
      <c r="N89"/>
      <c r="O89"/>
    </row>
    <row r="90" spans="14:15" x14ac:dyDescent="0.35">
      <c r="N90"/>
      <c r="O90"/>
    </row>
    <row r="91" spans="14:15" x14ac:dyDescent="0.35">
      <c r="N91"/>
      <c r="O91"/>
    </row>
    <row r="92" spans="14:15" x14ac:dyDescent="0.35">
      <c r="N92"/>
      <c r="O92"/>
    </row>
    <row r="93" spans="14:15" x14ac:dyDescent="0.35">
      <c r="N93"/>
      <c r="O93"/>
    </row>
    <row r="94" spans="14:15" x14ac:dyDescent="0.35">
      <c r="N94"/>
      <c r="O94"/>
    </row>
    <row r="95" spans="14:15" x14ac:dyDescent="0.35">
      <c r="N95"/>
      <c r="O95"/>
    </row>
    <row r="96" spans="14:15" x14ac:dyDescent="0.35">
      <c r="N96"/>
      <c r="O96"/>
    </row>
    <row r="97" spans="14:15" x14ac:dyDescent="0.35">
      <c r="N97"/>
      <c r="O97"/>
    </row>
    <row r="98" spans="14:15" x14ac:dyDescent="0.35">
      <c r="N98"/>
      <c r="O98"/>
    </row>
    <row r="99" spans="14:15" x14ac:dyDescent="0.35">
      <c r="N99"/>
      <c r="O99"/>
    </row>
    <row r="100" spans="14:15" x14ac:dyDescent="0.35">
      <c r="N100"/>
      <c r="O100"/>
    </row>
    <row r="101" spans="14:15" x14ac:dyDescent="0.35">
      <c r="N101"/>
      <c r="O101"/>
    </row>
    <row r="102" spans="14:15" x14ac:dyDescent="0.35">
      <c r="N102"/>
      <c r="O102"/>
    </row>
    <row r="103" spans="14:15" x14ac:dyDescent="0.35">
      <c r="N103"/>
      <c r="O103"/>
    </row>
    <row r="104" spans="14:15" x14ac:dyDescent="0.35">
      <c r="N104"/>
      <c r="O104"/>
    </row>
    <row r="105" spans="14:15" x14ac:dyDescent="0.35">
      <c r="N105"/>
      <c r="O105"/>
    </row>
    <row r="106" spans="14:15" x14ac:dyDescent="0.35">
      <c r="N106"/>
      <c r="O106"/>
    </row>
    <row r="107" spans="14:15" x14ac:dyDescent="0.35">
      <c r="N107"/>
      <c r="O107"/>
    </row>
    <row r="108" spans="14:15" x14ac:dyDescent="0.35">
      <c r="N108"/>
      <c r="O108"/>
    </row>
    <row r="109" spans="14:15" x14ac:dyDescent="0.35">
      <c r="N109"/>
      <c r="O109"/>
    </row>
  </sheetData>
  <mergeCells count="16">
    <mergeCell ref="H17:W17"/>
    <mergeCell ref="B18:C19"/>
    <mergeCell ref="B21:C22"/>
    <mergeCell ref="B24:C25"/>
    <mergeCell ref="B12:C13"/>
    <mergeCell ref="H12:W12"/>
    <mergeCell ref="H13:W13"/>
    <mergeCell ref="H14:W14"/>
    <mergeCell ref="B15:C16"/>
    <mergeCell ref="H15:W15"/>
    <mergeCell ref="H16:W16"/>
    <mergeCell ref="B8:C8"/>
    <mergeCell ref="B9:C9"/>
    <mergeCell ref="H9:W9"/>
    <mergeCell ref="H10:W10"/>
    <mergeCell ref="H11:W11"/>
  </mergeCells>
  <hyperlinks>
    <hyperlink ref="B12:C13" location="Distrik!A1" display="District"/>
    <hyperlink ref="B15:C16" location="Seket!A1" display="Seket"/>
    <hyperlink ref="B18:C19" location="Paris!A1" display="Parish"/>
    <hyperlink ref="B21:C22" location="Kongrigesen!A1" display="Congregation"/>
  </hyperlinks>
  <pageMargins left="0.7" right="0.7" top="0.75" bottom="0.75" header="0.3" footer="0.3"/>
  <pageSetup paperSize="9"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sheetPr>
  <dimension ref="A1:G25"/>
  <sheetViews>
    <sheetView topLeftCell="A10" workbookViewId="0">
      <selection activeCell="G5" sqref="G5:G21"/>
    </sheetView>
  </sheetViews>
  <sheetFormatPr defaultColWidth="8.7265625" defaultRowHeight="14.5" x14ac:dyDescent="0.35"/>
  <cols>
    <col min="1" max="1" width="3.1796875" style="30" customWidth="1"/>
    <col min="2" max="2" width="11.1796875" style="30" customWidth="1"/>
    <col min="3" max="3" width="12.26953125" style="30" customWidth="1"/>
    <col min="4" max="4" width="4.1796875" style="30" customWidth="1"/>
    <col min="5" max="5" width="4.1796875" style="31" customWidth="1"/>
    <col min="6" max="6" width="11.26953125" style="1" customWidth="1"/>
    <col min="7" max="7" width="12.453125" style="1" bestFit="1" customWidth="1"/>
    <col min="8" max="16384" width="8.7265625" style="1"/>
  </cols>
  <sheetData>
    <row r="1" spans="1:7" s="30" customFormat="1" x14ac:dyDescent="0.35"/>
    <row r="2" spans="1:7" s="30" customFormat="1" ht="28.5" x14ac:dyDescent="0.65">
      <c r="B2" s="3"/>
      <c r="C2" s="4"/>
      <c r="E2" s="32" t="s">
        <v>67</v>
      </c>
    </row>
    <row r="3" spans="1:7" ht="18.5" x14ac:dyDescent="0.45">
      <c r="B3" s="7"/>
      <c r="C3" s="8"/>
      <c r="F3" s="33"/>
    </row>
    <row r="4" spans="1:7" x14ac:dyDescent="0.35">
      <c r="B4" s="7"/>
      <c r="C4" s="8"/>
      <c r="F4" s="34" t="s">
        <v>68</v>
      </c>
      <c r="G4" s="34" t="s">
        <v>69</v>
      </c>
    </row>
    <row r="5" spans="1:7" x14ac:dyDescent="0.35">
      <c r="B5" s="7"/>
      <c r="C5" s="8"/>
      <c r="F5" s="1" t="s">
        <v>70</v>
      </c>
      <c r="G5" s="1" t="s">
        <v>39</v>
      </c>
    </row>
    <row r="6" spans="1:7" s="9" customFormat="1" x14ac:dyDescent="0.35">
      <c r="A6" s="35"/>
      <c r="B6" s="10"/>
      <c r="C6" s="11"/>
      <c r="D6" s="35"/>
      <c r="E6" s="36"/>
      <c r="F6" s="1" t="s">
        <v>71</v>
      </c>
      <c r="G6" s="1" t="s">
        <v>41</v>
      </c>
    </row>
    <row r="7" spans="1:7" x14ac:dyDescent="0.35">
      <c r="B7" s="7"/>
      <c r="C7" s="8"/>
      <c r="F7" s="1" t="s">
        <v>72</v>
      </c>
      <c r="G7" s="1" t="s">
        <v>43</v>
      </c>
    </row>
    <row r="8" spans="1:7" ht="15.5" x14ac:dyDescent="0.35">
      <c r="B8" s="51" t="str">
        <f>Dashboard!B8</f>
        <v>District Code Records</v>
      </c>
      <c r="C8" s="52"/>
      <c r="F8" s="1" t="s">
        <v>73</v>
      </c>
      <c r="G8" s="1" t="s">
        <v>44</v>
      </c>
    </row>
    <row r="9" spans="1:7" x14ac:dyDescent="0.35">
      <c r="B9" s="53" t="str">
        <f>Dashboard!B9</f>
        <v>as of March 2023</v>
      </c>
      <c r="C9" s="54"/>
      <c r="F9" s="1" t="s">
        <v>74</v>
      </c>
      <c r="G9" s="1" t="s">
        <v>45</v>
      </c>
    </row>
    <row r="10" spans="1:7" x14ac:dyDescent="0.35">
      <c r="B10" s="15"/>
      <c r="C10" s="16"/>
      <c r="F10" s="1" t="s">
        <v>75</v>
      </c>
      <c r="G10" s="1" t="s">
        <v>46</v>
      </c>
    </row>
    <row r="11" spans="1:7" x14ac:dyDescent="0.35">
      <c r="F11" s="1" t="s">
        <v>76</v>
      </c>
      <c r="G11" s="1" t="s">
        <v>47</v>
      </c>
    </row>
    <row r="12" spans="1:7" x14ac:dyDescent="0.35">
      <c r="B12" s="91" t="s">
        <v>13</v>
      </c>
      <c r="C12" s="92"/>
      <c r="F12" s="1" t="s">
        <v>77</v>
      </c>
      <c r="G12" s="1" t="s">
        <v>48</v>
      </c>
    </row>
    <row r="13" spans="1:7" x14ac:dyDescent="0.35">
      <c r="B13" s="93"/>
      <c r="C13" s="94"/>
      <c r="F13" s="1" t="s">
        <v>78</v>
      </c>
      <c r="G13" s="1" t="s">
        <v>49</v>
      </c>
    </row>
    <row r="14" spans="1:7" x14ac:dyDescent="0.35">
      <c r="F14" s="1" t="s">
        <v>79</v>
      </c>
      <c r="G14" s="1" t="s">
        <v>50</v>
      </c>
    </row>
    <row r="15" spans="1:7" x14ac:dyDescent="0.35">
      <c r="B15" s="95" t="s">
        <v>21</v>
      </c>
      <c r="C15" s="96"/>
      <c r="F15" s="1" t="s">
        <v>80</v>
      </c>
      <c r="G15" s="1" t="s">
        <v>53</v>
      </c>
    </row>
    <row r="16" spans="1:7" x14ac:dyDescent="0.35">
      <c r="B16" s="97"/>
      <c r="C16" s="98"/>
      <c r="F16" s="1" t="s">
        <v>81</v>
      </c>
      <c r="G16" s="1" t="s">
        <v>52</v>
      </c>
    </row>
    <row r="17" spans="2:7" x14ac:dyDescent="0.35">
      <c r="F17" s="1" t="s">
        <v>82</v>
      </c>
      <c r="G17" s="1" t="s">
        <v>83</v>
      </c>
    </row>
    <row r="18" spans="2:7" x14ac:dyDescent="0.35">
      <c r="B18" s="61" t="s">
        <v>26</v>
      </c>
      <c r="C18" s="62"/>
      <c r="F18" s="1" t="s">
        <v>84</v>
      </c>
      <c r="G18" s="1" t="s">
        <v>54</v>
      </c>
    </row>
    <row r="19" spans="2:7" x14ac:dyDescent="0.35">
      <c r="B19" s="63"/>
      <c r="C19" s="64"/>
      <c r="F19" s="1" t="s">
        <v>85</v>
      </c>
      <c r="G19" s="1" t="s">
        <v>57</v>
      </c>
    </row>
    <row r="20" spans="2:7" x14ac:dyDescent="0.35">
      <c r="F20" s="1" t="s">
        <v>86</v>
      </c>
      <c r="G20" s="1" t="s">
        <v>58</v>
      </c>
    </row>
    <row r="21" spans="2:7" x14ac:dyDescent="0.35">
      <c r="B21" s="65" t="s">
        <v>29</v>
      </c>
      <c r="C21" s="66"/>
      <c r="F21" s="1" t="s">
        <v>87</v>
      </c>
      <c r="G21" s="1" t="s">
        <v>88</v>
      </c>
    </row>
    <row r="22" spans="2:7" x14ac:dyDescent="0.35">
      <c r="B22" s="67"/>
      <c r="C22" s="68"/>
    </row>
    <row r="24" spans="2:7" x14ac:dyDescent="0.35">
      <c r="B24" s="87" t="s">
        <v>27</v>
      </c>
      <c r="C24" s="88"/>
    </row>
    <row r="25" spans="2:7" x14ac:dyDescent="0.35">
      <c r="B25" s="89"/>
      <c r="C25" s="90"/>
    </row>
  </sheetData>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sheetPr>
  <dimension ref="A1:L88"/>
  <sheetViews>
    <sheetView topLeftCell="A69" workbookViewId="0">
      <selection activeCell="H5" sqref="H5:H88"/>
    </sheetView>
  </sheetViews>
  <sheetFormatPr defaultColWidth="8.7265625" defaultRowHeight="14.5" x14ac:dyDescent="0.35"/>
  <cols>
    <col min="1" max="1" width="3.1796875" style="37" customWidth="1"/>
    <col min="2" max="2" width="11.1796875" style="37" customWidth="1"/>
    <col min="3" max="3" width="12.26953125" style="37" customWidth="1"/>
    <col min="4" max="4" width="4.1796875" style="37" customWidth="1"/>
    <col min="5" max="5" width="4.1796875" style="31" customWidth="1"/>
    <col min="6" max="6" width="12.81640625" style="1" bestFit="1" customWidth="1"/>
    <col min="7" max="7" width="11.26953125" style="1" bestFit="1" customWidth="1"/>
    <col min="8" max="8" width="11.81640625" style="1" bestFit="1" customWidth="1"/>
    <col min="9" max="9" width="8.453125" style="1" bestFit="1" customWidth="1"/>
    <col min="10" max="10" width="21.1796875" style="1" bestFit="1" customWidth="1"/>
    <col min="11" max="16384" width="8.7265625" style="1"/>
  </cols>
  <sheetData>
    <row r="1" spans="1:12" s="37" customFormat="1" x14ac:dyDescent="0.35"/>
    <row r="2" spans="1:12" s="37" customFormat="1" ht="28.5" x14ac:dyDescent="0.65">
      <c r="B2" s="3"/>
      <c r="C2" s="4"/>
      <c r="E2" s="38" t="s">
        <v>89</v>
      </c>
      <c r="J2" s="39"/>
      <c r="K2" s="40"/>
      <c r="L2" s="39"/>
    </row>
    <row r="3" spans="1:12" ht="18.5" x14ac:dyDescent="0.45">
      <c r="B3" s="7"/>
      <c r="C3" s="8"/>
      <c r="F3" s="1" t="s">
        <v>90</v>
      </c>
      <c r="G3" s="33"/>
      <c r="H3" s="33"/>
      <c r="I3" s="1" t="s">
        <v>91</v>
      </c>
      <c r="J3" s="1">
        <f>SUBTOTAL(3,tblSeket[SeketCode])</f>
        <v>84</v>
      </c>
    </row>
    <row r="4" spans="1:12" x14ac:dyDescent="0.35">
      <c r="B4" s="7"/>
      <c r="C4" s="8"/>
      <c r="F4" s="34" t="s">
        <v>92</v>
      </c>
      <c r="G4" s="34" t="s">
        <v>68</v>
      </c>
      <c r="H4" s="34" t="s">
        <v>93</v>
      </c>
      <c r="I4" s="34" t="s">
        <v>94</v>
      </c>
      <c r="J4" s="34" t="s">
        <v>95</v>
      </c>
    </row>
    <row r="5" spans="1:12" x14ac:dyDescent="0.35">
      <c r="B5" s="7"/>
      <c r="C5" s="8"/>
      <c r="F5" s="1" t="str">
        <f>CONCATENATE(tblSeket[[#This Row],[DistCode]],"-",tblSeket[[#This Row],[scode]])</f>
        <v>D01-S01</v>
      </c>
      <c r="G5" s="1" t="str">
        <f>Distrik!F5</f>
        <v>D01</v>
      </c>
      <c r="H5" s="1" t="str">
        <f>VLOOKUP(tblSeket[[#This Row],[DistCode]],tblDistrict[#All],2,FALSE)</f>
        <v>Kâte</v>
      </c>
      <c r="I5" s="1" t="s">
        <v>96</v>
      </c>
      <c r="J5" s="1" t="s">
        <v>97</v>
      </c>
    </row>
    <row r="6" spans="1:12" x14ac:dyDescent="0.35">
      <c r="A6" s="41"/>
      <c r="B6" s="10"/>
      <c r="C6" s="11"/>
      <c r="D6" s="41"/>
      <c r="E6" s="36"/>
      <c r="F6" s="1" t="str">
        <f>CONCATENATE(tblSeket[[#This Row],[DistCode]],"-",tblSeket[[#This Row],[scode]])</f>
        <v>D01-S02</v>
      </c>
      <c r="G6" s="1" t="str">
        <f>Distrik!F5</f>
        <v>D01</v>
      </c>
      <c r="H6" s="1" t="str">
        <f>VLOOKUP(tblSeket[[#This Row],[DistCode]],tblDistrict[#All],2,FALSE)</f>
        <v>Kâte</v>
      </c>
      <c r="I6" s="1" t="s">
        <v>98</v>
      </c>
      <c r="J6" s="1" t="s">
        <v>99</v>
      </c>
    </row>
    <row r="7" spans="1:12" x14ac:dyDescent="0.35">
      <c r="B7" s="7"/>
      <c r="C7" s="8"/>
      <c r="F7" s="1" t="str">
        <f>CONCATENATE(tblSeket[[#This Row],[DistCode]],"-",tblSeket[[#This Row],[scode]])</f>
        <v>D01-S03</v>
      </c>
      <c r="G7" s="1" t="str">
        <f>Distrik!F5</f>
        <v>D01</v>
      </c>
      <c r="H7" s="1" t="str">
        <f>VLOOKUP(tblSeket[[#This Row],[DistCode]],tblDistrict[#All],2,FALSE)</f>
        <v>Kâte</v>
      </c>
      <c r="I7" s="1" t="s">
        <v>100</v>
      </c>
      <c r="J7" s="1" t="s">
        <v>101</v>
      </c>
    </row>
    <row r="8" spans="1:12" ht="15" customHeight="1" x14ac:dyDescent="0.35">
      <c r="B8" s="51" t="str">
        <f>Dashboard!B8</f>
        <v>District Code Records</v>
      </c>
      <c r="C8" s="52"/>
      <c r="F8" s="1" t="str">
        <f>CONCATENATE(tblSeket[[#This Row],[DistCode]],"-",tblSeket[[#This Row],[scode]])</f>
        <v>D01-S04</v>
      </c>
      <c r="G8" s="1" t="str">
        <f>Distrik!F5</f>
        <v>D01</v>
      </c>
      <c r="H8" s="1" t="str">
        <f>VLOOKUP(tblSeket[[#This Row],[DistCode]],tblDistrict[#All],2,FALSE)</f>
        <v>Kâte</v>
      </c>
      <c r="I8" s="1" t="s">
        <v>102</v>
      </c>
      <c r="J8" s="1" t="s">
        <v>103</v>
      </c>
    </row>
    <row r="9" spans="1:12" ht="15" customHeight="1" x14ac:dyDescent="0.35">
      <c r="B9" s="53" t="str">
        <f>Dashboard!B9</f>
        <v>as of March 2023</v>
      </c>
      <c r="C9" s="54"/>
      <c r="F9" s="1" t="str">
        <f>CONCATENATE(tblSeket[[#This Row],[DistCode]],"-",tblSeket[[#This Row],[scode]])</f>
        <v>D01-S05</v>
      </c>
      <c r="G9" s="1" t="str">
        <f>Distrik!F5</f>
        <v>D01</v>
      </c>
      <c r="H9" s="1" t="str">
        <f>VLOOKUP(tblSeket[[#This Row],[DistCode]],tblDistrict[#All],2,FALSE)</f>
        <v>Kâte</v>
      </c>
      <c r="I9" s="1" t="s">
        <v>104</v>
      </c>
      <c r="J9" s="1" t="s">
        <v>105</v>
      </c>
    </row>
    <row r="10" spans="1:12" x14ac:dyDescent="0.35">
      <c r="B10" s="15"/>
      <c r="C10" s="16"/>
      <c r="F10" s="1" t="str">
        <f>CONCATENATE(tblSeket[[#This Row],[DistCode]],"-",tblSeket[[#This Row],[scode]])</f>
        <v>D01-S06</v>
      </c>
      <c r="G10" s="1" t="str">
        <f>Distrik!F5</f>
        <v>D01</v>
      </c>
      <c r="H10" s="1" t="str">
        <f>VLOOKUP(tblSeket[[#This Row],[DistCode]],tblDistrict[#All],2,FALSE)</f>
        <v>Kâte</v>
      </c>
      <c r="I10" s="1" t="s">
        <v>106</v>
      </c>
      <c r="J10" s="1" t="s">
        <v>107</v>
      </c>
    </row>
    <row r="11" spans="1:12" ht="15" customHeight="1" x14ac:dyDescent="0.35">
      <c r="F11" s="1" t="str">
        <f>CONCATENATE(tblSeket[[#This Row],[DistCode]],"-",tblSeket[[#This Row],[scode]])</f>
        <v>D01-S07</v>
      </c>
      <c r="G11" s="1" t="str">
        <f>Distrik!F5</f>
        <v>D01</v>
      </c>
      <c r="H11" s="1" t="str">
        <f>VLOOKUP(tblSeket[[#This Row],[DistCode]],tblDistrict[#All],2,FALSE)</f>
        <v>Kâte</v>
      </c>
      <c r="I11" s="1" t="s">
        <v>108</v>
      </c>
      <c r="J11" s="1" t="s">
        <v>109</v>
      </c>
    </row>
    <row r="12" spans="1:12" ht="15" customHeight="1" x14ac:dyDescent="0.35">
      <c r="B12" s="91" t="s">
        <v>13</v>
      </c>
      <c r="C12" s="92"/>
      <c r="F12" s="1" t="str">
        <f>CONCATENATE(tblSeket[[#This Row],[DistCode]],"-",tblSeket[[#This Row],[scode]])</f>
        <v>D01-S08</v>
      </c>
      <c r="G12" s="1" t="str">
        <f>Distrik!F5</f>
        <v>D01</v>
      </c>
      <c r="H12" s="1" t="str">
        <f>VLOOKUP(tblSeket[[#This Row],[DistCode]],tblDistrict[#All],2,FALSE)</f>
        <v>Kâte</v>
      </c>
      <c r="I12" s="1" t="s">
        <v>110</v>
      </c>
      <c r="J12" s="1" t="s">
        <v>111</v>
      </c>
    </row>
    <row r="13" spans="1:12" ht="15" customHeight="1" x14ac:dyDescent="0.35">
      <c r="B13" s="93"/>
      <c r="C13" s="94"/>
      <c r="F13" s="1" t="str">
        <f>CONCATENATE(tblSeket[[#This Row],[DistCode]],"-",tblSeket[[#This Row],[scode]])</f>
        <v>D02-S01</v>
      </c>
      <c r="G13" s="1" t="str">
        <f>Distrik!F6</f>
        <v>D02</v>
      </c>
      <c r="H13" s="1" t="str">
        <f>VLOOKUP(tblSeket[[#This Row],[DistCode]],tblDistrict[#All],2,FALSE)</f>
        <v>Jabem</v>
      </c>
      <c r="I13" s="1" t="s">
        <v>96</v>
      </c>
      <c r="J13" s="1" t="s">
        <v>112</v>
      </c>
    </row>
    <row r="14" spans="1:12" ht="15" customHeight="1" x14ac:dyDescent="0.35">
      <c r="F14" s="1" t="str">
        <f>CONCATENATE(tblSeket[[#This Row],[DistCode]],"-",tblSeket[[#This Row],[scode]])</f>
        <v>D02-S02</v>
      </c>
      <c r="G14" s="1" t="str">
        <f>Distrik!F6</f>
        <v>D02</v>
      </c>
      <c r="H14" s="1" t="str">
        <f>VLOOKUP(tblSeket[[#This Row],[DistCode]],tblDistrict[#All],2,FALSE)</f>
        <v>Jabem</v>
      </c>
      <c r="I14" s="1" t="s">
        <v>98</v>
      </c>
      <c r="J14" s="1" t="s">
        <v>113</v>
      </c>
    </row>
    <row r="15" spans="1:12" ht="15" customHeight="1" x14ac:dyDescent="0.35">
      <c r="B15" s="81" t="s">
        <v>21</v>
      </c>
      <c r="C15" s="82"/>
      <c r="F15" s="1" t="str">
        <f>CONCATENATE(tblSeket[[#This Row],[DistCode]],"-",tblSeket[[#This Row],[scode]])</f>
        <v>D02-S03</v>
      </c>
      <c r="G15" s="1" t="str">
        <f>Distrik!F6</f>
        <v>D02</v>
      </c>
      <c r="H15" s="1" t="str">
        <f>VLOOKUP(tblSeket[[#This Row],[DistCode]],tblDistrict[#All],2,FALSE)</f>
        <v>Jabem</v>
      </c>
      <c r="I15" s="1" t="s">
        <v>100</v>
      </c>
      <c r="J15" s="1" t="s">
        <v>114</v>
      </c>
    </row>
    <row r="16" spans="1:12" ht="15" customHeight="1" x14ac:dyDescent="0.35">
      <c r="B16" s="83"/>
      <c r="C16" s="84"/>
      <c r="F16" s="1" t="str">
        <f>CONCATENATE(tblSeket[[#This Row],[DistCode]],"-",tblSeket[[#This Row],[scode]])</f>
        <v>D02-S04</v>
      </c>
      <c r="G16" s="1" t="str">
        <f>Distrik!F6</f>
        <v>D02</v>
      </c>
      <c r="H16" s="1" t="str">
        <f>VLOOKUP(tblSeket[[#This Row],[DistCode]],tblDistrict[#All],2,FALSE)</f>
        <v>Jabem</v>
      </c>
      <c r="I16" s="1" t="s">
        <v>102</v>
      </c>
      <c r="J16" s="1" t="s">
        <v>115</v>
      </c>
    </row>
    <row r="17" spans="2:10" ht="15" customHeight="1" x14ac:dyDescent="0.35">
      <c r="F17" s="1" t="str">
        <f>CONCATENATE(tblSeket[[#This Row],[DistCode]],"-",tblSeket[[#This Row],[scode]])</f>
        <v>D02-S05</v>
      </c>
      <c r="G17" s="1" t="str">
        <f>Distrik!F6</f>
        <v>D02</v>
      </c>
      <c r="H17" s="1" t="str">
        <f>VLOOKUP(tblSeket[[#This Row],[DistCode]],tblDistrict[#All],2,FALSE)</f>
        <v>Jabem</v>
      </c>
      <c r="I17" s="1" t="s">
        <v>104</v>
      </c>
      <c r="J17" s="1" t="s">
        <v>116</v>
      </c>
    </row>
    <row r="18" spans="2:10" ht="15" customHeight="1" x14ac:dyDescent="0.35">
      <c r="B18" s="99" t="s">
        <v>26</v>
      </c>
      <c r="C18" s="100"/>
      <c r="F18" s="1" t="str">
        <f>CONCATENATE(tblSeket[[#This Row],[DistCode]],"-",tblSeket[[#This Row],[scode]])</f>
        <v>D02-S06</v>
      </c>
      <c r="G18" s="1" t="str">
        <f>Distrik!F6</f>
        <v>D02</v>
      </c>
      <c r="H18" s="1" t="str">
        <f>VLOOKUP(tblSeket[[#This Row],[DistCode]],tblDistrict[#All],2,FALSE)</f>
        <v>Jabem</v>
      </c>
      <c r="I18" s="1" t="s">
        <v>106</v>
      </c>
      <c r="J18" s="1" t="s">
        <v>117</v>
      </c>
    </row>
    <row r="19" spans="2:10" ht="15" customHeight="1" x14ac:dyDescent="0.35">
      <c r="B19" s="101"/>
      <c r="C19" s="102"/>
      <c r="F19" s="1" t="str">
        <f>CONCATENATE(tblSeket[[#This Row],[DistCode]],"-",tblSeket[[#This Row],[scode]])</f>
        <v>D02-S07</v>
      </c>
      <c r="G19" s="1" t="str">
        <f>Distrik!F6</f>
        <v>D02</v>
      </c>
      <c r="H19" s="1" t="str">
        <f>VLOOKUP(tblSeket[[#This Row],[DistCode]],tblDistrict[#All],2,FALSE)</f>
        <v>Jabem</v>
      </c>
      <c r="I19" s="1" t="s">
        <v>108</v>
      </c>
      <c r="J19" s="1" t="s">
        <v>118</v>
      </c>
    </row>
    <row r="20" spans="2:10" ht="15" customHeight="1" x14ac:dyDescent="0.35">
      <c r="F20" s="1" t="str">
        <f>CONCATENATE(tblSeket[[#This Row],[DistCode]],"-",tblSeket[[#This Row],[scode]])</f>
        <v>D02-S08</v>
      </c>
      <c r="G20" s="1" t="str">
        <f>Distrik!F6</f>
        <v>D02</v>
      </c>
      <c r="H20" s="1" t="str">
        <f>VLOOKUP(tblSeket[[#This Row],[DistCode]],tblDistrict[#All],2,FALSE)</f>
        <v>Jabem</v>
      </c>
      <c r="I20" s="1" t="s">
        <v>110</v>
      </c>
      <c r="J20" s="1" t="s">
        <v>119</v>
      </c>
    </row>
    <row r="21" spans="2:10" ht="15" customHeight="1" x14ac:dyDescent="0.35">
      <c r="B21" s="65" t="s">
        <v>29</v>
      </c>
      <c r="C21" s="66"/>
      <c r="F21" s="1" t="str">
        <f>CONCATENATE(tblSeket[[#This Row],[DistCode]],"-",tblSeket[[#This Row],[scode]])</f>
        <v>D02-S09</v>
      </c>
      <c r="G21" s="1" t="str">
        <f>Distrik!F6</f>
        <v>D02</v>
      </c>
      <c r="H21" s="1" t="str">
        <f>VLOOKUP(tblSeket[[#This Row],[DistCode]],tblDistrict[#All],2,FALSE)</f>
        <v>Jabem</v>
      </c>
      <c r="I21" s="1" t="s">
        <v>120</v>
      </c>
      <c r="J21" s="1" t="s">
        <v>121</v>
      </c>
    </row>
    <row r="22" spans="2:10" ht="15" customHeight="1" x14ac:dyDescent="0.35">
      <c r="B22" s="67"/>
      <c r="C22" s="68"/>
      <c r="F22" s="1" t="str">
        <f>CONCATENATE(tblSeket[[#This Row],[DistCode]],"-",tblSeket[[#This Row],[scode]])</f>
        <v>D02-S10</v>
      </c>
      <c r="G22" s="1" t="str">
        <f>Distrik!F6</f>
        <v>D02</v>
      </c>
      <c r="H22" s="1" t="str">
        <f>VLOOKUP(tblSeket[[#This Row],[DistCode]],tblDistrict[#All],2,FALSE)</f>
        <v>Jabem</v>
      </c>
      <c r="I22" s="1" t="s">
        <v>122</v>
      </c>
      <c r="J22" s="1" t="s">
        <v>123</v>
      </c>
    </row>
    <row r="23" spans="2:10" x14ac:dyDescent="0.35">
      <c r="F23" s="1" t="str">
        <f>CONCATENATE(tblSeket[[#This Row],[DistCode]],"-",tblSeket[[#This Row],[scode]])</f>
        <v>D02-S11</v>
      </c>
      <c r="G23" s="1" t="str">
        <f>Distrik!F6</f>
        <v>D02</v>
      </c>
      <c r="H23" s="1" t="str">
        <f>VLOOKUP(tblSeket[[#This Row],[DistCode]],tblDistrict[#All],2,FALSE)</f>
        <v>Jabem</v>
      </c>
      <c r="I23" s="1" t="s">
        <v>124</v>
      </c>
      <c r="J23" s="1" t="s">
        <v>125</v>
      </c>
    </row>
    <row r="24" spans="2:10" x14ac:dyDescent="0.35">
      <c r="B24" s="87" t="s">
        <v>27</v>
      </c>
      <c r="C24" s="88"/>
      <c r="F24" s="1" t="str">
        <f>CONCATENATE(tblSeket[[#This Row],[DistCode]],"-",tblSeket[[#This Row],[scode]])</f>
        <v>D02-S12</v>
      </c>
      <c r="G24" s="1" t="str">
        <f>Distrik!F6</f>
        <v>D02</v>
      </c>
      <c r="H24" s="1" t="str">
        <f>VLOOKUP(tblSeket[[#This Row],[DistCode]],tblDistrict[#All],2,FALSE)</f>
        <v>Jabem</v>
      </c>
      <c r="I24" s="1" t="s">
        <v>126</v>
      </c>
      <c r="J24" s="1" t="s">
        <v>127</v>
      </c>
    </row>
    <row r="25" spans="2:10" x14ac:dyDescent="0.35">
      <c r="B25" s="89"/>
      <c r="C25" s="90"/>
      <c r="F25" s="1" t="str">
        <f>CONCATENATE(tblSeket[[#This Row],[DistCode]],"-",tblSeket[[#This Row],[scode]])</f>
        <v>D02-S13</v>
      </c>
      <c r="G25" s="1" t="str">
        <f>Distrik!F6</f>
        <v>D02</v>
      </c>
      <c r="H25" s="1" t="str">
        <f>VLOOKUP(tblSeket[[#This Row],[DistCode]],tblDistrict[#All],2,FALSE)</f>
        <v>Jabem</v>
      </c>
      <c r="I25" s="1" t="s">
        <v>128</v>
      </c>
      <c r="J25" s="1" t="s">
        <v>129</v>
      </c>
    </row>
    <row r="26" spans="2:10" x14ac:dyDescent="0.35">
      <c r="F26" s="1" t="str">
        <f>CONCATENATE(tblSeket[[#This Row],[DistCode]],"-",tblSeket[[#This Row],[scode]])</f>
        <v>D02-S14</v>
      </c>
      <c r="G26" s="1" t="str">
        <f>Distrik!F6</f>
        <v>D02</v>
      </c>
      <c r="H26" s="1" t="str">
        <f>VLOOKUP(tblSeket[[#This Row],[DistCode]],tblDistrict[#All],2,FALSE)</f>
        <v>Jabem</v>
      </c>
      <c r="I26" s="1" t="s">
        <v>130</v>
      </c>
      <c r="J26" s="1" t="s">
        <v>41</v>
      </c>
    </row>
    <row r="27" spans="2:10" x14ac:dyDescent="0.35">
      <c r="F27" s="1" t="str">
        <f>CONCATENATE(tblSeket[[#This Row],[DistCode]],"-",tblSeket[[#This Row],[scode]])</f>
        <v>D03-S01</v>
      </c>
      <c r="G27" s="1" t="str">
        <f>Distrik!F7</f>
        <v>D03</v>
      </c>
      <c r="H27" s="1" t="str">
        <f>VLOOKUP(tblSeket[[#This Row],[DistCode]],tblDistrict[#All],2,FALSE)</f>
        <v>Madang</v>
      </c>
      <c r="I27" s="1" t="s">
        <v>96</v>
      </c>
      <c r="J27" s="1" t="s">
        <v>131</v>
      </c>
    </row>
    <row r="28" spans="2:10" x14ac:dyDescent="0.35">
      <c r="F28" s="1" t="str">
        <f>CONCATENATE(tblSeket[[#This Row],[DistCode]],"-",tblSeket[[#This Row],[scode]])</f>
        <v>D03-S02</v>
      </c>
      <c r="G28" s="1" t="str">
        <f>Distrik!F7</f>
        <v>D03</v>
      </c>
      <c r="H28" s="1" t="str">
        <f>VLOOKUP(tblSeket[[#This Row],[DistCode]],tblDistrict[#All],2,FALSE)</f>
        <v>Madang</v>
      </c>
      <c r="I28" s="1" t="s">
        <v>98</v>
      </c>
      <c r="J28" s="1" t="s">
        <v>132</v>
      </c>
    </row>
    <row r="29" spans="2:10" x14ac:dyDescent="0.35">
      <c r="F29" s="1" t="str">
        <f>CONCATENATE(tblSeket[[#This Row],[DistCode]],"-",tblSeket[[#This Row],[scode]])</f>
        <v>D03-S03</v>
      </c>
      <c r="G29" s="1" t="str">
        <f>Distrik!F7</f>
        <v>D03</v>
      </c>
      <c r="H29" s="1" t="str">
        <f>VLOOKUP(tblSeket[[#This Row],[DistCode]],tblDistrict[#All],2,FALSE)</f>
        <v>Madang</v>
      </c>
      <c r="I29" s="1" t="s">
        <v>100</v>
      </c>
      <c r="J29" s="1" t="s">
        <v>133</v>
      </c>
    </row>
    <row r="30" spans="2:10" x14ac:dyDescent="0.35">
      <c r="F30" s="1" t="str">
        <f>CONCATENATE(tblSeket[[#This Row],[DistCode]],"-",tblSeket[[#This Row],[scode]])</f>
        <v>D03-S04</v>
      </c>
      <c r="G30" s="1" t="str">
        <f>Distrik!F7</f>
        <v>D03</v>
      </c>
      <c r="H30" s="1" t="str">
        <f>VLOOKUP(tblSeket[[#This Row],[DistCode]],tblDistrict[#All],2,FALSE)</f>
        <v>Madang</v>
      </c>
      <c r="I30" s="1" t="s">
        <v>102</v>
      </c>
      <c r="J30" s="1" t="s">
        <v>134</v>
      </c>
    </row>
    <row r="31" spans="2:10" x14ac:dyDescent="0.35">
      <c r="F31" s="1" t="str">
        <f>CONCATENATE(tblSeket[[#This Row],[DistCode]],"-",tblSeket[[#This Row],[scode]])</f>
        <v>D03-S05</v>
      </c>
      <c r="G31" s="1" t="str">
        <f>Distrik!F7</f>
        <v>D03</v>
      </c>
      <c r="H31" s="1" t="str">
        <f>VLOOKUP(tblSeket[[#This Row],[DistCode]],tblDistrict[#All],2,FALSE)</f>
        <v>Madang</v>
      </c>
      <c r="I31" s="1" t="s">
        <v>104</v>
      </c>
      <c r="J31" s="1" t="s">
        <v>135</v>
      </c>
    </row>
    <row r="32" spans="2:10" x14ac:dyDescent="0.35">
      <c r="F32" s="1" t="str">
        <f>CONCATENATE(tblSeket[[#This Row],[DistCode]],"-",tblSeket[[#This Row],[scode]])</f>
        <v>D03-S06</v>
      </c>
      <c r="G32" s="1" t="str">
        <f>Distrik!F7</f>
        <v>D03</v>
      </c>
      <c r="H32" s="1" t="str">
        <f>VLOOKUP(tblSeket[[#This Row],[DistCode]],tblDistrict[#All],2,FALSE)</f>
        <v>Madang</v>
      </c>
      <c r="I32" s="1" t="s">
        <v>106</v>
      </c>
      <c r="J32" s="1" t="s">
        <v>136</v>
      </c>
    </row>
    <row r="33" spans="6:10" x14ac:dyDescent="0.35">
      <c r="F33" s="1" t="str">
        <f>CONCATENATE(tblSeket[[#This Row],[DistCode]],"-",tblSeket[[#This Row],[scode]])</f>
        <v>D03-S07</v>
      </c>
      <c r="G33" s="1" t="str">
        <f>Distrik!F7</f>
        <v>D03</v>
      </c>
      <c r="H33" s="1" t="str">
        <f>VLOOKUP(tblSeket[[#This Row],[DistCode]],tblDistrict[#All],2,FALSE)</f>
        <v>Madang</v>
      </c>
      <c r="I33" s="1" t="s">
        <v>108</v>
      </c>
      <c r="J33" s="1" t="s">
        <v>137</v>
      </c>
    </row>
    <row r="34" spans="6:10" x14ac:dyDescent="0.35">
      <c r="F34" s="1" t="str">
        <f>CONCATENATE(tblSeket[[#This Row],[DistCode]],"-",tblSeket[[#This Row],[scode]])</f>
        <v>D03-S08</v>
      </c>
      <c r="G34" s="1" t="str">
        <f>Distrik!F7</f>
        <v>D03</v>
      </c>
      <c r="H34" s="1" t="str">
        <f>VLOOKUP(tblSeket[[#This Row],[DistCode]],tblDistrict[#All],2,FALSE)</f>
        <v>Madang</v>
      </c>
      <c r="I34" s="1" t="s">
        <v>110</v>
      </c>
      <c r="J34" s="1" t="s">
        <v>138</v>
      </c>
    </row>
    <row r="35" spans="6:10" x14ac:dyDescent="0.35">
      <c r="F35" s="1" t="str">
        <f>CONCATENATE(tblSeket[[#This Row],[DistCode]],"-",tblSeket[[#This Row],[scode]])</f>
        <v>D04-S01</v>
      </c>
      <c r="G35" s="1" t="str">
        <f>Distrik!F8</f>
        <v>D04</v>
      </c>
      <c r="H35" s="1" t="str">
        <f>VLOOKUP(tblSeket[[#This Row],[DistCode]],tblDistrict[#All],2,FALSE)</f>
        <v>Karkar</v>
      </c>
      <c r="I35" s="1" t="s">
        <v>96</v>
      </c>
      <c r="J35" s="1" t="s">
        <v>139</v>
      </c>
    </row>
    <row r="36" spans="6:10" x14ac:dyDescent="0.35">
      <c r="F36" s="1" t="str">
        <f>CONCATENATE(tblSeket[[#This Row],[DistCode]],"-",tblSeket[[#This Row],[scode]])</f>
        <v>D04-S02</v>
      </c>
      <c r="G36" s="1" t="str">
        <f>Distrik!F8</f>
        <v>D04</v>
      </c>
      <c r="H36" s="1" t="str">
        <f>VLOOKUP(tblSeket[[#This Row],[DistCode]],tblDistrict[#All],2,FALSE)</f>
        <v>Karkar</v>
      </c>
      <c r="I36" s="1" t="s">
        <v>98</v>
      </c>
      <c r="J36" s="1" t="s">
        <v>140</v>
      </c>
    </row>
    <row r="37" spans="6:10" x14ac:dyDescent="0.35">
      <c r="F37" s="1" t="str">
        <f>CONCATENATE(tblSeket[[#This Row],[DistCode]],"-",tblSeket[[#This Row],[scode]])</f>
        <v>D04-S03</v>
      </c>
      <c r="G37" s="1" t="str">
        <f>Distrik!F8</f>
        <v>D04</v>
      </c>
      <c r="H37" s="1" t="str">
        <f>VLOOKUP(tblSeket[[#This Row],[DistCode]],tblDistrict[#All],2,FALSE)</f>
        <v>Karkar</v>
      </c>
      <c r="I37" s="1" t="s">
        <v>100</v>
      </c>
      <c r="J37" s="1" t="s">
        <v>141</v>
      </c>
    </row>
    <row r="38" spans="6:10" x14ac:dyDescent="0.35">
      <c r="F38" s="1" t="str">
        <f>CONCATENATE(tblSeket[[#This Row],[DistCode]],"-",tblSeket[[#This Row],[scode]])</f>
        <v>D04-S04</v>
      </c>
      <c r="G38" s="1" t="str">
        <f>Distrik!F8</f>
        <v>D04</v>
      </c>
      <c r="H38" s="1" t="str">
        <f>VLOOKUP(tblSeket[[#This Row],[DistCode]],tblDistrict[#All],2,FALSE)</f>
        <v>Karkar</v>
      </c>
      <c r="I38" s="1" t="s">
        <v>102</v>
      </c>
      <c r="J38" s="1" t="s">
        <v>142</v>
      </c>
    </row>
    <row r="39" spans="6:10" x14ac:dyDescent="0.35">
      <c r="F39" s="1" t="str">
        <f>CONCATENATE(tblSeket[[#This Row],[DistCode]],"-",tblSeket[[#This Row],[scode]])</f>
        <v>D04-S05</v>
      </c>
      <c r="G39" s="1" t="str">
        <f>Distrik!F8</f>
        <v>D04</v>
      </c>
      <c r="H39" s="1" t="str">
        <f>VLOOKUP(tblSeket[[#This Row],[DistCode]],tblDistrict[#All],2,FALSE)</f>
        <v>Karkar</v>
      </c>
      <c r="I39" s="1" t="s">
        <v>104</v>
      </c>
      <c r="J39" s="1" t="s">
        <v>143</v>
      </c>
    </row>
    <row r="40" spans="6:10" x14ac:dyDescent="0.35">
      <c r="F40" s="1" t="str">
        <f>CONCATENATE(tblSeket[[#This Row],[DistCode]],"-",tblSeket[[#This Row],[scode]])</f>
        <v>D04-S06</v>
      </c>
      <c r="G40" s="1" t="str">
        <f>Distrik!F8</f>
        <v>D04</v>
      </c>
      <c r="H40" s="1" t="str">
        <f>VLOOKUP(tblSeket[[#This Row],[DistCode]],tblDistrict[#All],2,FALSE)</f>
        <v>Karkar</v>
      </c>
      <c r="I40" s="1" t="s">
        <v>106</v>
      </c>
      <c r="J40" s="1" t="s">
        <v>144</v>
      </c>
    </row>
    <row r="41" spans="6:10" x14ac:dyDescent="0.35">
      <c r="F41" s="1" t="str">
        <f>CONCATENATE(tblSeket[[#This Row],[DistCode]],"-",tblSeket[[#This Row],[scode]])</f>
        <v>D05-S01</v>
      </c>
      <c r="G41" s="1" t="str">
        <f>Distrik!F9</f>
        <v>D05</v>
      </c>
      <c r="H41" s="1" t="str">
        <f>VLOOKUP(tblSeket[[#This Row],[DistCode]],tblDistrict[#All],2,FALSE)</f>
        <v>Siassi</v>
      </c>
      <c r="I41" s="1" t="s">
        <v>96</v>
      </c>
      <c r="J41" s="1" t="s">
        <v>145</v>
      </c>
    </row>
    <row r="42" spans="6:10" x14ac:dyDescent="0.35">
      <c r="F42" s="1" t="str">
        <f>CONCATENATE(tblSeket[[#This Row],[DistCode]],"-",tblSeket[[#This Row],[scode]])</f>
        <v>D05-S02</v>
      </c>
      <c r="G42" s="1" t="str">
        <f>Distrik!F9</f>
        <v>D05</v>
      </c>
      <c r="H42" s="1" t="str">
        <f>VLOOKUP(tblSeket[[#This Row],[DistCode]],tblDistrict[#All],2,FALSE)</f>
        <v>Siassi</v>
      </c>
      <c r="I42" s="1" t="s">
        <v>98</v>
      </c>
      <c r="J42" s="1" t="s">
        <v>146</v>
      </c>
    </row>
    <row r="43" spans="6:10" x14ac:dyDescent="0.35">
      <c r="F43" s="1" t="str">
        <f>CONCATENATE(tblSeket[[#This Row],[DistCode]],"-",tblSeket[[#This Row],[scode]])</f>
        <v>D06-S01</v>
      </c>
      <c r="G43" s="1" t="str">
        <f>Distrik!F10</f>
        <v>D06</v>
      </c>
      <c r="H43" s="1" t="str">
        <f>VLOOKUP(tblSeket[[#This Row],[DistCode]],tblDistrict[#All],2,FALSE)</f>
        <v>Ukata</v>
      </c>
      <c r="I43" s="1" t="s">
        <v>96</v>
      </c>
      <c r="J43" s="1" t="s">
        <v>147</v>
      </c>
    </row>
    <row r="44" spans="6:10" x14ac:dyDescent="0.35">
      <c r="F44" s="1" t="str">
        <f>CONCATENATE(tblSeket[[#This Row],[DistCode]],"-",tblSeket[[#This Row],[scode]])</f>
        <v>D06-S02</v>
      </c>
      <c r="G44" s="1" t="str">
        <f>Distrik!F10</f>
        <v>D06</v>
      </c>
      <c r="H44" s="1" t="str">
        <f>VLOOKUP(tblSeket[[#This Row],[DistCode]],tblDistrict[#All],2,FALSE)</f>
        <v>Ukata</v>
      </c>
      <c r="I44" s="1" t="s">
        <v>98</v>
      </c>
      <c r="J44" s="1" t="s">
        <v>148</v>
      </c>
    </row>
    <row r="45" spans="6:10" x14ac:dyDescent="0.35">
      <c r="F45" s="1" t="str">
        <f>CONCATENATE(tblSeket[[#This Row],[DistCode]],"-",tblSeket[[#This Row],[scode]])</f>
        <v>D06-S03</v>
      </c>
      <c r="G45" s="1" t="str">
        <f>Distrik!F10</f>
        <v>D06</v>
      </c>
      <c r="H45" s="1" t="str">
        <f>VLOOKUP(tblSeket[[#This Row],[DistCode]],tblDistrict[#All],2,FALSE)</f>
        <v>Ukata</v>
      </c>
      <c r="I45" s="1" t="s">
        <v>100</v>
      </c>
      <c r="J45" s="1" t="s">
        <v>149</v>
      </c>
    </row>
    <row r="46" spans="6:10" x14ac:dyDescent="0.35">
      <c r="F46" s="1" t="str">
        <f>CONCATENATE(tblSeket[[#This Row],[DistCode]],"-",tblSeket[[#This Row],[scode]])</f>
        <v>D06-S04</v>
      </c>
      <c r="G46" s="1" t="str">
        <f>Distrik!F10</f>
        <v>D06</v>
      </c>
      <c r="H46" s="1" t="str">
        <f>VLOOKUP(tblSeket[[#This Row],[DistCode]],tblDistrict[#All],2,FALSE)</f>
        <v>Ukata</v>
      </c>
      <c r="I46" s="1" t="s">
        <v>102</v>
      </c>
      <c r="J46" s="1" t="s">
        <v>150</v>
      </c>
    </row>
    <row r="47" spans="6:10" x14ac:dyDescent="0.35">
      <c r="F47" s="1" t="str">
        <f>CONCATENATE(tblSeket[[#This Row],[DistCode]],"-",tblSeket[[#This Row],[scode]])</f>
        <v>D06-S05</v>
      </c>
      <c r="G47" s="1" t="str">
        <f>Distrik!F10</f>
        <v>D06</v>
      </c>
      <c r="H47" s="1" t="str">
        <f>VLOOKUP(tblSeket[[#This Row],[DistCode]],tblDistrict[#All],2,FALSE)</f>
        <v>Ukata</v>
      </c>
      <c r="I47" s="1" t="s">
        <v>104</v>
      </c>
      <c r="J47" s="1" t="s">
        <v>151</v>
      </c>
    </row>
    <row r="48" spans="6:10" x14ac:dyDescent="0.35">
      <c r="F48" s="1" t="str">
        <f>CONCATENATE(tblSeket[[#This Row],[DistCode]],"-",tblSeket[[#This Row],[scode]])</f>
        <v>D06-S06</v>
      </c>
      <c r="G48" s="1" t="str">
        <f>Distrik!F10</f>
        <v>D06</v>
      </c>
      <c r="H48" s="1" t="str">
        <f>VLOOKUP(tblSeket[[#This Row],[DistCode]],tblDistrict[#All],2,FALSE)</f>
        <v>Ukata</v>
      </c>
      <c r="I48" s="1" t="s">
        <v>106</v>
      </c>
      <c r="J48" s="1" t="s">
        <v>152</v>
      </c>
    </row>
    <row r="49" spans="6:10" x14ac:dyDescent="0.35">
      <c r="F49" s="1" t="str">
        <f>CONCATENATE(tblSeket[[#This Row],[DistCode]],"-",tblSeket[[#This Row],[scode]])</f>
        <v>D06-S07</v>
      </c>
      <c r="G49" s="1" t="str">
        <f>Distrik!F10</f>
        <v>D06</v>
      </c>
      <c r="H49" s="1" t="str">
        <f>VLOOKUP(tblSeket[[#This Row],[DistCode]],tblDistrict[#All],2,FALSE)</f>
        <v>Ukata</v>
      </c>
      <c r="I49" s="1" t="s">
        <v>108</v>
      </c>
      <c r="J49" s="1" t="s">
        <v>153</v>
      </c>
    </row>
    <row r="50" spans="6:10" x14ac:dyDescent="0.35">
      <c r="F50" s="1" t="str">
        <f>CONCATENATE(tblSeket[[#This Row],[DistCode]],"-",tblSeket[[#This Row],[scode]])</f>
        <v>D06-S08</v>
      </c>
      <c r="G50" s="1" t="str">
        <f>Distrik!F10</f>
        <v>D06</v>
      </c>
      <c r="H50" s="1" t="str">
        <f>VLOOKUP(tblSeket[[#This Row],[DistCode]],tblDistrict[#All],2,FALSE)</f>
        <v>Ukata</v>
      </c>
      <c r="I50" s="1" t="s">
        <v>110</v>
      </c>
      <c r="J50" s="1" t="s">
        <v>154</v>
      </c>
    </row>
    <row r="51" spans="6:10" x14ac:dyDescent="0.35">
      <c r="F51" s="1" t="str">
        <f>CONCATENATE(tblSeket[[#This Row],[DistCode]],"-",tblSeket[[#This Row],[scode]])</f>
        <v>D06-S09</v>
      </c>
      <c r="G51" s="1" t="str">
        <f>Distrik!F10</f>
        <v>D06</v>
      </c>
      <c r="H51" s="1" t="str">
        <f>VLOOKUP(tblSeket[[#This Row],[DistCode]],tblDistrict[#All],2,FALSE)</f>
        <v>Ukata</v>
      </c>
      <c r="I51" s="1" t="s">
        <v>120</v>
      </c>
      <c r="J51" s="1" t="s">
        <v>155</v>
      </c>
    </row>
    <row r="52" spans="6:10" x14ac:dyDescent="0.35">
      <c r="F52" s="1" t="str">
        <f>CONCATENATE(tblSeket[[#This Row],[DistCode]],"-",tblSeket[[#This Row],[scode]])</f>
        <v>D06-S10</v>
      </c>
      <c r="G52" s="1" t="str">
        <f>Distrik!F10</f>
        <v>D06</v>
      </c>
      <c r="H52" s="1" t="str">
        <f>VLOOKUP(tblSeket[[#This Row],[DistCode]],tblDistrict[#All],2,FALSE)</f>
        <v>Ukata</v>
      </c>
      <c r="I52" s="1" t="s">
        <v>122</v>
      </c>
      <c r="J52" s="1" t="s">
        <v>156</v>
      </c>
    </row>
    <row r="53" spans="6:10" x14ac:dyDescent="0.35">
      <c r="F53" s="1" t="str">
        <f>CONCATENATE(tblSeket[[#This Row],[DistCode]],"-",tblSeket[[#This Row],[scode]])</f>
        <v>D07-S01</v>
      </c>
      <c r="G53" s="1" t="str">
        <f>Distrik!F11</f>
        <v>D07</v>
      </c>
      <c r="H53" s="1" t="str">
        <f>VLOOKUP(tblSeket[[#This Row],[DistCode]],tblDistrict[#All],2,FALSE)</f>
        <v>Boana</v>
      </c>
      <c r="I53" s="1" t="s">
        <v>96</v>
      </c>
      <c r="J53" s="1" t="s">
        <v>157</v>
      </c>
    </row>
    <row r="54" spans="6:10" x14ac:dyDescent="0.35">
      <c r="F54" s="1" t="str">
        <f>CONCATENATE(tblSeket[[#This Row],[DistCode]],"-",tblSeket[[#This Row],[scode]])</f>
        <v>D07-S02</v>
      </c>
      <c r="G54" s="1" t="str">
        <f>Distrik!F11</f>
        <v>D07</v>
      </c>
      <c r="H54" s="1" t="str">
        <f>VLOOKUP(tblSeket[[#This Row],[DistCode]],tblDistrict[#All],2,FALSE)</f>
        <v>Boana</v>
      </c>
      <c r="I54" s="1" t="s">
        <v>98</v>
      </c>
      <c r="J54" s="1" t="s">
        <v>158</v>
      </c>
    </row>
    <row r="55" spans="6:10" x14ac:dyDescent="0.35">
      <c r="F55" s="1" t="str">
        <f>CONCATENATE(tblSeket[[#This Row],[DistCode]],"-",tblSeket[[#This Row],[scode]])</f>
        <v>D07-S03</v>
      </c>
      <c r="G55" s="1" t="str">
        <f>Distrik!F11</f>
        <v>D07</v>
      </c>
      <c r="H55" s="1" t="str">
        <f>VLOOKUP(tblSeket[[#This Row],[DistCode]],tblDistrict[#All],2,FALSE)</f>
        <v>Boana</v>
      </c>
      <c r="I55" s="1" t="s">
        <v>100</v>
      </c>
      <c r="J55" s="1" t="s">
        <v>159</v>
      </c>
    </row>
    <row r="56" spans="6:10" x14ac:dyDescent="0.35">
      <c r="F56" s="1" t="str">
        <f>CONCATENATE(tblSeket[[#This Row],[DistCode]],"-",tblSeket[[#This Row],[scode]])</f>
        <v>D08-S01</v>
      </c>
      <c r="G56" s="1" t="str">
        <f>Distrik!F12</f>
        <v>D08</v>
      </c>
      <c r="H56" s="1" t="str">
        <f>VLOOKUP(tblSeket[[#This Row],[DistCode]],tblDistrict[#All],2,FALSE)</f>
        <v>Mumeng</v>
      </c>
      <c r="I56" s="1" t="s">
        <v>96</v>
      </c>
      <c r="J56" s="1" t="s">
        <v>160</v>
      </c>
    </row>
    <row r="57" spans="6:10" x14ac:dyDescent="0.35">
      <c r="F57" s="1" t="str">
        <f>CONCATENATE(tblSeket[[#This Row],[DistCode]],"-",tblSeket[[#This Row],[scode]])</f>
        <v>D08-S02</v>
      </c>
      <c r="G57" s="1" t="str">
        <f>Distrik!F12</f>
        <v>D08</v>
      </c>
      <c r="H57" s="1" t="str">
        <f>VLOOKUP(tblSeket[[#This Row],[DistCode]],tblDistrict[#All],2,FALSE)</f>
        <v>Mumeng</v>
      </c>
      <c r="I57" s="1" t="s">
        <v>98</v>
      </c>
      <c r="J57" s="1" t="s">
        <v>161</v>
      </c>
    </row>
    <row r="58" spans="6:10" x14ac:dyDescent="0.35">
      <c r="F58" s="1" t="str">
        <f>CONCATENATE(tblSeket[[#This Row],[DistCode]],"-",tblSeket[[#This Row],[scode]])</f>
        <v>D08-S03</v>
      </c>
      <c r="G58" s="1" t="str">
        <f>Distrik!F12</f>
        <v>D08</v>
      </c>
      <c r="H58" s="1" t="str">
        <f>VLOOKUP(tblSeket[[#This Row],[DistCode]],tblDistrict[#All],2,FALSE)</f>
        <v>Mumeng</v>
      </c>
      <c r="I58" s="1" t="s">
        <v>100</v>
      </c>
      <c r="J58" s="1" t="s">
        <v>162</v>
      </c>
    </row>
    <row r="59" spans="6:10" x14ac:dyDescent="0.35">
      <c r="F59" s="1" t="str">
        <f>CONCATENATE(tblSeket[[#This Row],[DistCode]],"-",tblSeket[[#This Row],[scode]])</f>
        <v>D08-S04</v>
      </c>
      <c r="G59" s="1" t="str">
        <f>Distrik!F12</f>
        <v>D08</v>
      </c>
      <c r="H59" s="1" t="str">
        <f>VLOOKUP(tblSeket[[#This Row],[DistCode]],tblDistrict[#All],2,FALSE)</f>
        <v>Mumeng</v>
      </c>
      <c r="I59" s="1" t="s">
        <v>102</v>
      </c>
      <c r="J59" s="1" t="s">
        <v>163</v>
      </c>
    </row>
    <row r="60" spans="6:10" x14ac:dyDescent="0.35">
      <c r="F60" s="1" t="str">
        <f>CONCATENATE(tblSeket[[#This Row],[DistCode]],"-",tblSeket[[#This Row],[scode]])</f>
        <v>D08-S05</v>
      </c>
      <c r="G60" s="1" t="str">
        <f>Distrik!F12</f>
        <v>D08</v>
      </c>
      <c r="H60" s="1" t="str">
        <f>VLOOKUP(tblSeket[[#This Row],[DistCode]],tblDistrict[#All],2,FALSE)</f>
        <v>Mumeng</v>
      </c>
      <c r="I60" s="1" t="s">
        <v>104</v>
      </c>
      <c r="J60" s="1" t="s">
        <v>164</v>
      </c>
    </row>
    <row r="61" spans="6:10" x14ac:dyDescent="0.35">
      <c r="F61" s="1" t="str">
        <f>CONCATENATE(tblSeket[[#This Row],[DistCode]],"-",tblSeket[[#This Row],[scode]])</f>
        <v>D09-S01</v>
      </c>
      <c r="G61" s="1" t="str">
        <f>Distrik!F13</f>
        <v>D09</v>
      </c>
      <c r="H61" s="1" t="str">
        <f>VLOOKUP(tblSeket[[#This Row],[DistCode]],tblDistrict[#All],2,FALSE)</f>
        <v>NGI</v>
      </c>
      <c r="I61" s="1" t="s">
        <v>96</v>
      </c>
      <c r="J61" s="1" t="s">
        <v>165</v>
      </c>
    </row>
    <row r="62" spans="6:10" x14ac:dyDescent="0.35">
      <c r="F62" s="1" t="str">
        <f>CONCATENATE(tblSeket[[#This Row],[DistCode]],"-",tblSeket[[#This Row],[scode]])</f>
        <v>D09-S02</v>
      </c>
      <c r="G62" s="1" t="str">
        <f>Distrik!F13</f>
        <v>D09</v>
      </c>
      <c r="H62" s="1" t="str">
        <f>VLOOKUP(tblSeket[[#This Row],[DistCode]],tblDistrict[#All],2,FALSE)</f>
        <v>NGI</v>
      </c>
      <c r="I62" s="1" t="s">
        <v>98</v>
      </c>
      <c r="J62" s="1" t="s">
        <v>166</v>
      </c>
    </row>
    <row r="63" spans="6:10" x14ac:dyDescent="0.35">
      <c r="F63" s="1" t="str">
        <f>CONCATENATE(tblSeket[[#This Row],[DistCode]],"-",tblSeket[[#This Row],[scode]])</f>
        <v>D09-S03</v>
      </c>
      <c r="G63" s="1" t="str">
        <f>Distrik!F13</f>
        <v>D09</v>
      </c>
      <c r="H63" s="1" t="str">
        <f>VLOOKUP(tblSeket[[#This Row],[DistCode]],tblDistrict[#All],2,FALSE)</f>
        <v>NGI</v>
      </c>
      <c r="I63" s="1" t="s">
        <v>100</v>
      </c>
      <c r="J63" s="1" t="s">
        <v>167</v>
      </c>
    </row>
    <row r="64" spans="6:10" x14ac:dyDescent="0.35">
      <c r="F64" s="1" t="str">
        <f>CONCATENATE(tblSeket[[#This Row],[DistCode]],"-",tblSeket[[#This Row],[scode]])</f>
        <v>D09-S04</v>
      </c>
      <c r="G64" s="1" t="str">
        <f>Distrik!F13</f>
        <v>D09</v>
      </c>
      <c r="H64" s="1" t="str">
        <f>VLOOKUP(tblSeket[[#This Row],[DistCode]],tblDistrict[#All],2,FALSE)</f>
        <v>NGI</v>
      </c>
      <c r="I64" s="1" t="s">
        <v>102</v>
      </c>
      <c r="J64" s="1" t="s">
        <v>168</v>
      </c>
    </row>
    <row r="65" spans="6:10" x14ac:dyDescent="0.35">
      <c r="F65" s="1" t="str">
        <f>CONCATENATE(tblSeket[[#This Row],[DistCode]],"-",tblSeket[[#This Row],[scode]])</f>
        <v>D12-S01</v>
      </c>
      <c r="G65" s="1" t="str">
        <f>Distrik!F16</f>
        <v>D12</v>
      </c>
      <c r="H65" s="1" t="str">
        <f>VLOOKUP(tblSeket[[#This Row],[DistCode]],tblDistrict[#All],2,FALSE)</f>
        <v>Goroka</v>
      </c>
      <c r="I65" s="1" t="s">
        <v>96</v>
      </c>
      <c r="J65" s="1" t="s">
        <v>169</v>
      </c>
    </row>
    <row r="66" spans="6:10" x14ac:dyDescent="0.35">
      <c r="F66" s="1" t="str">
        <f>CONCATENATE(tblSeket[[#This Row],[DistCode]],"-",tblSeket[[#This Row],[scode]])</f>
        <v>D12-S02</v>
      </c>
      <c r="G66" s="1" t="str">
        <f>Distrik!F16</f>
        <v>D12</v>
      </c>
      <c r="H66" s="1" t="str">
        <f>VLOOKUP(tblSeket[[#This Row],[DistCode]],tblDistrict[#All],2,FALSE)</f>
        <v>Goroka</v>
      </c>
      <c r="I66" s="1" t="s">
        <v>98</v>
      </c>
      <c r="J66" s="1" t="s">
        <v>170</v>
      </c>
    </row>
    <row r="67" spans="6:10" x14ac:dyDescent="0.35">
      <c r="F67" s="1" t="str">
        <f>CONCATENATE(tblSeket[[#This Row],[DistCode]],"-",tblSeket[[#This Row],[scode]])</f>
        <v>D12-S03</v>
      </c>
      <c r="G67" s="1" t="str">
        <f>Distrik!F16</f>
        <v>D12</v>
      </c>
      <c r="H67" s="1" t="str">
        <f>VLOOKUP(tblSeket[[#This Row],[DistCode]],tblDistrict[#All],2,FALSE)</f>
        <v>Goroka</v>
      </c>
      <c r="I67" s="1" t="s">
        <v>100</v>
      </c>
      <c r="J67" s="1" t="s">
        <v>171</v>
      </c>
    </row>
    <row r="68" spans="6:10" x14ac:dyDescent="0.35">
      <c r="F68" s="1" t="str">
        <f>CONCATENATE(tblSeket[[#This Row],[DistCode]],"-",tblSeket[[#This Row],[scode]])</f>
        <v>D12-S04</v>
      </c>
      <c r="G68" s="1" t="str">
        <f>Distrik!F16</f>
        <v>D12</v>
      </c>
      <c r="H68" s="1" t="str">
        <f>VLOOKUP(tblSeket[[#This Row],[DistCode]],tblDistrict[#All],2,FALSE)</f>
        <v>Goroka</v>
      </c>
      <c r="I68" s="1" t="s">
        <v>102</v>
      </c>
      <c r="J68" s="1" t="s">
        <v>172</v>
      </c>
    </row>
    <row r="69" spans="6:10" x14ac:dyDescent="0.35">
      <c r="F69" s="1" t="str">
        <f>CONCATENATE(tblSeket[[#This Row],[DistCode]],"-",tblSeket[[#This Row],[scode]])</f>
        <v>D12-S05</v>
      </c>
      <c r="G69" s="1" t="str">
        <f>Distrik!F16</f>
        <v>D12</v>
      </c>
      <c r="H69" s="1" t="str">
        <f>VLOOKUP(tblSeket[[#This Row],[DistCode]],tblDistrict[#All],2,FALSE)</f>
        <v>Goroka</v>
      </c>
      <c r="I69" s="1" t="s">
        <v>104</v>
      </c>
      <c r="J69" s="1" t="s">
        <v>173</v>
      </c>
    </row>
    <row r="70" spans="6:10" x14ac:dyDescent="0.35">
      <c r="F70" s="1" t="str">
        <f>CONCATENATE(tblSeket[[#This Row],[DistCode]],"-",tblSeket[[#This Row],[scode]])</f>
        <v>D12-S06</v>
      </c>
      <c r="G70" s="1" t="str">
        <f>Distrik!F16</f>
        <v>D12</v>
      </c>
      <c r="H70" s="1" t="str">
        <f>VLOOKUP(tblSeket[[#This Row],[DistCode]],tblDistrict[#All],2,FALSE)</f>
        <v>Goroka</v>
      </c>
      <c r="I70" s="1" t="s">
        <v>106</v>
      </c>
      <c r="J70" s="1" t="s">
        <v>174</v>
      </c>
    </row>
    <row r="71" spans="6:10" x14ac:dyDescent="0.35">
      <c r="F71" s="1" t="str">
        <f>CONCATENATE(tblSeket[[#This Row],[DistCode]],"-",tblSeket[[#This Row],[scode]])</f>
        <v>D12-S07</v>
      </c>
      <c r="G71" s="1" t="str">
        <f>Distrik!F16</f>
        <v>D12</v>
      </c>
      <c r="H71" s="1" t="str">
        <f>VLOOKUP(tblSeket[[#This Row],[DistCode]],tblDistrict[#All],2,FALSE)</f>
        <v>Goroka</v>
      </c>
      <c r="I71" s="1" t="s">
        <v>108</v>
      </c>
      <c r="J71" s="1" t="s">
        <v>175</v>
      </c>
    </row>
    <row r="72" spans="6:10" x14ac:dyDescent="0.35">
      <c r="F72" s="1" t="str">
        <f>CONCATENATE(tblSeket[[#This Row],[DistCode]],"-",tblSeket[[#This Row],[scode]])</f>
        <v>D14-S01</v>
      </c>
      <c r="G72" s="1" t="str">
        <f>Distrik!F18</f>
        <v>D14</v>
      </c>
      <c r="H72" s="1" t="str">
        <f>VLOOKUP(tblSeket[[#This Row],[DistCode]],tblDistrict[#All],2,FALSE)</f>
        <v>Simbu</v>
      </c>
      <c r="I72" s="1" t="s">
        <v>96</v>
      </c>
      <c r="J72" s="1" t="s">
        <v>176</v>
      </c>
    </row>
    <row r="73" spans="6:10" x14ac:dyDescent="0.35">
      <c r="F73" s="1" t="str">
        <f>CONCATENATE(tblSeket[[#This Row],[DistCode]],"-",tblSeket[[#This Row],[scode]])</f>
        <v>D14-S02</v>
      </c>
      <c r="G73" s="1" t="str">
        <f>Distrik!F18</f>
        <v>D14</v>
      </c>
      <c r="H73" s="1" t="str">
        <f>VLOOKUP(tblSeket[[#This Row],[DistCode]],tblDistrict[#All],2,FALSE)</f>
        <v>Simbu</v>
      </c>
      <c r="I73" s="1" t="s">
        <v>98</v>
      </c>
      <c r="J73" s="1" t="s">
        <v>177</v>
      </c>
    </row>
    <row r="74" spans="6:10" x14ac:dyDescent="0.35">
      <c r="F74" s="1" t="str">
        <f>CONCATENATE(tblSeket[[#This Row],[DistCode]],"-",tblSeket[[#This Row],[scode]])</f>
        <v>D14-S03</v>
      </c>
      <c r="G74" s="1" t="str">
        <f>Distrik!F18</f>
        <v>D14</v>
      </c>
      <c r="H74" s="1" t="str">
        <f>VLOOKUP(tblSeket[[#This Row],[DistCode]],tblDistrict[#All],2,FALSE)</f>
        <v>Simbu</v>
      </c>
      <c r="I74" s="1" t="s">
        <v>100</v>
      </c>
      <c r="J74" s="1" t="s">
        <v>178</v>
      </c>
    </row>
    <row r="75" spans="6:10" x14ac:dyDescent="0.35">
      <c r="F75" s="1" t="str">
        <f>CONCATENATE(tblSeket[[#This Row],[DistCode]],"-",tblSeket[[#This Row],[scode]])</f>
        <v>D14-S04</v>
      </c>
      <c r="G75" s="1" t="str">
        <f>Distrik!F18</f>
        <v>D14</v>
      </c>
      <c r="H75" s="1" t="str">
        <f>VLOOKUP(tblSeket[[#This Row],[DistCode]],tblDistrict[#All],2,FALSE)</f>
        <v>Simbu</v>
      </c>
      <c r="I75" s="1" t="s">
        <v>102</v>
      </c>
      <c r="J75" s="1" t="s">
        <v>179</v>
      </c>
    </row>
    <row r="76" spans="6:10" x14ac:dyDescent="0.35">
      <c r="F76" s="1" t="str">
        <f>CONCATENATE(tblSeket[[#This Row],[DistCode]],"-",tblSeket[[#This Row],[scode]])</f>
        <v>D14-S05</v>
      </c>
      <c r="G76" s="1" t="str">
        <f>Distrik!F18</f>
        <v>D14</v>
      </c>
      <c r="H76" s="1" t="str">
        <f>VLOOKUP(tblSeket[[#This Row],[DistCode]],tblDistrict[#All],2,FALSE)</f>
        <v>Simbu</v>
      </c>
      <c r="I76" s="1" t="s">
        <v>104</v>
      </c>
      <c r="J76" s="1" t="s">
        <v>180</v>
      </c>
    </row>
    <row r="77" spans="6:10" x14ac:dyDescent="0.35">
      <c r="F77" s="1" t="str">
        <f>CONCATENATE(tblSeket[[#This Row],[DistCode]],"-",tblSeket[[#This Row],[scode]])</f>
        <v>D14-S06</v>
      </c>
      <c r="G77" s="1" t="str">
        <f>Distrik!F18</f>
        <v>D14</v>
      </c>
      <c r="H77" s="1" t="str">
        <f>VLOOKUP(tblSeket[[#This Row],[DistCode]],tblDistrict[#All],2,FALSE)</f>
        <v>Simbu</v>
      </c>
      <c r="I77" s="1" t="s">
        <v>106</v>
      </c>
      <c r="J77" s="1" t="s">
        <v>181</v>
      </c>
    </row>
    <row r="78" spans="6:10" x14ac:dyDescent="0.35">
      <c r="F78" s="1" t="str">
        <f>CONCATENATE(tblSeket[[#This Row],[DistCode]],"-",tblSeket[[#This Row],[scode]])</f>
        <v>D14-S07</v>
      </c>
      <c r="G78" s="1" t="str">
        <f>Distrik!F18</f>
        <v>D14</v>
      </c>
      <c r="H78" s="1" t="str">
        <f>VLOOKUP(tblSeket[[#This Row],[DistCode]],tblDistrict[#All],2,FALSE)</f>
        <v>Simbu</v>
      </c>
      <c r="I78" s="1" t="s">
        <v>108</v>
      </c>
      <c r="J78" s="1" t="s">
        <v>182</v>
      </c>
    </row>
    <row r="79" spans="6:10" x14ac:dyDescent="0.35">
      <c r="F79" s="1" t="str">
        <f>CONCATENATE(tblSeket[[#This Row],[DistCode]],"-",tblSeket[[#This Row],[scode]])</f>
        <v>D14-S08</v>
      </c>
      <c r="G79" s="1" t="str">
        <f>Distrik!F18</f>
        <v>D14</v>
      </c>
      <c r="H79" s="1" t="str">
        <f>VLOOKUP(tblSeket[[#This Row],[DistCode]],tblDistrict[#All],2,FALSE)</f>
        <v>Simbu</v>
      </c>
      <c r="I79" s="1" t="s">
        <v>110</v>
      </c>
      <c r="J79" s="1" t="s">
        <v>183</v>
      </c>
    </row>
    <row r="80" spans="6:10" x14ac:dyDescent="0.35">
      <c r="F80" s="1" t="str">
        <f>CONCATENATE(tblSeket[[#This Row],[DistCode]],"-",tblSeket[[#This Row],[scode]])</f>
        <v>D14-S09</v>
      </c>
      <c r="G80" s="1" t="str">
        <f>Distrik!F18</f>
        <v>D14</v>
      </c>
      <c r="H80" s="1" t="str">
        <f>VLOOKUP(tblSeket[[#This Row],[DistCode]],tblDistrict[#All],2,FALSE)</f>
        <v>Simbu</v>
      </c>
      <c r="I80" s="1" t="s">
        <v>120</v>
      </c>
      <c r="J80" s="1" t="s">
        <v>88</v>
      </c>
    </row>
    <row r="81" spans="6:11" x14ac:dyDescent="0.35">
      <c r="F81" s="1" t="str">
        <f>CONCATENATE(tblSeket[[#This Row],[DistCode]],"-",tblSeket[[#This Row],[scode]])</f>
        <v>D14-S10</v>
      </c>
      <c r="G81" s="1" t="str">
        <f>Distrik!F18</f>
        <v>D14</v>
      </c>
      <c r="H81" s="1" t="str">
        <f>VLOOKUP(tblSeket[[#This Row],[DistCode]],tblDistrict[#All],2,FALSE)</f>
        <v>Simbu</v>
      </c>
      <c r="I81" s="1" t="s">
        <v>122</v>
      </c>
      <c r="J81" s="1" t="s">
        <v>184</v>
      </c>
    </row>
    <row r="82" spans="6:11" x14ac:dyDescent="0.35">
      <c r="F82" s="1" t="str">
        <f>CONCATENATE(tblSeket[[#This Row],[DistCode]],"-",tblSeket[[#This Row],[scode]])</f>
        <v>D14-S11</v>
      </c>
      <c r="G82" s="1" t="str">
        <f>Distrik!F18</f>
        <v>D14</v>
      </c>
      <c r="H82" s="1" t="str">
        <f>VLOOKUP(tblSeket[[#This Row],[DistCode]],tblDistrict[#All],2,FALSE)</f>
        <v>Simbu</v>
      </c>
      <c r="I82" s="1" t="s">
        <v>124</v>
      </c>
      <c r="J82" s="1" t="s">
        <v>185</v>
      </c>
    </row>
    <row r="83" spans="6:11" x14ac:dyDescent="0.35">
      <c r="F83" s="1" t="str">
        <f>CONCATENATE(tblSeket[[#This Row],[DistCode]],"-",tblSeket[[#This Row],[scode]])</f>
        <v>D14-S12</v>
      </c>
      <c r="G83" s="1" t="str">
        <f>Distrik!F18</f>
        <v>D14</v>
      </c>
      <c r="H83" s="1" t="str">
        <f>VLOOKUP(tblSeket[[#This Row],[DistCode]],tblDistrict[#All],2,FALSE)</f>
        <v>Simbu</v>
      </c>
      <c r="I83" s="1" t="s">
        <v>126</v>
      </c>
      <c r="J83" s="1" t="s">
        <v>186</v>
      </c>
    </row>
    <row r="84" spans="6:11" x14ac:dyDescent="0.35">
      <c r="F84" s="1" t="str">
        <f>CONCATENATE(tblSeket[[#This Row],[DistCode]],"-",tblSeket[[#This Row],[scode]])</f>
        <v>D14-S13</v>
      </c>
      <c r="G84" s="1" t="str">
        <f>Distrik!F18</f>
        <v>D14</v>
      </c>
      <c r="H84" s="1" t="str">
        <f>VLOOKUP(tblSeket[[#This Row],[DistCode]],tblDistrict[#All],2,FALSE)</f>
        <v>Simbu</v>
      </c>
      <c r="I84" s="1" t="s">
        <v>128</v>
      </c>
      <c r="J84" s="1" t="s">
        <v>187</v>
      </c>
    </row>
    <row r="85" spans="6:11" x14ac:dyDescent="0.35">
      <c r="F85" s="1" t="str">
        <f>CONCATENATE(tblSeket[[#This Row],[DistCode]],"-",tblSeket[[#This Row],[scode]])</f>
        <v>D14-S14</v>
      </c>
      <c r="G85" s="1" t="str">
        <f>Distrik!F18</f>
        <v>D14</v>
      </c>
      <c r="H85" s="1" t="str">
        <f>VLOOKUP(tblSeket[[#This Row],[DistCode]],tblDistrict[#All],2,FALSE)</f>
        <v>Simbu</v>
      </c>
      <c r="I85" s="1" t="s">
        <v>130</v>
      </c>
      <c r="J85" s="1" t="s">
        <v>188</v>
      </c>
      <c r="K85" s="42"/>
    </row>
    <row r="86" spans="6:11" x14ac:dyDescent="0.35">
      <c r="F86" s="1" t="str">
        <f>CONCATENATE(tblSeket[[#This Row],[DistCode]],"-",tblSeket[[#This Row],[scode]])</f>
        <v>D14-S15</v>
      </c>
      <c r="G86" s="1" t="str">
        <f>Distrik!F18</f>
        <v>D14</v>
      </c>
      <c r="H86" s="1" t="str">
        <f>VLOOKUP(tblSeket[[#This Row],[DistCode]],tblDistrict[#All],2,FALSE)</f>
        <v>Simbu</v>
      </c>
      <c r="I86" s="1" t="s">
        <v>189</v>
      </c>
      <c r="J86" s="1" t="s">
        <v>190</v>
      </c>
    </row>
    <row r="87" spans="6:11" x14ac:dyDescent="0.35">
      <c r="F87" s="1" t="str">
        <f>CONCATENATE(tblSeket[[#This Row],[DistCode]],"-",tblSeket[[#This Row],[scode]])</f>
        <v>D14-S16</v>
      </c>
      <c r="G87" s="1" t="str">
        <f>Distrik!F18</f>
        <v>D14</v>
      </c>
      <c r="H87" s="1" t="str">
        <f>VLOOKUP(tblSeket[[#This Row],[DistCode]],tblDistrict[#All],2,FALSE)</f>
        <v>Simbu</v>
      </c>
      <c r="I87" s="1" t="s">
        <v>191</v>
      </c>
      <c r="J87" s="1" t="s">
        <v>192</v>
      </c>
    </row>
    <row r="88" spans="6:11" x14ac:dyDescent="0.35">
      <c r="F88" s="1" t="str">
        <f>CONCATENATE(tblSeket[[#This Row],[DistCode]],"-",tblSeket[[#This Row],[scode]])</f>
        <v>D14-S17</v>
      </c>
      <c r="G88" s="1" t="str">
        <f>Distrik!F18</f>
        <v>D14</v>
      </c>
      <c r="H88" s="1" t="str">
        <f>VLOOKUP(tblSeket[[#This Row],[DistCode]],tblDistrict[#All],2,FALSE)</f>
        <v>Simbu</v>
      </c>
      <c r="I88" s="1" t="s">
        <v>193</v>
      </c>
      <c r="J88" s="1" t="s">
        <v>194</v>
      </c>
    </row>
  </sheetData>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7"/>
  </sheetPr>
  <dimension ref="A1:M359"/>
  <sheetViews>
    <sheetView tabSelected="1" workbookViewId="0">
      <selection activeCell="B21" sqref="B21:C22"/>
    </sheetView>
  </sheetViews>
  <sheetFormatPr defaultColWidth="8.7265625" defaultRowHeight="14.5" x14ac:dyDescent="0.35"/>
  <cols>
    <col min="1" max="1" width="3.1796875" style="43" customWidth="1"/>
    <col min="2" max="2" width="11.1796875" style="43" customWidth="1"/>
    <col min="3" max="3" width="12.26953125" style="43" customWidth="1"/>
    <col min="4" max="4" width="4.1796875" style="43" customWidth="1"/>
    <col min="5" max="5" width="4.1796875" style="31" customWidth="1"/>
    <col min="6" max="6" width="13.26953125" style="1" bestFit="1" customWidth="1"/>
    <col min="7" max="7" width="11.26953125" style="1" bestFit="1" customWidth="1"/>
    <col min="8" max="8" width="11.1796875" style="1" customWidth="1"/>
    <col min="9" max="9" width="8.7265625" style="1" bestFit="1" customWidth="1"/>
    <col min="10" max="10" width="12.7265625" style="1" customWidth="1"/>
    <col min="11" max="11" width="13.54296875" style="1" bestFit="1" customWidth="1"/>
    <col min="12" max="12" width="10.453125" style="1" bestFit="1" customWidth="1"/>
    <col min="13" max="13" width="13.1796875" style="1" customWidth="1"/>
    <col min="14" max="16384" width="8.7265625" style="1"/>
  </cols>
  <sheetData>
    <row r="1" spans="1:13" s="43" customFormat="1" x14ac:dyDescent="0.35"/>
    <row r="2" spans="1:13" s="43" customFormat="1" ht="28.5" x14ac:dyDescent="0.65">
      <c r="B2" s="3"/>
      <c r="C2" s="4"/>
      <c r="E2" s="44" t="s">
        <v>195</v>
      </c>
    </row>
    <row r="3" spans="1:13" ht="18.5" x14ac:dyDescent="0.45">
      <c r="B3" s="7"/>
      <c r="C3" s="8"/>
      <c r="G3" s="33"/>
      <c r="H3" s="33"/>
      <c r="L3" s="1" t="s">
        <v>196</v>
      </c>
      <c r="M3" s="1">
        <f>SUBTOTAL(3,tblParish[parishCode])</f>
        <v>354</v>
      </c>
    </row>
    <row r="4" spans="1:13" x14ac:dyDescent="0.35">
      <c r="B4" s="7"/>
      <c r="C4" s="8"/>
      <c r="F4" s="1" t="s">
        <v>197</v>
      </c>
      <c r="G4" s="1" t="s">
        <v>68</v>
      </c>
      <c r="H4" s="1" t="s">
        <v>198</v>
      </c>
      <c r="I4" s="1" t="s">
        <v>199</v>
      </c>
      <c r="J4" s="1" t="s">
        <v>200</v>
      </c>
      <c r="K4" s="1" t="s">
        <v>201</v>
      </c>
      <c r="L4" s="1" t="s">
        <v>202</v>
      </c>
      <c r="M4" s="1" t="s">
        <v>203</v>
      </c>
    </row>
    <row r="5" spans="1:13" x14ac:dyDescent="0.35">
      <c r="B5" s="7"/>
      <c r="C5" s="8"/>
      <c r="F5" s="1" t="str">
        <f>CONCATENATE(tblParish[[#This Row],[seketCode]],"-",tblParish[[#This Row],[pCode]])</f>
        <v>D01-S01-P01</v>
      </c>
      <c r="G5" s="1" t="str">
        <f>Distrik!F$5</f>
        <v>D01</v>
      </c>
      <c r="H5" s="1" t="str">
        <f>VLOOKUP(tblParish[[#This Row],[DistCode]],tblDistrict[],2,FALSE)</f>
        <v>Kâte</v>
      </c>
      <c r="I5" s="1" t="str">
        <f>Seket!I$5</f>
        <v>S01</v>
      </c>
      <c r="J5" s="1" t="str">
        <f>CONCATENATE(tblParish[[#This Row],[DistCode]],"-",tblParish[[#This Row],[sCode]])</f>
        <v>D01-S01</v>
      </c>
      <c r="K5" s="1" t="str">
        <f>VLOOKUP(tblParish[[#This Row],[seketCode]],tblSeket[#All],5,FALSE)</f>
        <v>Kalasa</v>
      </c>
      <c r="L5" s="1" t="s">
        <v>204</v>
      </c>
      <c r="M5" s="1" t="s">
        <v>205</v>
      </c>
    </row>
    <row r="6" spans="1:13" x14ac:dyDescent="0.35">
      <c r="A6" s="45"/>
      <c r="B6" s="10"/>
      <c r="C6" s="11"/>
      <c r="D6" s="45"/>
      <c r="E6" s="36"/>
      <c r="F6" s="1" t="str">
        <f>CONCATENATE(tblParish[[#This Row],[seketCode]],"-",tblParish[[#This Row],[pCode]])</f>
        <v>D01-S01-P02</v>
      </c>
      <c r="G6" s="1" t="str">
        <f>Distrik!F$5</f>
        <v>D01</v>
      </c>
      <c r="H6" s="1" t="str">
        <f>VLOOKUP(tblParish[[#This Row],[DistCode]],tblDistrict[],2,FALSE)</f>
        <v>Kâte</v>
      </c>
      <c r="I6" s="1" t="str">
        <f>Seket!I$5</f>
        <v>S01</v>
      </c>
      <c r="J6" s="1" t="str">
        <f>CONCATENATE(tblParish[[#This Row],[DistCode]],"-",tblParish[[#This Row],[sCode]])</f>
        <v>D01-S01</v>
      </c>
      <c r="K6" s="1" t="e">
        <f>VLOOKUP(tblParish[[#This Row],[seketCode]],tblSeket,5,FALSE)</f>
        <v>#NAME?</v>
      </c>
      <c r="L6" s="1" t="s">
        <v>206</v>
      </c>
      <c r="M6" s="1" t="s">
        <v>207</v>
      </c>
    </row>
    <row r="7" spans="1:13" x14ac:dyDescent="0.35">
      <c r="B7" s="7"/>
      <c r="C7" s="8"/>
      <c r="F7" s="1" t="str">
        <f>CONCATENATE(tblParish[[#This Row],[seketCode]],"-",tblParish[[#This Row],[pCode]])</f>
        <v>D01-S01-P03</v>
      </c>
      <c r="G7" s="1" t="str">
        <f>Distrik!F$5</f>
        <v>D01</v>
      </c>
      <c r="H7" s="1" t="str">
        <f>VLOOKUP(tblParish[[#This Row],[DistCode]],tblDistrict[],2,FALSE)</f>
        <v>Kâte</v>
      </c>
      <c r="I7" s="1" t="str">
        <f>Seket!I$5</f>
        <v>S01</v>
      </c>
      <c r="J7" s="1" t="str">
        <f>CONCATENATE(tblParish[[#This Row],[DistCode]],"-",tblParish[[#This Row],[sCode]])</f>
        <v>D01-S01</v>
      </c>
      <c r="K7" s="1" t="e">
        <f>VLOOKUP(tblParish[[#This Row],[seketCode]],tblSeket,5,FALSE)</f>
        <v>#NAME?</v>
      </c>
      <c r="L7" s="1" t="s">
        <v>208</v>
      </c>
      <c r="M7" s="1" t="s">
        <v>209</v>
      </c>
    </row>
    <row r="8" spans="1:13" ht="15.5" x14ac:dyDescent="0.35">
      <c r="B8" s="51" t="str">
        <f>Dashboard!B8</f>
        <v>District Code Records</v>
      </c>
      <c r="C8" s="52"/>
      <c r="F8" s="1" t="str">
        <f>CONCATENATE(tblParish[[#This Row],[seketCode]],"-",tblParish[[#This Row],[pCode]])</f>
        <v>D01-S01-P04</v>
      </c>
      <c r="G8" s="1" t="str">
        <f>Distrik!F$5</f>
        <v>D01</v>
      </c>
      <c r="H8" s="1" t="str">
        <f>VLOOKUP(tblParish[[#This Row],[DistCode]],tblDistrict[],2,FALSE)</f>
        <v>Kâte</v>
      </c>
      <c r="I8" s="1" t="str">
        <f>Seket!I$5</f>
        <v>S01</v>
      </c>
      <c r="J8" s="1" t="str">
        <f>CONCATENATE(tblParish[[#This Row],[DistCode]],"-",tblParish[[#This Row],[sCode]])</f>
        <v>D01-S01</v>
      </c>
      <c r="K8" s="1" t="e">
        <f>VLOOKUP(tblParish[[#This Row],[seketCode]],tblSeket,5,FALSE)</f>
        <v>#NAME?</v>
      </c>
      <c r="L8" s="1" t="s">
        <v>210</v>
      </c>
      <c r="M8" s="1" t="s">
        <v>211</v>
      </c>
    </row>
    <row r="9" spans="1:13" ht="15" customHeight="1" x14ac:dyDescent="0.35">
      <c r="B9" s="53" t="str">
        <f>Dashboard!B9</f>
        <v>as of March 2023</v>
      </c>
      <c r="C9" s="54"/>
      <c r="F9" s="1" t="str">
        <f>CONCATENATE(tblParish[[#This Row],[seketCode]],"-",tblParish[[#This Row],[pCode]])</f>
        <v>D01-S01-P05</v>
      </c>
      <c r="G9" s="1" t="str">
        <f>Distrik!F$5</f>
        <v>D01</v>
      </c>
      <c r="H9" s="1" t="str">
        <f>VLOOKUP(tblParish[[#This Row],[DistCode]],tblDistrict[],2,FALSE)</f>
        <v>Kâte</v>
      </c>
      <c r="I9" s="1" t="str">
        <f>Seket!I$5</f>
        <v>S01</v>
      </c>
      <c r="J9" s="1" t="str">
        <f>CONCATENATE(tblParish[[#This Row],[DistCode]],"-",tblParish[[#This Row],[sCode]])</f>
        <v>D01-S01</v>
      </c>
      <c r="K9" s="1" t="e">
        <f>VLOOKUP(tblParish[[#This Row],[seketCode]],tblSeket,5,FALSE)</f>
        <v>#NAME?</v>
      </c>
      <c r="L9" s="1" t="s">
        <v>212</v>
      </c>
      <c r="M9" s="1" t="s">
        <v>213</v>
      </c>
    </row>
    <row r="10" spans="1:13" x14ac:dyDescent="0.35">
      <c r="B10" s="15"/>
      <c r="C10" s="16"/>
      <c r="F10" s="1" t="str">
        <f>CONCATENATE(tblParish[[#This Row],[seketCode]],"-",tblParish[[#This Row],[pCode]])</f>
        <v>D01-S01-P06</v>
      </c>
      <c r="G10" s="1" t="str">
        <f>Distrik!F$5</f>
        <v>D01</v>
      </c>
      <c r="H10" s="1" t="str">
        <f>VLOOKUP(tblParish[[#This Row],[DistCode]],tblDistrict[],2,FALSE)</f>
        <v>Kâte</v>
      </c>
      <c r="I10" s="1" t="str">
        <f>Seket!I$5</f>
        <v>S01</v>
      </c>
      <c r="J10" s="1" t="str">
        <f>CONCATENATE(tblParish[[#This Row],[DistCode]],"-",tblParish[[#This Row],[sCode]])</f>
        <v>D01-S01</v>
      </c>
      <c r="K10" s="1" t="e">
        <f>VLOOKUP(tblParish[[#This Row],[seketCode]],tblSeket,5,FALSE)</f>
        <v>#NAME?</v>
      </c>
      <c r="L10" s="1" t="s">
        <v>214</v>
      </c>
      <c r="M10" s="1" t="s">
        <v>215</v>
      </c>
    </row>
    <row r="11" spans="1:13" x14ac:dyDescent="0.35">
      <c r="F11" s="1" t="str">
        <f>CONCATENATE(tblParish[[#This Row],[seketCode]],"-",tblParish[[#This Row],[pCode]])</f>
        <v>D01-S01-P07</v>
      </c>
      <c r="G11" s="1" t="str">
        <f>Distrik!F$5</f>
        <v>D01</v>
      </c>
      <c r="H11" s="1" t="str">
        <f>VLOOKUP(tblParish[[#This Row],[DistCode]],tblDistrict[],2,FALSE)</f>
        <v>Kâte</v>
      </c>
      <c r="I11" s="1" t="str">
        <f>Seket!I$5</f>
        <v>S01</v>
      </c>
      <c r="J11" s="1" t="str">
        <f>CONCATENATE(tblParish[[#This Row],[DistCode]],"-",tblParish[[#This Row],[sCode]])</f>
        <v>D01-S01</v>
      </c>
      <c r="K11" s="1" t="e">
        <f>VLOOKUP(tblParish[[#This Row],[seketCode]],tblSeket,5,FALSE)</f>
        <v>#NAME?</v>
      </c>
      <c r="L11" s="1" t="s">
        <v>216</v>
      </c>
      <c r="M11" s="1" t="s">
        <v>217</v>
      </c>
    </row>
    <row r="12" spans="1:13" ht="15" customHeight="1" x14ac:dyDescent="0.35">
      <c r="B12" s="91" t="s">
        <v>13</v>
      </c>
      <c r="C12" s="92"/>
      <c r="F12" s="1" t="str">
        <f>CONCATENATE(tblParish[[#This Row],[seketCode]],"-",tblParish[[#This Row],[pCode]])</f>
        <v>D01-S01-P08</v>
      </c>
      <c r="G12" s="1" t="str">
        <f>Distrik!F$5</f>
        <v>D01</v>
      </c>
      <c r="H12" s="1" t="str">
        <f>VLOOKUP(tblParish[[#This Row],[DistCode]],tblDistrict[],2,FALSE)</f>
        <v>Kâte</v>
      </c>
      <c r="I12" s="1" t="str">
        <f>Seket!I$5</f>
        <v>S01</v>
      </c>
      <c r="J12" s="1" t="str">
        <f>CONCATENATE(tblParish[[#This Row],[DistCode]],"-",tblParish[[#This Row],[sCode]])</f>
        <v>D01-S01</v>
      </c>
      <c r="K12" s="1" t="e">
        <f>VLOOKUP(tblParish[[#This Row],[seketCode]],tblSeket,5,FALSE)</f>
        <v>#NAME?</v>
      </c>
      <c r="L12" s="1" t="s">
        <v>218</v>
      </c>
      <c r="M12" s="1" t="s">
        <v>219</v>
      </c>
    </row>
    <row r="13" spans="1:13" ht="15" customHeight="1" x14ac:dyDescent="0.35">
      <c r="B13" s="93"/>
      <c r="C13" s="94"/>
      <c r="F13" s="1" t="str">
        <f>CONCATENATE(tblParish[[#This Row],[seketCode]],"-",tblParish[[#This Row],[pCode]])</f>
        <v>D01-S02-P01</v>
      </c>
      <c r="G13" s="1" t="str">
        <f>Distrik!F$5</f>
        <v>D01</v>
      </c>
      <c r="H13" s="1" t="str">
        <f>VLOOKUP(tblParish[[#This Row],[DistCode]],tblDistrict[],2,FALSE)</f>
        <v>Kâte</v>
      </c>
      <c r="I13" s="1" t="str">
        <f>Seket!I$6</f>
        <v>S02</v>
      </c>
      <c r="J13" s="1" t="str">
        <f>CONCATENATE(tblParish[[#This Row],[DistCode]],"-",tblParish[[#This Row],[sCode]])</f>
        <v>D01-S02</v>
      </c>
      <c r="K13" s="1" t="e">
        <f>VLOOKUP(tblParish[[#This Row],[seketCode]],tblSeket,5,FALSE)</f>
        <v>#NAME?</v>
      </c>
      <c r="L13" s="1" t="s">
        <v>204</v>
      </c>
      <c r="M13" s="1" t="s">
        <v>220</v>
      </c>
    </row>
    <row r="14" spans="1:13" x14ac:dyDescent="0.35">
      <c r="F14" s="1" t="str">
        <f>CONCATENATE(tblParish[[#This Row],[seketCode]],"-",tblParish[[#This Row],[pCode]])</f>
        <v>D01-S02-P02</v>
      </c>
      <c r="G14" s="1" t="str">
        <f>Distrik!F$5</f>
        <v>D01</v>
      </c>
      <c r="H14" s="1" t="str">
        <f>VLOOKUP(tblParish[[#This Row],[DistCode]],tblDistrict[],2,FALSE)</f>
        <v>Kâte</v>
      </c>
      <c r="I14" s="1" t="str">
        <f>Seket!I$6</f>
        <v>S02</v>
      </c>
      <c r="J14" s="1" t="str">
        <f>CONCATENATE(tblParish[[#This Row],[DistCode]],"-",tblParish[[#This Row],[sCode]])</f>
        <v>D01-S02</v>
      </c>
      <c r="K14" s="1" t="e">
        <f>VLOOKUP(tblParish[[#This Row],[seketCode]],tblSeket,5,FALSE)</f>
        <v>#NAME?</v>
      </c>
      <c r="L14" s="1" t="s">
        <v>206</v>
      </c>
      <c r="M14" s="1" t="s">
        <v>221</v>
      </c>
    </row>
    <row r="15" spans="1:13" ht="15" customHeight="1" x14ac:dyDescent="0.35">
      <c r="B15" s="81" t="s">
        <v>21</v>
      </c>
      <c r="C15" s="82"/>
      <c r="F15" s="1" t="str">
        <f>CONCATENATE(tblParish[[#This Row],[seketCode]],"-",tblParish[[#This Row],[pCode]])</f>
        <v>D01-S02-P03</v>
      </c>
      <c r="G15" s="1" t="str">
        <f>Distrik!F$5</f>
        <v>D01</v>
      </c>
      <c r="H15" s="1" t="str">
        <f>VLOOKUP(tblParish[[#This Row],[DistCode]],tblDistrict[],2,FALSE)</f>
        <v>Kâte</v>
      </c>
      <c r="I15" s="1" t="str">
        <f>Seket!I$6</f>
        <v>S02</v>
      </c>
      <c r="J15" s="1" t="str">
        <f>CONCATENATE(tblParish[[#This Row],[DistCode]],"-",tblParish[[#This Row],[sCode]])</f>
        <v>D01-S02</v>
      </c>
      <c r="K15" s="1" t="e">
        <f>VLOOKUP(tblParish[[#This Row],[seketCode]],tblSeket,5,FALSE)</f>
        <v>#NAME?</v>
      </c>
      <c r="L15" s="1" t="s">
        <v>208</v>
      </c>
      <c r="M15" s="1" t="s">
        <v>222</v>
      </c>
    </row>
    <row r="16" spans="1:13" ht="15" customHeight="1" x14ac:dyDescent="0.35">
      <c r="B16" s="83"/>
      <c r="C16" s="84"/>
      <c r="F16" s="1" t="str">
        <f>CONCATENATE(tblParish[[#This Row],[seketCode]],"-",tblParish[[#This Row],[pCode]])</f>
        <v>D01-S02-P04</v>
      </c>
      <c r="G16" s="1" t="str">
        <f>Distrik!F$5</f>
        <v>D01</v>
      </c>
      <c r="H16" s="1" t="str">
        <f>VLOOKUP(tblParish[[#This Row],[DistCode]],tblDistrict[],2,FALSE)</f>
        <v>Kâte</v>
      </c>
      <c r="I16" s="1" t="str">
        <f>Seket!I$6</f>
        <v>S02</v>
      </c>
      <c r="J16" s="1" t="str">
        <f>CONCATENATE(tblParish[[#This Row],[DistCode]],"-",tblParish[[#This Row],[sCode]])</f>
        <v>D01-S02</v>
      </c>
      <c r="K16" s="1" t="e">
        <f>VLOOKUP(tblParish[[#This Row],[seketCode]],tblSeket,5,FALSE)</f>
        <v>#NAME?</v>
      </c>
      <c r="L16" s="1" t="s">
        <v>210</v>
      </c>
      <c r="M16" s="1" t="s">
        <v>223</v>
      </c>
    </row>
    <row r="17" spans="2:13" x14ac:dyDescent="0.35">
      <c r="F17" s="1" t="str">
        <f>CONCATENATE(tblParish[[#This Row],[seketCode]],"-",tblParish[[#This Row],[pCode]])</f>
        <v>D01-S02-P05</v>
      </c>
      <c r="G17" s="1" t="str">
        <f>Distrik!F$5</f>
        <v>D01</v>
      </c>
      <c r="H17" s="1" t="str">
        <f>VLOOKUP(tblParish[[#This Row],[DistCode]],tblDistrict[],2,FALSE)</f>
        <v>Kâte</v>
      </c>
      <c r="I17" s="1" t="str">
        <f>Seket!I$6</f>
        <v>S02</v>
      </c>
      <c r="J17" s="1" t="str">
        <f>CONCATENATE(tblParish[[#This Row],[DistCode]],"-",tblParish[[#This Row],[sCode]])</f>
        <v>D01-S02</v>
      </c>
      <c r="K17" s="1" t="e">
        <f>VLOOKUP(tblParish[[#This Row],[seketCode]],tblSeket,5,FALSE)</f>
        <v>#NAME?</v>
      </c>
      <c r="L17" s="1" t="s">
        <v>212</v>
      </c>
      <c r="M17" s="1" t="s">
        <v>224</v>
      </c>
    </row>
    <row r="18" spans="2:13" ht="15" customHeight="1" x14ac:dyDescent="0.35">
      <c r="B18" s="61" t="s">
        <v>26</v>
      </c>
      <c r="C18" s="62"/>
      <c r="F18" s="1" t="str">
        <f>CONCATENATE(tblParish[[#This Row],[seketCode]],"-",tblParish[[#This Row],[pCode]])</f>
        <v>D01-S02-P06</v>
      </c>
      <c r="G18" s="1" t="str">
        <f>Distrik!F$5</f>
        <v>D01</v>
      </c>
      <c r="H18" s="1" t="str">
        <f>VLOOKUP(tblParish[[#This Row],[DistCode]],tblDistrict[],2,FALSE)</f>
        <v>Kâte</v>
      </c>
      <c r="I18" s="1" t="str">
        <f>Seket!I$6</f>
        <v>S02</v>
      </c>
      <c r="J18" s="1" t="str">
        <f>CONCATENATE(tblParish[[#This Row],[DistCode]],"-",tblParish[[#This Row],[sCode]])</f>
        <v>D01-S02</v>
      </c>
      <c r="K18" s="1" t="e">
        <f>VLOOKUP(tblParish[[#This Row],[seketCode]],tblSeket,5,FALSE)</f>
        <v>#NAME?</v>
      </c>
      <c r="L18" s="1" t="s">
        <v>214</v>
      </c>
      <c r="M18" s="1" t="s">
        <v>225</v>
      </c>
    </row>
    <row r="19" spans="2:13" ht="15" customHeight="1" x14ac:dyDescent="0.35">
      <c r="B19" s="63"/>
      <c r="C19" s="64"/>
      <c r="F19" s="1" t="str">
        <f>CONCATENATE(tblParish[[#This Row],[seketCode]],"-",tblParish[[#This Row],[pCode]])</f>
        <v>D01-S02-P07</v>
      </c>
      <c r="G19" s="1" t="str">
        <f>Distrik!F$5</f>
        <v>D01</v>
      </c>
      <c r="H19" s="1" t="str">
        <f>VLOOKUP(tblParish[[#This Row],[DistCode]],tblDistrict[],2,FALSE)</f>
        <v>Kâte</v>
      </c>
      <c r="I19" s="1" t="str">
        <f>Seket!I$6</f>
        <v>S02</v>
      </c>
      <c r="J19" s="1" t="str">
        <f>CONCATENATE(tblParish[[#This Row],[DistCode]],"-",tblParish[[#This Row],[sCode]])</f>
        <v>D01-S02</v>
      </c>
      <c r="K19" s="1" t="e">
        <f>VLOOKUP(tblParish[[#This Row],[seketCode]],tblSeket,5,FALSE)</f>
        <v>#NAME?</v>
      </c>
      <c r="L19" s="1" t="s">
        <v>216</v>
      </c>
      <c r="M19" s="1" t="s">
        <v>226</v>
      </c>
    </row>
    <row r="20" spans="2:13" x14ac:dyDescent="0.35">
      <c r="F20" s="1" t="str">
        <f>CONCATENATE(tblParish[[#This Row],[seketCode]],"-",tblParish[[#This Row],[pCode]])</f>
        <v>D01-S03-P01</v>
      </c>
      <c r="G20" s="1" t="str">
        <f>Distrik!F$5</f>
        <v>D01</v>
      </c>
      <c r="H20" s="1" t="str">
        <f>VLOOKUP(tblParish[[#This Row],[DistCode]],tblDistrict[],2,FALSE)</f>
        <v>Kâte</v>
      </c>
      <c r="I20" s="1" t="str">
        <f>Seket!I$7</f>
        <v>S03</v>
      </c>
      <c r="J20" s="1" t="str">
        <f>CONCATENATE(tblParish[[#This Row],[DistCode]],"-",tblParish[[#This Row],[sCode]])</f>
        <v>D01-S03</v>
      </c>
      <c r="K20" s="1" t="e">
        <f>VLOOKUP(tblParish[[#This Row],[seketCode]],tblSeket,5,FALSE)</f>
        <v>#NAME?</v>
      </c>
      <c r="L20" s="1" t="s">
        <v>204</v>
      </c>
      <c r="M20" s="1" t="s">
        <v>227</v>
      </c>
    </row>
    <row r="21" spans="2:13" ht="15" customHeight="1" x14ac:dyDescent="0.35">
      <c r="B21" s="103" t="s">
        <v>29</v>
      </c>
      <c r="C21" s="104"/>
      <c r="F21" s="1" t="str">
        <f>CONCATENATE(tblParish[[#This Row],[seketCode]],"-",tblParish[[#This Row],[pCode]])</f>
        <v>D01-S03-P02</v>
      </c>
      <c r="G21" s="1" t="str">
        <f>Distrik!F$5</f>
        <v>D01</v>
      </c>
      <c r="H21" s="1" t="str">
        <f>VLOOKUP(tblParish[[#This Row],[DistCode]],tblDistrict[],2,FALSE)</f>
        <v>Kâte</v>
      </c>
      <c r="I21" s="1" t="str">
        <f>Seket!I$7</f>
        <v>S03</v>
      </c>
      <c r="J21" s="1" t="str">
        <f>CONCATENATE(tblParish[[#This Row],[DistCode]],"-",tblParish[[#This Row],[sCode]])</f>
        <v>D01-S03</v>
      </c>
      <c r="K21" s="1" t="e">
        <f>VLOOKUP(tblParish[[#This Row],[seketCode]],tblSeket,5,FALSE)</f>
        <v>#NAME?</v>
      </c>
      <c r="L21" s="1" t="s">
        <v>206</v>
      </c>
      <c r="M21" s="1" t="s">
        <v>228</v>
      </c>
    </row>
    <row r="22" spans="2:13" ht="15" customHeight="1" x14ac:dyDescent="0.35">
      <c r="B22" s="105"/>
      <c r="C22" s="106"/>
      <c r="F22" s="1" t="str">
        <f>CONCATENATE(tblParish[[#This Row],[seketCode]],"-",tblParish[[#This Row],[pCode]])</f>
        <v>D01-S03-P03</v>
      </c>
      <c r="G22" s="1" t="str">
        <f>Distrik!F$5</f>
        <v>D01</v>
      </c>
      <c r="H22" s="1" t="str">
        <f>VLOOKUP(tblParish[[#This Row],[DistCode]],tblDistrict[],2,FALSE)</f>
        <v>Kâte</v>
      </c>
      <c r="I22" s="1" t="str">
        <f>Seket!I$7</f>
        <v>S03</v>
      </c>
      <c r="J22" s="1" t="str">
        <f>CONCATENATE(tblParish[[#This Row],[DistCode]],"-",tblParish[[#This Row],[sCode]])</f>
        <v>D01-S03</v>
      </c>
      <c r="K22" s="1" t="e">
        <f>VLOOKUP(tblParish[[#This Row],[seketCode]],tblSeket,5,FALSE)</f>
        <v>#NAME?</v>
      </c>
      <c r="L22" s="1" t="s">
        <v>208</v>
      </c>
      <c r="M22" s="1" t="s">
        <v>229</v>
      </c>
    </row>
    <row r="23" spans="2:13" x14ac:dyDescent="0.35">
      <c r="F23" s="1" t="str">
        <f>CONCATENATE(tblParish[[#This Row],[seketCode]],"-",tblParish[[#This Row],[pCode]])</f>
        <v>D01-S03-P04</v>
      </c>
      <c r="G23" s="1" t="str">
        <f>Distrik!F$5</f>
        <v>D01</v>
      </c>
      <c r="H23" s="1" t="str">
        <f>VLOOKUP(tblParish[[#This Row],[DistCode]],tblDistrict[],2,FALSE)</f>
        <v>Kâte</v>
      </c>
      <c r="I23" s="1" t="str">
        <f>Seket!I$7</f>
        <v>S03</v>
      </c>
      <c r="J23" s="1" t="str">
        <f>CONCATENATE(tblParish[[#This Row],[DistCode]],"-",tblParish[[#This Row],[sCode]])</f>
        <v>D01-S03</v>
      </c>
      <c r="K23" s="1" t="e">
        <f>VLOOKUP(tblParish[[#This Row],[seketCode]],tblSeket,5,FALSE)</f>
        <v>#NAME?</v>
      </c>
      <c r="L23" s="1" t="s">
        <v>210</v>
      </c>
      <c r="M23" s="1" t="s">
        <v>230</v>
      </c>
    </row>
    <row r="24" spans="2:13" x14ac:dyDescent="0.35">
      <c r="B24" s="87" t="s">
        <v>27</v>
      </c>
      <c r="C24" s="88"/>
      <c r="F24" s="1" t="str">
        <f>CONCATENATE(tblParish[[#This Row],[seketCode]],"-",tblParish[[#This Row],[pCode]])</f>
        <v>D01-S03-P05</v>
      </c>
      <c r="G24" s="1" t="str">
        <f>Distrik!F$5</f>
        <v>D01</v>
      </c>
      <c r="H24" s="1" t="str">
        <f>VLOOKUP(tblParish[[#This Row],[DistCode]],tblDistrict[],2,FALSE)</f>
        <v>Kâte</v>
      </c>
      <c r="I24" s="1" t="str">
        <f>Seket!I$7</f>
        <v>S03</v>
      </c>
      <c r="J24" s="1" t="str">
        <f>CONCATENATE(tblParish[[#This Row],[DistCode]],"-",tblParish[[#This Row],[sCode]])</f>
        <v>D01-S03</v>
      </c>
      <c r="K24" s="1" t="e">
        <f>VLOOKUP(tblParish[[#This Row],[seketCode]],tblSeket,5,FALSE)</f>
        <v>#NAME?</v>
      </c>
      <c r="L24" s="1" t="s">
        <v>212</v>
      </c>
      <c r="M24" s="1" t="s">
        <v>231</v>
      </c>
    </row>
    <row r="25" spans="2:13" x14ac:dyDescent="0.35">
      <c r="B25" s="89"/>
      <c r="C25" s="90"/>
      <c r="F25" s="1" t="str">
        <f>CONCATENATE(tblParish[[#This Row],[seketCode]],"-",tblParish[[#This Row],[pCode]])</f>
        <v>D01-S03-P06</v>
      </c>
      <c r="G25" s="1" t="str">
        <f>Distrik!F$5</f>
        <v>D01</v>
      </c>
      <c r="H25" s="1" t="str">
        <f>VLOOKUP(tblParish[[#This Row],[DistCode]],tblDistrict[],2,FALSE)</f>
        <v>Kâte</v>
      </c>
      <c r="I25" s="1" t="str">
        <f>Seket!I$7</f>
        <v>S03</v>
      </c>
      <c r="J25" s="1" t="str">
        <f>CONCATENATE(tblParish[[#This Row],[DistCode]],"-",tblParish[[#This Row],[sCode]])</f>
        <v>D01-S03</v>
      </c>
      <c r="K25" s="1" t="e">
        <f>VLOOKUP(tblParish[[#This Row],[seketCode]],tblSeket,5,FALSE)</f>
        <v>#NAME?</v>
      </c>
      <c r="L25" s="1" t="s">
        <v>214</v>
      </c>
      <c r="M25" s="1" t="s">
        <v>232</v>
      </c>
    </row>
    <row r="26" spans="2:13" x14ac:dyDescent="0.35">
      <c r="F26" s="1" t="str">
        <f>CONCATENATE(tblParish[[#This Row],[seketCode]],"-",tblParish[[#This Row],[pCode]])</f>
        <v>D01-S03-P07</v>
      </c>
      <c r="G26" s="1" t="str">
        <f>Distrik!F$5</f>
        <v>D01</v>
      </c>
      <c r="H26" s="1" t="str">
        <f>VLOOKUP(tblParish[[#This Row],[DistCode]],tblDistrict[],2,FALSE)</f>
        <v>Kâte</v>
      </c>
      <c r="I26" s="1" t="str">
        <f>Seket!I$7</f>
        <v>S03</v>
      </c>
      <c r="J26" s="1" t="str">
        <f>CONCATENATE(tblParish[[#This Row],[DistCode]],"-",tblParish[[#This Row],[sCode]])</f>
        <v>D01-S03</v>
      </c>
      <c r="K26" s="1" t="e">
        <f>VLOOKUP(tblParish[[#This Row],[seketCode]],tblSeket,5,FALSE)</f>
        <v>#NAME?</v>
      </c>
      <c r="L26" s="1" t="s">
        <v>216</v>
      </c>
      <c r="M26" s="1" t="s">
        <v>233</v>
      </c>
    </row>
    <row r="27" spans="2:13" x14ac:dyDescent="0.35">
      <c r="F27" s="1" t="str">
        <f>CONCATENATE(tblParish[[#This Row],[seketCode]],"-",tblParish[[#This Row],[pCode]])</f>
        <v>D01-S03-P08</v>
      </c>
      <c r="G27" s="1" t="str">
        <f>Distrik!F$5</f>
        <v>D01</v>
      </c>
      <c r="H27" s="1" t="str">
        <f>VLOOKUP(tblParish[[#This Row],[DistCode]],tblDistrict[],2,FALSE)</f>
        <v>Kâte</v>
      </c>
      <c r="I27" s="1" t="str">
        <f>Seket!I$7</f>
        <v>S03</v>
      </c>
      <c r="J27" s="1" t="str">
        <f>CONCATENATE(tblParish[[#This Row],[DistCode]],"-",tblParish[[#This Row],[sCode]])</f>
        <v>D01-S03</v>
      </c>
      <c r="K27" s="1" t="e">
        <f>VLOOKUP(tblParish[[#This Row],[seketCode]],tblSeket,5,FALSE)</f>
        <v>#NAME?</v>
      </c>
      <c r="L27" s="1" t="s">
        <v>218</v>
      </c>
      <c r="M27" s="1" t="s">
        <v>234</v>
      </c>
    </row>
    <row r="28" spans="2:13" x14ac:dyDescent="0.35">
      <c r="F28" s="1" t="str">
        <f>CONCATENATE(tblParish[[#This Row],[seketCode]],"-",tblParish[[#This Row],[pCode]])</f>
        <v>D01-S03-P09</v>
      </c>
      <c r="G28" s="1" t="str">
        <f>Distrik!F$5</f>
        <v>D01</v>
      </c>
      <c r="H28" s="1" t="str">
        <f>VLOOKUP(tblParish[[#This Row],[DistCode]],tblDistrict[],2,FALSE)</f>
        <v>Kâte</v>
      </c>
      <c r="I28" s="1" t="str">
        <f>Seket!I$7</f>
        <v>S03</v>
      </c>
      <c r="J28" s="1" t="str">
        <f>CONCATENATE(tblParish[[#This Row],[DistCode]],"-",tblParish[[#This Row],[sCode]])</f>
        <v>D01-S03</v>
      </c>
      <c r="K28" s="1" t="e">
        <f>VLOOKUP(tblParish[[#This Row],[seketCode]],tblSeket,5,FALSE)</f>
        <v>#NAME?</v>
      </c>
      <c r="L28" s="1" t="s">
        <v>235</v>
      </c>
      <c r="M28" s="1" t="s">
        <v>236</v>
      </c>
    </row>
    <row r="29" spans="2:13" x14ac:dyDescent="0.35">
      <c r="F29" s="1" t="str">
        <f>CONCATENATE(tblParish[[#This Row],[seketCode]],"-",tblParish[[#This Row],[pCode]])</f>
        <v>D01-S03-P10</v>
      </c>
      <c r="G29" s="1" t="str">
        <f>Distrik!F$5</f>
        <v>D01</v>
      </c>
      <c r="H29" s="1" t="str">
        <f>VLOOKUP(tblParish[[#This Row],[DistCode]],tblDistrict[],2,FALSE)</f>
        <v>Kâte</v>
      </c>
      <c r="I29" s="1" t="str">
        <f>Seket!I$7</f>
        <v>S03</v>
      </c>
      <c r="J29" s="1" t="str">
        <f>CONCATENATE(tblParish[[#This Row],[DistCode]],"-",tblParish[[#This Row],[sCode]])</f>
        <v>D01-S03</v>
      </c>
      <c r="K29" s="1" t="e">
        <f>VLOOKUP(tblParish[[#This Row],[seketCode]],tblSeket,5,FALSE)</f>
        <v>#NAME?</v>
      </c>
      <c r="L29" s="1" t="s">
        <v>237</v>
      </c>
      <c r="M29" s="1" t="s">
        <v>238</v>
      </c>
    </row>
    <row r="30" spans="2:13" x14ac:dyDescent="0.35">
      <c r="F30" s="1" t="str">
        <f>CONCATENATE(tblParish[[#This Row],[seketCode]],"-",tblParish[[#This Row],[pCode]])</f>
        <v>D01-S03-P11</v>
      </c>
      <c r="G30" s="1" t="str">
        <f>Distrik!F$5</f>
        <v>D01</v>
      </c>
      <c r="H30" s="1" t="str">
        <f>VLOOKUP(tblParish[[#This Row],[DistCode]],tblDistrict[],2,FALSE)</f>
        <v>Kâte</v>
      </c>
      <c r="I30" s="1" t="str">
        <f>Seket!I$7</f>
        <v>S03</v>
      </c>
      <c r="J30" s="1" t="str">
        <f>CONCATENATE(tblParish[[#This Row],[DistCode]],"-",tblParish[[#This Row],[sCode]])</f>
        <v>D01-S03</v>
      </c>
      <c r="K30" s="1" t="e">
        <f>VLOOKUP(tblParish[[#This Row],[seketCode]],tblSeket,5,FALSE)</f>
        <v>#NAME?</v>
      </c>
      <c r="L30" s="1" t="s">
        <v>239</v>
      </c>
      <c r="M30" s="1" t="s">
        <v>240</v>
      </c>
    </row>
    <row r="31" spans="2:13" x14ac:dyDescent="0.35">
      <c r="F31" s="1" t="str">
        <f>CONCATENATE(tblParish[[#This Row],[seketCode]],"-",tblParish[[#This Row],[pCode]])</f>
        <v>D01-S03-P12</v>
      </c>
      <c r="G31" s="1" t="str">
        <f>Distrik!F$5</f>
        <v>D01</v>
      </c>
      <c r="H31" s="1" t="str">
        <f>VLOOKUP(tblParish[[#This Row],[DistCode]],tblDistrict[],2,FALSE)</f>
        <v>Kâte</v>
      </c>
      <c r="I31" s="1" t="str">
        <f>Seket!I$7</f>
        <v>S03</v>
      </c>
      <c r="J31" s="1" t="str">
        <f>CONCATENATE(tblParish[[#This Row],[DistCode]],"-",tblParish[[#This Row],[sCode]])</f>
        <v>D01-S03</v>
      </c>
      <c r="K31" s="1" t="e">
        <f>VLOOKUP(tblParish[[#This Row],[seketCode]],tblSeket,5,FALSE)</f>
        <v>#NAME?</v>
      </c>
      <c r="L31" s="1" t="s">
        <v>241</v>
      </c>
      <c r="M31" s="1" t="s">
        <v>242</v>
      </c>
    </row>
    <row r="32" spans="2:13" x14ac:dyDescent="0.35">
      <c r="F32" s="1" t="str">
        <f>CONCATENATE(tblParish[[#This Row],[seketCode]],"-",tblParish[[#This Row],[pCode]])</f>
        <v>D01-S04-P01</v>
      </c>
      <c r="G32" s="1" t="str">
        <f>Distrik!F$5</f>
        <v>D01</v>
      </c>
      <c r="H32" s="1" t="str">
        <f>VLOOKUP(tblParish[[#This Row],[DistCode]],tblDistrict[],2,FALSE)</f>
        <v>Kâte</v>
      </c>
      <c r="I32" s="1" t="str">
        <f>Seket!I$8</f>
        <v>S04</v>
      </c>
      <c r="J32" s="1" t="str">
        <f>CONCATENATE(tblParish[[#This Row],[DistCode]],"-",tblParish[[#This Row],[sCode]])</f>
        <v>D01-S04</v>
      </c>
      <c r="K32" s="1" t="e">
        <f>VLOOKUP(tblParish[[#This Row],[seketCode]],tblSeket,5,FALSE)</f>
        <v>#NAME?</v>
      </c>
      <c r="L32" s="1" t="s">
        <v>204</v>
      </c>
      <c r="M32" s="1" t="s">
        <v>243</v>
      </c>
    </row>
    <row r="33" spans="6:13" x14ac:dyDescent="0.35">
      <c r="F33" s="1" t="str">
        <f>CONCATENATE(tblParish[[#This Row],[seketCode]],"-",tblParish[[#This Row],[pCode]])</f>
        <v>D01-S04-P02</v>
      </c>
      <c r="G33" s="1" t="str">
        <f>Distrik!F$5</f>
        <v>D01</v>
      </c>
      <c r="H33" s="1" t="str">
        <f>VLOOKUP(tblParish[[#This Row],[DistCode]],tblDistrict[],2,FALSE)</f>
        <v>Kâte</v>
      </c>
      <c r="I33" s="1" t="str">
        <f>Seket!I$8</f>
        <v>S04</v>
      </c>
      <c r="J33" s="1" t="str">
        <f>CONCATENATE(tblParish[[#This Row],[DistCode]],"-",tblParish[[#This Row],[sCode]])</f>
        <v>D01-S04</v>
      </c>
      <c r="K33" s="1" t="e">
        <f>VLOOKUP(tblParish[[#This Row],[seketCode]],tblSeket,5,FALSE)</f>
        <v>#NAME?</v>
      </c>
      <c r="L33" s="1" t="s">
        <v>206</v>
      </c>
      <c r="M33" s="1" t="s">
        <v>244</v>
      </c>
    </row>
    <row r="34" spans="6:13" x14ac:dyDescent="0.35">
      <c r="F34" s="1" t="str">
        <f>CONCATENATE(tblParish[[#This Row],[seketCode]],"-",tblParish[[#This Row],[pCode]])</f>
        <v>D01-S04-P03</v>
      </c>
      <c r="G34" s="1" t="str">
        <f>Distrik!F$5</f>
        <v>D01</v>
      </c>
      <c r="H34" s="1" t="str">
        <f>VLOOKUP(tblParish[[#This Row],[DistCode]],tblDistrict[],2,FALSE)</f>
        <v>Kâte</v>
      </c>
      <c r="I34" s="1" t="str">
        <f>Seket!I$8</f>
        <v>S04</v>
      </c>
      <c r="J34" s="1" t="str">
        <f>CONCATENATE(tblParish[[#This Row],[DistCode]],"-",tblParish[[#This Row],[sCode]])</f>
        <v>D01-S04</v>
      </c>
      <c r="K34" s="1" t="e">
        <f>VLOOKUP(tblParish[[#This Row],[seketCode]],tblSeket,5,FALSE)</f>
        <v>#NAME?</v>
      </c>
      <c r="L34" s="1" t="s">
        <v>208</v>
      </c>
      <c r="M34" s="1" t="s">
        <v>245</v>
      </c>
    </row>
    <row r="35" spans="6:13" x14ac:dyDescent="0.35">
      <c r="F35" s="1" t="str">
        <f>CONCATENATE(tblParish[[#This Row],[seketCode]],"-",tblParish[[#This Row],[pCode]])</f>
        <v>D01-S05-P01</v>
      </c>
      <c r="G35" s="1" t="str">
        <f>Distrik!F$5</f>
        <v>D01</v>
      </c>
      <c r="H35" s="1" t="str">
        <f>VLOOKUP(tblParish[[#This Row],[DistCode]],tblDistrict[],2,FALSE)</f>
        <v>Kâte</v>
      </c>
      <c r="I35" s="1" t="str">
        <f>Seket!I$9</f>
        <v>S05</v>
      </c>
      <c r="J35" s="1" t="str">
        <f>CONCATENATE(tblParish[[#This Row],[DistCode]],"-",tblParish[[#This Row],[sCode]])</f>
        <v>D01-S05</v>
      </c>
      <c r="K35" s="1" t="e">
        <f>VLOOKUP(tblParish[[#This Row],[seketCode]],tblSeket,5,FALSE)</f>
        <v>#NAME?</v>
      </c>
      <c r="L35" s="1" t="s">
        <v>204</v>
      </c>
      <c r="M35" s="1" t="s">
        <v>246</v>
      </c>
    </row>
    <row r="36" spans="6:13" x14ac:dyDescent="0.35">
      <c r="F36" s="1" t="str">
        <f>CONCATENATE(tblParish[[#This Row],[seketCode]],"-",tblParish[[#This Row],[pCode]])</f>
        <v>D01-S05-P02</v>
      </c>
      <c r="G36" s="1" t="str">
        <f>Distrik!F$5</f>
        <v>D01</v>
      </c>
      <c r="H36" s="1" t="str">
        <f>VLOOKUP(tblParish[[#This Row],[DistCode]],tblDistrict[],2,FALSE)</f>
        <v>Kâte</v>
      </c>
      <c r="I36" s="1" t="str">
        <f>Seket!I$9</f>
        <v>S05</v>
      </c>
      <c r="J36" s="1" t="str">
        <f>CONCATENATE(tblParish[[#This Row],[DistCode]],"-",tblParish[[#This Row],[sCode]])</f>
        <v>D01-S05</v>
      </c>
      <c r="K36" s="1" t="e">
        <f>VLOOKUP(tblParish[[#This Row],[seketCode]],tblSeket,5,FALSE)</f>
        <v>#NAME?</v>
      </c>
      <c r="L36" s="1" t="s">
        <v>206</v>
      </c>
      <c r="M36" s="1" t="s">
        <v>247</v>
      </c>
    </row>
    <row r="37" spans="6:13" x14ac:dyDescent="0.35">
      <c r="F37" s="1" t="str">
        <f>CONCATENATE(tblParish[[#This Row],[seketCode]],"-",tblParish[[#This Row],[pCode]])</f>
        <v>D01-S05-P03</v>
      </c>
      <c r="G37" s="1" t="str">
        <f>Distrik!F$5</f>
        <v>D01</v>
      </c>
      <c r="H37" s="1" t="str">
        <f>VLOOKUP(tblParish[[#This Row],[DistCode]],tblDistrict[],2,FALSE)</f>
        <v>Kâte</v>
      </c>
      <c r="I37" s="1" t="str">
        <f>Seket!I$9</f>
        <v>S05</v>
      </c>
      <c r="J37" s="1" t="str">
        <f>CONCATENATE(tblParish[[#This Row],[DistCode]],"-",tblParish[[#This Row],[sCode]])</f>
        <v>D01-S05</v>
      </c>
      <c r="K37" s="1" t="e">
        <f>VLOOKUP(tblParish[[#This Row],[seketCode]],tblSeket,5,FALSE)</f>
        <v>#NAME?</v>
      </c>
      <c r="L37" s="1" t="s">
        <v>208</v>
      </c>
      <c r="M37" s="1" t="s">
        <v>248</v>
      </c>
    </row>
    <row r="38" spans="6:13" x14ac:dyDescent="0.35">
      <c r="F38" s="1" t="str">
        <f>CONCATENATE(tblParish[[#This Row],[seketCode]],"-",tblParish[[#This Row],[pCode]])</f>
        <v>D01-S05-P04</v>
      </c>
      <c r="G38" s="1" t="str">
        <f>Distrik!F$5</f>
        <v>D01</v>
      </c>
      <c r="H38" s="1" t="str">
        <f>VLOOKUP(tblParish[[#This Row],[DistCode]],tblDistrict[],2,FALSE)</f>
        <v>Kâte</v>
      </c>
      <c r="I38" s="1" t="str">
        <f>Seket!I$9</f>
        <v>S05</v>
      </c>
      <c r="J38" s="1" t="str">
        <f>CONCATENATE(tblParish[[#This Row],[DistCode]],"-",tblParish[[#This Row],[sCode]])</f>
        <v>D01-S05</v>
      </c>
      <c r="K38" s="1" t="e">
        <f>VLOOKUP(tblParish[[#This Row],[seketCode]],tblSeket,5,FALSE)</f>
        <v>#NAME?</v>
      </c>
      <c r="L38" s="1" t="s">
        <v>210</v>
      </c>
      <c r="M38" s="1" t="s">
        <v>249</v>
      </c>
    </row>
    <row r="39" spans="6:13" x14ac:dyDescent="0.35">
      <c r="F39" s="1" t="str">
        <f>CONCATENATE(tblParish[[#This Row],[seketCode]],"-",tblParish[[#This Row],[pCode]])</f>
        <v>D01-S05-P05</v>
      </c>
      <c r="G39" s="1" t="str">
        <f>Distrik!F$5</f>
        <v>D01</v>
      </c>
      <c r="H39" s="1" t="str">
        <f>VLOOKUP(tblParish[[#This Row],[DistCode]],tblDistrict[],2,FALSE)</f>
        <v>Kâte</v>
      </c>
      <c r="I39" s="1" t="str">
        <f>Seket!I$9</f>
        <v>S05</v>
      </c>
      <c r="J39" s="1" t="str">
        <f>CONCATENATE(tblParish[[#This Row],[DistCode]],"-",tblParish[[#This Row],[sCode]])</f>
        <v>D01-S05</v>
      </c>
      <c r="K39" s="1" t="e">
        <f>VLOOKUP(tblParish[[#This Row],[seketCode]],tblSeket,5,FALSE)</f>
        <v>#NAME?</v>
      </c>
      <c r="L39" s="1" t="s">
        <v>212</v>
      </c>
      <c r="M39" s="1" t="s">
        <v>250</v>
      </c>
    </row>
    <row r="40" spans="6:13" x14ac:dyDescent="0.35">
      <c r="F40" s="1" t="str">
        <f>CONCATENATE(tblParish[[#This Row],[seketCode]],"-",tblParish[[#This Row],[pCode]])</f>
        <v>D01-S05-P06</v>
      </c>
      <c r="G40" s="1" t="str">
        <f>Distrik!F$5</f>
        <v>D01</v>
      </c>
      <c r="H40" s="1" t="str">
        <f>VLOOKUP(tblParish[[#This Row],[DistCode]],tblDistrict[],2,FALSE)</f>
        <v>Kâte</v>
      </c>
      <c r="I40" s="1" t="str">
        <f>Seket!I$9</f>
        <v>S05</v>
      </c>
      <c r="J40" s="1" t="str">
        <f>CONCATENATE(tblParish[[#This Row],[DistCode]],"-",tblParish[[#This Row],[sCode]])</f>
        <v>D01-S05</v>
      </c>
      <c r="K40" s="1" t="e">
        <f>VLOOKUP(tblParish[[#This Row],[seketCode]],tblSeket,5,FALSE)</f>
        <v>#NAME?</v>
      </c>
      <c r="L40" s="1" t="s">
        <v>214</v>
      </c>
      <c r="M40" s="1" t="s">
        <v>251</v>
      </c>
    </row>
    <row r="41" spans="6:13" x14ac:dyDescent="0.35">
      <c r="F41" s="1" t="str">
        <f>CONCATENATE(tblParish[[#This Row],[seketCode]],"-",tblParish[[#This Row],[pCode]])</f>
        <v>D01-S05-P07</v>
      </c>
      <c r="G41" s="1" t="str">
        <f>Distrik!F$5</f>
        <v>D01</v>
      </c>
      <c r="H41" s="1" t="str">
        <f>VLOOKUP(tblParish[[#This Row],[DistCode]],tblDistrict[],2,FALSE)</f>
        <v>Kâte</v>
      </c>
      <c r="I41" s="1" t="str">
        <f>Seket!I$9</f>
        <v>S05</v>
      </c>
      <c r="J41" s="1" t="str">
        <f>CONCATENATE(tblParish[[#This Row],[DistCode]],"-",tblParish[[#This Row],[sCode]])</f>
        <v>D01-S05</v>
      </c>
      <c r="K41" s="1" t="e">
        <f>VLOOKUP(tblParish[[#This Row],[seketCode]],tblSeket,5,FALSE)</f>
        <v>#NAME?</v>
      </c>
      <c r="L41" s="1" t="s">
        <v>216</v>
      </c>
      <c r="M41" s="1" t="s">
        <v>252</v>
      </c>
    </row>
    <row r="42" spans="6:13" x14ac:dyDescent="0.35">
      <c r="F42" s="1" t="str">
        <f>CONCATENATE(tblParish[[#This Row],[seketCode]],"-",tblParish[[#This Row],[pCode]])</f>
        <v>D01-S05-P08</v>
      </c>
      <c r="G42" s="1" t="str">
        <f>Distrik!F$5</f>
        <v>D01</v>
      </c>
      <c r="H42" s="1" t="str">
        <f>VLOOKUP(tblParish[[#This Row],[DistCode]],tblDistrict[],2,FALSE)</f>
        <v>Kâte</v>
      </c>
      <c r="I42" s="1" t="str">
        <f>Seket!I$9</f>
        <v>S05</v>
      </c>
      <c r="J42" s="1" t="str">
        <f>CONCATENATE(tblParish[[#This Row],[DistCode]],"-",tblParish[[#This Row],[sCode]])</f>
        <v>D01-S05</v>
      </c>
      <c r="K42" s="1" t="e">
        <f>VLOOKUP(tblParish[[#This Row],[seketCode]],tblSeket,5,FALSE)</f>
        <v>#NAME?</v>
      </c>
      <c r="L42" s="1" t="s">
        <v>218</v>
      </c>
      <c r="M42" s="1" t="s">
        <v>253</v>
      </c>
    </row>
    <row r="43" spans="6:13" x14ac:dyDescent="0.35">
      <c r="F43" s="1" t="str">
        <f>CONCATENATE(tblParish[[#This Row],[seketCode]],"-",tblParish[[#This Row],[pCode]])</f>
        <v>D01-S05-P09</v>
      </c>
      <c r="G43" s="1" t="str">
        <f>Distrik!F$5</f>
        <v>D01</v>
      </c>
      <c r="H43" s="1" t="str">
        <f>VLOOKUP(tblParish[[#This Row],[DistCode]],tblDistrict[],2,FALSE)</f>
        <v>Kâte</v>
      </c>
      <c r="I43" s="1" t="str">
        <f>Seket!I$9</f>
        <v>S05</v>
      </c>
      <c r="J43" s="1" t="str">
        <f>CONCATENATE(tblParish[[#This Row],[DistCode]],"-",tblParish[[#This Row],[sCode]])</f>
        <v>D01-S05</v>
      </c>
      <c r="K43" s="1" t="e">
        <f>VLOOKUP(tblParish[[#This Row],[seketCode]],tblSeket,5,FALSE)</f>
        <v>#NAME?</v>
      </c>
      <c r="L43" s="1" t="s">
        <v>235</v>
      </c>
      <c r="M43" s="1" t="s">
        <v>254</v>
      </c>
    </row>
    <row r="44" spans="6:13" x14ac:dyDescent="0.35">
      <c r="F44" s="1" t="str">
        <f>CONCATENATE(tblParish[[#This Row],[seketCode]],"-",tblParish[[#This Row],[pCode]])</f>
        <v>D01-S05-P10</v>
      </c>
      <c r="G44" s="1" t="str">
        <f>Distrik!F$5</f>
        <v>D01</v>
      </c>
      <c r="H44" s="1" t="str">
        <f>VLOOKUP(tblParish[[#This Row],[DistCode]],tblDistrict[],2,FALSE)</f>
        <v>Kâte</v>
      </c>
      <c r="I44" s="1" t="str">
        <f>Seket!I$9</f>
        <v>S05</v>
      </c>
      <c r="J44" s="1" t="str">
        <f>CONCATENATE(tblParish[[#This Row],[DistCode]],"-",tblParish[[#This Row],[sCode]])</f>
        <v>D01-S05</v>
      </c>
      <c r="K44" s="1" t="e">
        <f>VLOOKUP(tblParish[[#This Row],[seketCode]],tblSeket,5,FALSE)</f>
        <v>#NAME?</v>
      </c>
      <c r="L44" s="1" t="s">
        <v>237</v>
      </c>
      <c r="M44" s="1" t="s">
        <v>255</v>
      </c>
    </row>
    <row r="45" spans="6:13" x14ac:dyDescent="0.35">
      <c r="F45" s="1" t="str">
        <f>CONCATENATE(tblParish[[#This Row],[seketCode]],"-",tblParish[[#This Row],[pCode]])</f>
        <v>D01-S05-P11</v>
      </c>
      <c r="G45" s="1" t="str">
        <f>Distrik!F$5</f>
        <v>D01</v>
      </c>
      <c r="H45" s="1" t="str">
        <f>VLOOKUP(tblParish[[#This Row],[DistCode]],tblDistrict[],2,FALSE)</f>
        <v>Kâte</v>
      </c>
      <c r="I45" s="1" t="str">
        <f>Seket!I$9</f>
        <v>S05</v>
      </c>
      <c r="J45" s="1" t="str">
        <f>CONCATENATE(tblParish[[#This Row],[DistCode]],"-",tblParish[[#This Row],[sCode]])</f>
        <v>D01-S05</v>
      </c>
      <c r="K45" s="1" t="e">
        <f>VLOOKUP(tblParish[[#This Row],[seketCode]],tblSeket,5,FALSE)</f>
        <v>#NAME?</v>
      </c>
      <c r="L45" s="1" t="s">
        <v>239</v>
      </c>
      <c r="M45" s="1" t="s">
        <v>256</v>
      </c>
    </row>
    <row r="46" spans="6:13" x14ac:dyDescent="0.35">
      <c r="F46" s="1" t="str">
        <f>CONCATENATE(tblParish[[#This Row],[seketCode]],"-",tblParish[[#This Row],[pCode]])</f>
        <v>D01-S06-P01</v>
      </c>
      <c r="G46" s="1" t="str">
        <f>Distrik!F$5</f>
        <v>D01</v>
      </c>
      <c r="H46" s="1" t="str">
        <f>VLOOKUP(tblParish[[#This Row],[DistCode]],tblDistrict[],2,FALSE)</f>
        <v>Kâte</v>
      </c>
      <c r="I46" s="1" t="str">
        <f>Seket!I$10</f>
        <v>S06</v>
      </c>
      <c r="J46" s="1" t="str">
        <f>CONCATENATE(tblParish[[#This Row],[DistCode]],"-",tblParish[[#This Row],[sCode]])</f>
        <v>D01-S06</v>
      </c>
      <c r="K46" s="1" t="e">
        <f>VLOOKUP(tblParish[[#This Row],[seketCode]],tblSeket,5,FALSE)</f>
        <v>#NAME?</v>
      </c>
      <c r="L46" s="1" t="s">
        <v>204</v>
      </c>
      <c r="M46" s="1" t="s">
        <v>257</v>
      </c>
    </row>
    <row r="47" spans="6:13" x14ac:dyDescent="0.35">
      <c r="F47" s="1" t="str">
        <f>CONCATENATE(tblParish[[#This Row],[seketCode]],"-",tblParish[[#This Row],[pCode]])</f>
        <v>D01-S06-P02</v>
      </c>
      <c r="G47" s="1" t="str">
        <f>Distrik!F$5</f>
        <v>D01</v>
      </c>
      <c r="H47" s="1" t="str">
        <f>VLOOKUP(tblParish[[#This Row],[DistCode]],tblDistrict[],2,FALSE)</f>
        <v>Kâte</v>
      </c>
      <c r="I47" s="1" t="str">
        <f>Seket!I$10</f>
        <v>S06</v>
      </c>
      <c r="J47" s="1" t="str">
        <f>CONCATENATE(tblParish[[#This Row],[DistCode]],"-",tblParish[[#This Row],[sCode]])</f>
        <v>D01-S06</v>
      </c>
      <c r="K47" s="1" t="e">
        <f>VLOOKUP(tblParish[[#This Row],[seketCode]],tblSeket,5,FALSE)</f>
        <v>#NAME?</v>
      </c>
      <c r="L47" s="1" t="s">
        <v>206</v>
      </c>
      <c r="M47" s="1" t="s">
        <v>258</v>
      </c>
    </row>
    <row r="48" spans="6:13" x14ac:dyDescent="0.35">
      <c r="F48" s="1" t="str">
        <f>CONCATENATE(tblParish[[#This Row],[seketCode]],"-",tblParish[[#This Row],[pCode]])</f>
        <v>D01-S06-P03</v>
      </c>
      <c r="G48" s="1" t="str">
        <f>Distrik!F$5</f>
        <v>D01</v>
      </c>
      <c r="H48" s="1" t="str">
        <f>VLOOKUP(tblParish[[#This Row],[DistCode]],tblDistrict[],2,FALSE)</f>
        <v>Kâte</v>
      </c>
      <c r="I48" s="1" t="str">
        <f>Seket!I$10</f>
        <v>S06</v>
      </c>
      <c r="J48" s="1" t="str">
        <f>CONCATENATE(tblParish[[#This Row],[DistCode]],"-",tblParish[[#This Row],[sCode]])</f>
        <v>D01-S06</v>
      </c>
      <c r="K48" s="1" t="e">
        <f>VLOOKUP(tblParish[[#This Row],[seketCode]],tblSeket,5,FALSE)</f>
        <v>#NAME?</v>
      </c>
      <c r="L48" s="1" t="s">
        <v>208</v>
      </c>
      <c r="M48" s="1" t="s">
        <v>259</v>
      </c>
    </row>
    <row r="49" spans="6:13" x14ac:dyDescent="0.35">
      <c r="F49" s="1" t="str">
        <f>CONCATENATE(tblParish[[#This Row],[seketCode]],"-",tblParish[[#This Row],[pCode]])</f>
        <v>D01-S06-P04</v>
      </c>
      <c r="G49" s="1" t="str">
        <f>Distrik!F$5</f>
        <v>D01</v>
      </c>
      <c r="H49" s="1" t="str">
        <f>VLOOKUP(tblParish[[#This Row],[DistCode]],tblDistrict[],2,FALSE)</f>
        <v>Kâte</v>
      </c>
      <c r="I49" s="1" t="str">
        <f>Seket!I$10</f>
        <v>S06</v>
      </c>
      <c r="J49" s="1" t="str">
        <f>CONCATENATE(tblParish[[#This Row],[DistCode]],"-",tblParish[[#This Row],[sCode]])</f>
        <v>D01-S06</v>
      </c>
      <c r="K49" s="1" t="e">
        <f>VLOOKUP(tblParish[[#This Row],[seketCode]],tblSeket,5,FALSE)</f>
        <v>#NAME?</v>
      </c>
      <c r="L49" s="1" t="s">
        <v>210</v>
      </c>
      <c r="M49" s="1" t="s">
        <v>260</v>
      </c>
    </row>
    <row r="50" spans="6:13" x14ac:dyDescent="0.35">
      <c r="F50" s="1" t="str">
        <f>CONCATENATE(tblParish[[#This Row],[seketCode]],"-",tblParish[[#This Row],[pCode]])</f>
        <v>D01-S06-P05</v>
      </c>
      <c r="G50" s="1" t="str">
        <f>Distrik!F$5</f>
        <v>D01</v>
      </c>
      <c r="H50" s="1" t="str">
        <f>VLOOKUP(tblParish[[#This Row],[DistCode]],tblDistrict[],2,FALSE)</f>
        <v>Kâte</v>
      </c>
      <c r="I50" s="1" t="str">
        <f>Seket!I$10</f>
        <v>S06</v>
      </c>
      <c r="J50" s="1" t="str">
        <f>CONCATENATE(tblParish[[#This Row],[DistCode]],"-",tblParish[[#This Row],[sCode]])</f>
        <v>D01-S06</v>
      </c>
      <c r="K50" s="1" t="e">
        <f>VLOOKUP(tblParish[[#This Row],[seketCode]],tblSeket,5,FALSE)</f>
        <v>#NAME?</v>
      </c>
      <c r="L50" s="1" t="s">
        <v>212</v>
      </c>
      <c r="M50" s="1" t="s">
        <v>261</v>
      </c>
    </row>
    <row r="51" spans="6:13" x14ac:dyDescent="0.35">
      <c r="F51" s="1" t="str">
        <f>CONCATENATE(tblParish[[#This Row],[seketCode]],"-",tblParish[[#This Row],[pCode]])</f>
        <v>D01-S07-P01</v>
      </c>
      <c r="G51" s="1" t="str">
        <f>Distrik!F$5</f>
        <v>D01</v>
      </c>
      <c r="H51" s="1" t="str">
        <f>VLOOKUP(tblParish[[#This Row],[DistCode]],tblDistrict[],2,FALSE)</f>
        <v>Kâte</v>
      </c>
      <c r="I51" s="1" t="str">
        <f>Seket!I$11</f>
        <v>S07</v>
      </c>
      <c r="J51" s="1" t="str">
        <f>CONCATENATE(tblParish[[#This Row],[DistCode]],"-",tblParish[[#This Row],[sCode]])</f>
        <v>D01-S07</v>
      </c>
      <c r="K51" s="1" t="e">
        <f>VLOOKUP(tblParish[[#This Row],[seketCode]],tblSeket,5,FALSE)</f>
        <v>#NAME?</v>
      </c>
      <c r="L51" s="1" t="s">
        <v>204</v>
      </c>
      <c r="M51" s="1" t="s">
        <v>262</v>
      </c>
    </row>
    <row r="52" spans="6:13" x14ac:dyDescent="0.35">
      <c r="F52" s="1" t="str">
        <f>CONCATENATE(tblParish[[#This Row],[seketCode]],"-",tblParish[[#This Row],[pCode]])</f>
        <v>D01-S07-P02</v>
      </c>
      <c r="G52" s="1" t="str">
        <f>Distrik!F$5</f>
        <v>D01</v>
      </c>
      <c r="H52" s="1" t="str">
        <f>VLOOKUP(tblParish[[#This Row],[DistCode]],tblDistrict[],2,FALSE)</f>
        <v>Kâte</v>
      </c>
      <c r="I52" s="1" t="str">
        <f>Seket!I$11</f>
        <v>S07</v>
      </c>
      <c r="J52" s="1" t="str">
        <f>CONCATENATE(tblParish[[#This Row],[DistCode]],"-",tblParish[[#This Row],[sCode]])</f>
        <v>D01-S07</v>
      </c>
      <c r="K52" s="1" t="e">
        <f>VLOOKUP(tblParish[[#This Row],[seketCode]],tblSeket,5,FALSE)</f>
        <v>#NAME?</v>
      </c>
      <c r="L52" s="1" t="s">
        <v>206</v>
      </c>
      <c r="M52" s="1" t="s">
        <v>263</v>
      </c>
    </row>
    <row r="53" spans="6:13" x14ac:dyDescent="0.35">
      <c r="F53" s="1" t="str">
        <f>CONCATENATE(tblParish[[#This Row],[seketCode]],"-",tblParish[[#This Row],[pCode]])</f>
        <v>D01-S07-P03</v>
      </c>
      <c r="G53" s="1" t="str">
        <f>Distrik!F$5</f>
        <v>D01</v>
      </c>
      <c r="H53" s="1" t="str">
        <f>VLOOKUP(tblParish[[#This Row],[DistCode]],tblDistrict[],2,FALSE)</f>
        <v>Kâte</v>
      </c>
      <c r="I53" s="1" t="str">
        <f>Seket!I$11</f>
        <v>S07</v>
      </c>
      <c r="J53" s="1" t="str">
        <f>CONCATENATE(tblParish[[#This Row],[DistCode]],"-",tblParish[[#This Row],[sCode]])</f>
        <v>D01-S07</v>
      </c>
      <c r="K53" s="1" t="e">
        <f>VLOOKUP(tblParish[[#This Row],[seketCode]],tblSeket,5,FALSE)</f>
        <v>#NAME?</v>
      </c>
      <c r="L53" s="1" t="s">
        <v>208</v>
      </c>
      <c r="M53" s="1" t="s">
        <v>264</v>
      </c>
    </row>
    <row r="54" spans="6:13" x14ac:dyDescent="0.35">
      <c r="F54" s="1" t="str">
        <f>CONCATENATE(tblParish[[#This Row],[seketCode]],"-",tblParish[[#This Row],[pCode]])</f>
        <v>D01-S07-P04</v>
      </c>
      <c r="G54" s="1" t="str">
        <f>Distrik!F$5</f>
        <v>D01</v>
      </c>
      <c r="H54" s="1" t="str">
        <f>VLOOKUP(tblParish[[#This Row],[DistCode]],tblDistrict[],2,FALSE)</f>
        <v>Kâte</v>
      </c>
      <c r="I54" s="1" t="str">
        <f>Seket!I$11</f>
        <v>S07</v>
      </c>
      <c r="J54" s="1" t="str">
        <f>CONCATENATE(tblParish[[#This Row],[DistCode]],"-",tblParish[[#This Row],[sCode]])</f>
        <v>D01-S07</v>
      </c>
      <c r="K54" s="1" t="e">
        <f>VLOOKUP(tblParish[[#This Row],[seketCode]],tblSeket,5,FALSE)</f>
        <v>#NAME?</v>
      </c>
      <c r="L54" s="1" t="s">
        <v>210</v>
      </c>
      <c r="M54" s="1" t="s">
        <v>265</v>
      </c>
    </row>
    <row r="55" spans="6:13" x14ac:dyDescent="0.35">
      <c r="F55" s="1" t="str">
        <f>CONCATENATE(tblParish[[#This Row],[seketCode]],"-",tblParish[[#This Row],[pCode]])</f>
        <v>D01-S07-P05</v>
      </c>
      <c r="G55" s="1" t="str">
        <f>Distrik!F$5</f>
        <v>D01</v>
      </c>
      <c r="H55" s="1" t="str">
        <f>VLOOKUP(tblParish[[#This Row],[DistCode]],tblDistrict[],2,FALSE)</f>
        <v>Kâte</v>
      </c>
      <c r="I55" s="1" t="str">
        <f>Seket!I$11</f>
        <v>S07</v>
      </c>
      <c r="J55" s="1" t="str">
        <f>CONCATENATE(tblParish[[#This Row],[DistCode]],"-",tblParish[[#This Row],[sCode]])</f>
        <v>D01-S07</v>
      </c>
      <c r="K55" s="1" t="e">
        <f>VLOOKUP(tblParish[[#This Row],[seketCode]],tblSeket,5,FALSE)</f>
        <v>#NAME?</v>
      </c>
      <c r="L55" s="1" t="s">
        <v>212</v>
      </c>
      <c r="M55" s="1" t="s">
        <v>266</v>
      </c>
    </row>
    <row r="56" spans="6:13" x14ac:dyDescent="0.35">
      <c r="F56" s="1" t="str">
        <f>CONCATENATE(tblParish[[#This Row],[seketCode]],"-",tblParish[[#This Row],[pCode]])</f>
        <v>D01-S07-P06</v>
      </c>
      <c r="G56" s="1" t="str">
        <f>Distrik!F$5</f>
        <v>D01</v>
      </c>
      <c r="H56" s="1" t="str">
        <f>VLOOKUP(tblParish[[#This Row],[DistCode]],tblDistrict[],2,FALSE)</f>
        <v>Kâte</v>
      </c>
      <c r="I56" s="1" t="str">
        <f>Seket!I$11</f>
        <v>S07</v>
      </c>
      <c r="J56" s="1" t="str">
        <f>CONCATENATE(tblParish[[#This Row],[DistCode]],"-",tblParish[[#This Row],[sCode]])</f>
        <v>D01-S07</v>
      </c>
      <c r="K56" s="1" t="e">
        <f>VLOOKUP(tblParish[[#This Row],[seketCode]],tblSeket,5,FALSE)</f>
        <v>#NAME?</v>
      </c>
      <c r="L56" s="1" t="s">
        <v>214</v>
      </c>
      <c r="M56" s="1" t="s">
        <v>267</v>
      </c>
    </row>
    <row r="57" spans="6:13" x14ac:dyDescent="0.35">
      <c r="F57" s="1" t="str">
        <f>CONCATENATE(tblParish[[#This Row],[seketCode]],"-",tblParish[[#This Row],[pCode]])</f>
        <v>D01-S07-P07</v>
      </c>
      <c r="G57" s="1" t="str">
        <f>Distrik!F$5</f>
        <v>D01</v>
      </c>
      <c r="H57" s="1" t="str">
        <f>VLOOKUP(tblParish[[#This Row],[DistCode]],tblDistrict[],2,FALSE)</f>
        <v>Kâte</v>
      </c>
      <c r="I57" s="1" t="str">
        <f>Seket!I$11</f>
        <v>S07</v>
      </c>
      <c r="J57" s="1" t="str">
        <f>CONCATENATE(tblParish[[#This Row],[DistCode]],"-",tblParish[[#This Row],[sCode]])</f>
        <v>D01-S07</v>
      </c>
      <c r="K57" s="1" t="e">
        <f>VLOOKUP(tblParish[[#This Row],[seketCode]],tblSeket,5,FALSE)</f>
        <v>#NAME?</v>
      </c>
      <c r="L57" s="1" t="s">
        <v>216</v>
      </c>
      <c r="M57" s="1" t="s">
        <v>268</v>
      </c>
    </row>
    <row r="58" spans="6:13" x14ac:dyDescent="0.35">
      <c r="F58" s="1" t="str">
        <f>CONCATENATE(tblParish[[#This Row],[seketCode]],"-",tblParish[[#This Row],[pCode]])</f>
        <v>D01-S08-P01</v>
      </c>
      <c r="G58" s="1" t="str">
        <f>Distrik!F$5</f>
        <v>D01</v>
      </c>
      <c r="H58" s="1" t="str">
        <f>VLOOKUP(tblParish[[#This Row],[DistCode]],tblDistrict[],2,FALSE)</f>
        <v>Kâte</v>
      </c>
      <c r="I58" s="1" t="str">
        <f>Seket!I$12</f>
        <v>S08</v>
      </c>
      <c r="J58" s="1" t="str">
        <f>CONCATENATE(tblParish[[#This Row],[DistCode]],"-",tblParish[[#This Row],[sCode]])</f>
        <v>D01-S08</v>
      </c>
      <c r="K58" s="1" t="e">
        <f>VLOOKUP(tblParish[[#This Row],[seketCode]],tblSeket,5,FALSE)</f>
        <v>#NAME?</v>
      </c>
      <c r="L58" s="1" t="s">
        <v>204</v>
      </c>
      <c r="M58" s="1" t="s">
        <v>269</v>
      </c>
    </row>
    <row r="59" spans="6:13" x14ac:dyDescent="0.35">
      <c r="F59" s="1" t="str">
        <f>CONCATENATE(tblParish[[#This Row],[seketCode]],"-",tblParish[[#This Row],[pCode]])</f>
        <v>D01-S08-P02</v>
      </c>
      <c r="G59" s="1" t="str">
        <f>Distrik!F$5</f>
        <v>D01</v>
      </c>
      <c r="H59" s="1" t="str">
        <f>VLOOKUP(tblParish[[#This Row],[DistCode]],tblDistrict[],2,FALSE)</f>
        <v>Kâte</v>
      </c>
      <c r="I59" s="1" t="str">
        <f>Seket!I$12</f>
        <v>S08</v>
      </c>
      <c r="J59" s="1" t="str">
        <f>CONCATENATE(tblParish[[#This Row],[DistCode]],"-",tblParish[[#This Row],[sCode]])</f>
        <v>D01-S08</v>
      </c>
      <c r="K59" s="1" t="e">
        <f>VLOOKUP(tblParish[[#This Row],[seketCode]],tblSeket,5,FALSE)</f>
        <v>#NAME?</v>
      </c>
      <c r="L59" s="1" t="s">
        <v>206</v>
      </c>
      <c r="M59" s="1" t="s">
        <v>270</v>
      </c>
    </row>
    <row r="60" spans="6:13" x14ac:dyDescent="0.35">
      <c r="F60" s="1" t="str">
        <f>CONCATENATE(tblParish[[#This Row],[seketCode]],"-",tblParish[[#This Row],[pCode]])</f>
        <v>D01-S08-P03</v>
      </c>
      <c r="G60" s="1" t="str">
        <f>Distrik!F$5</f>
        <v>D01</v>
      </c>
      <c r="H60" s="1" t="str">
        <f>VLOOKUP(tblParish[[#This Row],[DistCode]],tblDistrict[],2,FALSE)</f>
        <v>Kâte</v>
      </c>
      <c r="I60" s="1" t="str">
        <f>Seket!I$12</f>
        <v>S08</v>
      </c>
      <c r="J60" s="1" t="str">
        <f>CONCATENATE(tblParish[[#This Row],[DistCode]],"-",tblParish[[#This Row],[sCode]])</f>
        <v>D01-S08</v>
      </c>
      <c r="K60" s="1" t="e">
        <f>VLOOKUP(tblParish[[#This Row],[seketCode]],tblSeket,5,FALSE)</f>
        <v>#NAME?</v>
      </c>
      <c r="L60" s="1" t="s">
        <v>208</v>
      </c>
      <c r="M60" s="1" t="s">
        <v>271</v>
      </c>
    </row>
    <row r="61" spans="6:13" x14ac:dyDescent="0.35">
      <c r="F61" s="1" t="str">
        <f>CONCATENATE(tblParish[[#This Row],[seketCode]],"-",tblParish[[#This Row],[pCode]])</f>
        <v>D01-S08-P04</v>
      </c>
      <c r="G61" s="1" t="str">
        <f>Distrik!F$5</f>
        <v>D01</v>
      </c>
      <c r="H61" s="1" t="str">
        <f>VLOOKUP(tblParish[[#This Row],[DistCode]],tblDistrict[],2,FALSE)</f>
        <v>Kâte</v>
      </c>
      <c r="I61" s="1" t="str">
        <f>Seket!I$12</f>
        <v>S08</v>
      </c>
      <c r="J61" s="1" t="str">
        <f>CONCATENATE(tblParish[[#This Row],[DistCode]],"-",tblParish[[#This Row],[sCode]])</f>
        <v>D01-S08</v>
      </c>
      <c r="K61" s="1" t="e">
        <f>VLOOKUP(tblParish[[#This Row],[seketCode]],tblSeket,5,FALSE)</f>
        <v>#NAME?</v>
      </c>
      <c r="L61" s="1" t="s">
        <v>210</v>
      </c>
      <c r="M61" s="1" t="s">
        <v>272</v>
      </c>
    </row>
    <row r="62" spans="6:13" x14ac:dyDescent="0.35">
      <c r="F62" s="1" t="str">
        <f>CONCATENATE(tblParish[[#This Row],[seketCode]],"-",tblParish[[#This Row],[pCode]])</f>
        <v>D01-S08-P05</v>
      </c>
      <c r="G62" s="1" t="str">
        <f>Distrik!F$5</f>
        <v>D01</v>
      </c>
      <c r="H62" s="1" t="str">
        <f>VLOOKUP(tblParish[[#This Row],[DistCode]],tblDistrict[],2,FALSE)</f>
        <v>Kâte</v>
      </c>
      <c r="I62" s="1" t="str">
        <f>Seket!I$12</f>
        <v>S08</v>
      </c>
      <c r="J62" s="1" t="str">
        <f>CONCATENATE(tblParish[[#This Row],[DistCode]],"-",tblParish[[#This Row],[sCode]])</f>
        <v>D01-S08</v>
      </c>
      <c r="K62" s="1" t="e">
        <f>VLOOKUP(tblParish[[#This Row],[seketCode]],tblSeket,5,FALSE)</f>
        <v>#NAME?</v>
      </c>
      <c r="L62" s="1" t="s">
        <v>212</v>
      </c>
      <c r="M62" s="1" t="s">
        <v>273</v>
      </c>
    </row>
    <row r="63" spans="6:13" x14ac:dyDescent="0.35">
      <c r="F63" s="1" t="str">
        <f>CONCATENATE(tblParish[[#This Row],[seketCode]],"-",tblParish[[#This Row],[pCode]])</f>
        <v>D01-S08-P06</v>
      </c>
      <c r="G63" s="1" t="str">
        <f>Distrik!F$5</f>
        <v>D01</v>
      </c>
      <c r="H63" s="1" t="str">
        <f>VLOOKUP(tblParish[[#This Row],[DistCode]],tblDistrict[],2,FALSE)</f>
        <v>Kâte</v>
      </c>
      <c r="I63" s="1" t="str">
        <f>Seket!I$12</f>
        <v>S08</v>
      </c>
      <c r="J63" s="1" t="str">
        <f>CONCATENATE(tblParish[[#This Row],[DistCode]],"-",tblParish[[#This Row],[sCode]])</f>
        <v>D01-S08</v>
      </c>
      <c r="K63" s="1" t="e">
        <f>VLOOKUP(tblParish[[#This Row],[seketCode]],tblSeket,5,FALSE)</f>
        <v>#NAME?</v>
      </c>
      <c r="L63" s="1" t="s">
        <v>214</v>
      </c>
      <c r="M63" s="1" t="s">
        <v>274</v>
      </c>
    </row>
    <row r="64" spans="6:13" x14ac:dyDescent="0.35">
      <c r="F64" s="1" t="str">
        <f>CONCATENATE(tblParish[[#This Row],[seketCode]],"-",tblParish[[#This Row],[pCode]])</f>
        <v>D02-S01-P01</v>
      </c>
      <c r="G64" s="1" t="str">
        <f>Distrik!F$6</f>
        <v>D02</v>
      </c>
      <c r="H64" s="1" t="str">
        <f>VLOOKUP(tblParish[[#This Row],[DistCode]],tblDistrict[],2,FALSE)</f>
        <v>Jabem</v>
      </c>
      <c r="I64" s="1" t="str">
        <f>Seket!I$13</f>
        <v>S01</v>
      </c>
      <c r="J64" s="1" t="str">
        <f>CONCATENATE(tblParish[[#This Row],[DistCode]],"-",tblParish[[#This Row],[sCode]])</f>
        <v>D02-S01</v>
      </c>
      <c r="K64" s="1" t="e">
        <f>VLOOKUP(tblParish[[#This Row],[seketCode]],tblSeket,5,FALSE)</f>
        <v>#NAME?</v>
      </c>
      <c r="L64" s="1" t="s">
        <v>204</v>
      </c>
      <c r="M64" s="1" t="s">
        <v>275</v>
      </c>
    </row>
    <row r="65" spans="6:13" x14ac:dyDescent="0.35">
      <c r="F65" s="1" t="str">
        <f>CONCATENATE(tblParish[[#This Row],[seketCode]],"-",tblParish[[#This Row],[pCode]])</f>
        <v>D02-S01-P02</v>
      </c>
      <c r="G65" s="1" t="str">
        <f>Distrik!F$6</f>
        <v>D02</v>
      </c>
      <c r="H65" s="1" t="str">
        <f>VLOOKUP(tblParish[[#This Row],[DistCode]],tblDistrict[],2,FALSE)</f>
        <v>Jabem</v>
      </c>
      <c r="I65" s="1" t="str">
        <f>Seket!I$13</f>
        <v>S01</v>
      </c>
      <c r="J65" s="1" t="str">
        <f>CONCATENATE(tblParish[[#This Row],[DistCode]],"-",tblParish[[#This Row],[sCode]])</f>
        <v>D02-S01</v>
      </c>
      <c r="K65" s="1" t="e">
        <f>VLOOKUP(tblParish[[#This Row],[seketCode]],tblSeket,5,FALSE)</f>
        <v>#NAME?</v>
      </c>
      <c r="L65" s="1" t="s">
        <v>206</v>
      </c>
      <c r="M65" s="1" t="s">
        <v>276</v>
      </c>
    </row>
    <row r="66" spans="6:13" x14ac:dyDescent="0.35">
      <c r="F66" s="1" t="str">
        <f>CONCATENATE(tblParish[[#This Row],[seketCode]],"-",tblParish[[#This Row],[pCode]])</f>
        <v>D02-S01-P03</v>
      </c>
      <c r="G66" s="1" t="str">
        <f>Distrik!F$6</f>
        <v>D02</v>
      </c>
      <c r="H66" s="1" t="str">
        <f>VLOOKUP(tblParish[[#This Row],[DistCode]],tblDistrict[],2,FALSE)</f>
        <v>Jabem</v>
      </c>
      <c r="I66" s="1" t="str">
        <f>Seket!I$13</f>
        <v>S01</v>
      </c>
      <c r="J66" s="1" t="str">
        <f>CONCATENATE(tblParish[[#This Row],[DistCode]],"-",tblParish[[#This Row],[sCode]])</f>
        <v>D02-S01</v>
      </c>
      <c r="K66" s="1" t="e">
        <f>VLOOKUP(tblParish[[#This Row],[seketCode]],tblSeket,5,FALSE)</f>
        <v>#NAME?</v>
      </c>
      <c r="L66" s="1" t="s">
        <v>208</v>
      </c>
      <c r="M66" s="1" t="s">
        <v>277</v>
      </c>
    </row>
    <row r="67" spans="6:13" x14ac:dyDescent="0.35">
      <c r="F67" s="1" t="str">
        <f>CONCATENATE(tblParish[[#This Row],[seketCode]],"-",tblParish[[#This Row],[pCode]])</f>
        <v>D02-S01-P04</v>
      </c>
      <c r="G67" s="1" t="str">
        <f>Distrik!F$6</f>
        <v>D02</v>
      </c>
      <c r="H67" s="1" t="str">
        <f>VLOOKUP(tblParish[[#This Row],[DistCode]],tblDistrict[],2,FALSE)</f>
        <v>Jabem</v>
      </c>
      <c r="I67" s="1" t="str">
        <f>Seket!I$13</f>
        <v>S01</v>
      </c>
      <c r="J67" s="1" t="str">
        <f>CONCATENATE(tblParish[[#This Row],[DistCode]],"-",tblParish[[#This Row],[sCode]])</f>
        <v>D02-S01</v>
      </c>
      <c r="K67" s="1" t="e">
        <f>VLOOKUP(tblParish[[#This Row],[seketCode]],tblSeket,5,FALSE)</f>
        <v>#NAME?</v>
      </c>
      <c r="L67" s="1" t="s">
        <v>210</v>
      </c>
      <c r="M67" s="1" t="s">
        <v>278</v>
      </c>
    </row>
    <row r="68" spans="6:13" x14ac:dyDescent="0.35">
      <c r="F68" s="1" t="str">
        <f>CONCATENATE(tblParish[[#This Row],[seketCode]],"-",tblParish[[#This Row],[pCode]])</f>
        <v>D02-S01-P05</v>
      </c>
      <c r="G68" s="1" t="str">
        <f>Distrik!F$6</f>
        <v>D02</v>
      </c>
      <c r="H68" s="1" t="str">
        <f>VLOOKUP(tblParish[[#This Row],[DistCode]],tblDistrict[],2,FALSE)</f>
        <v>Jabem</v>
      </c>
      <c r="I68" s="1" t="str">
        <f>Seket!I$13</f>
        <v>S01</v>
      </c>
      <c r="J68" s="1" t="str">
        <f>CONCATENATE(tblParish[[#This Row],[DistCode]],"-",tblParish[[#This Row],[sCode]])</f>
        <v>D02-S01</v>
      </c>
      <c r="K68" s="1" t="e">
        <f>VLOOKUP(tblParish[[#This Row],[seketCode]],tblSeket,5,FALSE)</f>
        <v>#NAME?</v>
      </c>
      <c r="L68" s="1" t="s">
        <v>212</v>
      </c>
      <c r="M68" s="1" t="s">
        <v>279</v>
      </c>
    </row>
    <row r="69" spans="6:13" x14ac:dyDescent="0.35">
      <c r="F69" s="1" t="str">
        <f>CONCATENATE(tblParish[[#This Row],[seketCode]],"-",tblParish[[#This Row],[pCode]])</f>
        <v>D02-S01-P06</v>
      </c>
      <c r="G69" s="1" t="str">
        <f>Distrik!F$6</f>
        <v>D02</v>
      </c>
      <c r="H69" s="1" t="str">
        <f>VLOOKUP(tblParish[[#This Row],[DistCode]],tblDistrict[],2,FALSE)</f>
        <v>Jabem</v>
      </c>
      <c r="I69" s="1" t="str">
        <f>Seket!I$13</f>
        <v>S01</v>
      </c>
      <c r="J69" s="1" t="str">
        <f>CONCATENATE(tblParish[[#This Row],[DistCode]],"-",tblParish[[#This Row],[sCode]])</f>
        <v>D02-S01</v>
      </c>
      <c r="K69" s="1" t="e">
        <f>VLOOKUP(tblParish[[#This Row],[seketCode]],tblSeket,5,FALSE)</f>
        <v>#NAME?</v>
      </c>
      <c r="L69" s="1" t="s">
        <v>214</v>
      </c>
      <c r="M69" s="1" t="s">
        <v>280</v>
      </c>
    </row>
    <row r="70" spans="6:13" x14ac:dyDescent="0.35">
      <c r="F70" s="1" t="str">
        <f>CONCATENATE(tblParish[[#This Row],[seketCode]],"-",tblParish[[#This Row],[pCode]])</f>
        <v>D02-S01-P07</v>
      </c>
      <c r="G70" s="1" t="str">
        <f>Distrik!F$6</f>
        <v>D02</v>
      </c>
      <c r="H70" s="1" t="str">
        <f>VLOOKUP(tblParish[[#This Row],[DistCode]],tblDistrict[],2,FALSE)</f>
        <v>Jabem</v>
      </c>
      <c r="I70" s="1" t="str">
        <f>Seket!I$13</f>
        <v>S01</v>
      </c>
      <c r="J70" s="1" t="str">
        <f>CONCATENATE(tblParish[[#This Row],[DistCode]],"-",tblParish[[#This Row],[sCode]])</f>
        <v>D02-S01</v>
      </c>
      <c r="K70" s="1" t="e">
        <f>VLOOKUP(tblParish[[#This Row],[seketCode]],tblSeket,5,FALSE)</f>
        <v>#NAME?</v>
      </c>
      <c r="L70" s="1" t="s">
        <v>216</v>
      </c>
      <c r="M70" s="1" t="s">
        <v>281</v>
      </c>
    </row>
    <row r="71" spans="6:13" x14ac:dyDescent="0.35">
      <c r="F71" s="1" t="str">
        <f>CONCATENATE(tblParish[[#This Row],[seketCode]],"-",tblParish[[#This Row],[pCode]])</f>
        <v>D02-S02-P01</v>
      </c>
      <c r="G71" s="1" t="str">
        <f>Distrik!F$6</f>
        <v>D02</v>
      </c>
      <c r="H71" s="1" t="str">
        <f>VLOOKUP(tblParish[[#This Row],[DistCode]],tblDistrict[],2,FALSE)</f>
        <v>Jabem</v>
      </c>
      <c r="I71" s="1" t="str">
        <f>Seket!I$14</f>
        <v>S02</v>
      </c>
      <c r="J71" s="1" t="str">
        <f>CONCATENATE(tblParish[[#This Row],[DistCode]],"-",tblParish[[#This Row],[sCode]])</f>
        <v>D02-S02</v>
      </c>
      <c r="K71" s="1" t="e">
        <f>VLOOKUP(tblParish[[#This Row],[seketCode]],tblSeket,5,FALSE)</f>
        <v>#NAME?</v>
      </c>
      <c r="L71" s="1" t="s">
        <v>204</v>
      </c>
      <c r="M71" s="1" t="s">
        <v>282</v>
      </c>
    </row>
    <row r="72" spans="6:13" x14ac:dyDescent="0.35">
      <c r="F72" s="1" t="str">
        <f>CONCATENATE(tblParish[[#This Row],[seketCode]],"-",tblParish[[#This Row],[pCode]])</f>
        <v>D02-S02-P02</v>
      </c>
      <c r="G72" s="1" t="str">
        <f>Distrik!F$6</f>
        <v>D02</v>
      </c>
      <c r="H72" s="1" t="str">
        <f>VLOOKUP(tblParish[[#This Row],[DistCode]],tblDistrict[],2,FALSE)</f>
        <v>Jabem</v>
      </c>
      <c r="I72" s="1" t="str">
        <f>Seket!I$14</f>
        <v>S02</v>
      </c>
      <c r="J72" s="1" t="str">
        <f>CONCATENATE(tblParish[[#This Row],[DistCode]],"-",tblParish[[#This Row],[sCode]])</f>
        <v>D02-S02</v>
      </c>
      <c r="K72" s="1" t="e">
        <f>VLOOKUP(tblParish[[#This Row],[seketCode]],tblSeket,5,FALSE)</f>
        <v>#NAME?</v>
      </c>
      <c r="L72" s="1" t="s">
        <v>206</v>
      </c>
      <c r="M72" s="1" t="s">
        <v>283</v>
      </c>
    </row>
    <row r="73" spans="6:13" x14ac:dyDescent="0.35">
      <c r="F73" s="1" t="str">
        <f>CONCATENATE(tblParish[[#This Row],[seketCode]],"-",tblParish[[#This Row],[pCode]])</f>
        <v>D02-S02-P03</v>
      </c>
      <c r="G73" s="1" t="str">
        <f>Distrik!F$6</f>
        <v>D02</v>
      </c>
      <c r="H73" s="1" t="str">
        <f>VLOOKUP(tblParish[[#This Row],[DistCode]],tblDistrict[],2,FALSE)</f>
        <v>Jabem</v>
      </c>
      <c r="I73" s="1" t="str">
        <f>Seket!I$14</f>
        <v>S02</v>
      </c>
      <c r="J73" s="1" t="str">
        <f>CONCATENATE(tblParish[[#This Row],[DistCode]],"-",tblParish[[#This Row],[sCode]])</f>
        <v>D02-S02</v>
      </c>
      <c r="K73" s="1" t="e">
        <f>VLOOKUP(tblParish[[#This Row],[seketCode]],tblSeket,5,FALSE)</f>
        <v>#NAME?</v>
      </c>
      <c r="L73" s="1" t="s">
        <v>208</v>
      </c>
      <c r="M73" s="1" t="s">
        <v>284</v>
      </c>
    </row>
    <row r="74" spans="6:13" x14ac:dyDescent="0.35">
      <c r="F74" s="1" t="str">
        <f>CONCATENATE(tblParish[[#This Row],[seketCode]],"-",tblParish[[#This Row],[pCode]])</f>
        <v>D02-S02-P04</v>
      </c>
      <c r="G74" s="1" t="str">
        <f>Distrik!F$6</f>
        <v>D02</v>
      </c>
      <c r="H74" s="1" t="str">
        <f>VLOOKUP(tblParish[[#This Row],[DistCode]],tblDistrict[],2,FALSE)</f>
        <v>Jabem</v>
      </c>
      <c r="I74" s="1" t="str">
        <f>Seket!I$14</f>
        <v>S02</v>
      </c>
      <c r="J74" s="1" t="str">
        <f>CONCATENATE(tblParish[[#This Row],[DistCode]],"-",tblParish[[#This Row],[sCode]])</f>
        <v>D02-S02</v>
      </c>
      <c r="K74" s="1" t="e">
        <f>VLOOKUP(tblParish[[#This Row],[seketCode]],tblSeket,5,FALSE)</f>
        <v>#NAME?</v>
      </c>
      <c r="L74" s="1" t="s">
        <v>210</v>
      </c>
      <c r="M74" s="1" t="s">
        <v>285</v>
      </c>
    </row>
    <row r="75" spans="6:13" x14ac:dyDescent="0.35">
      <c r="F75" s="1" t="str">
        <f>CONCATENATE(tblParish[[#This Row],[seketCode]],"-",tblParish[[#This Row],[pCode]])</f>
        <v>D02-S03-P01</v>
      </c>
      <c r="G75" s="1" t="str">
        <f>Distrik!F$6</f>
        <v>D02</v>
      </c>
      <c r="H75" s="1" t="str">
        <f>VLOOKUP(tblParish[[#This Row],[DistCode]],tblDistrict[],2,FALSE)</f>
        <v>Jabem</v>
      </c>
      <c r="I75" s="1" t="str">
        <f>Seket!I$15</f>
        <v>S03</v>
      </c>
      <c r="J75" s="1" t="str">
        <f>CONCATENATE(tblParish[[#This Row],[DistCode]],"-",tblParish[[#This Row],[sCode]])</f>
        <v>D02-S03</v>
      </c>
      <c r="K75" s="1" t="e">
        <f>VLOOKUP(tblParish[[#This Row],[seketCode]],tblSeket,5,FALSE)</f>
        <v>#NAME?</v>
      </c>
      <c r="L75" s="1" t="s">
        <v>204</v>
      </c>
      <c r="M75" s="1" t="s">
        <v>286</v>
      </c>
    </row>
    <row r="76" spans="6:13" x14ac:dyDescent="0.35">
      <c r="F76" s="1" t="str">
        <f>CONCATENATE(tblParish[[#This Row],[seketCode]],"-",tblParish[[#This Row],[pCode]])</f>
        <v>D02-S03-P02</v>
      </c>
      <c r="G76" s="1" t="str">
        <f>Distrik!F$6</f>
        <v>D02</v>
      </c>
      <c r="H76" s="1" t="str">
        <f>VLOOKUP(tblParish[[#This Row],[DistCode]],tblDistrict[],2,FALSE)</f>
        <v>Jabem</v>
      </c>
      <c r="I76" s="1" t="str">
        <f>Seket!I$15</f>
        <v>S03</v>
      </c>
      <c r="J76" s="1" t="str">
        <f>CONCATENATE(tblParish[[#This Row],[DistCode]],"-",tblParish[[#This Row],[sCode]])</f>
        <v>D02-S03</v>
      </c>
      <c r="K76" s="1" t="e">
        <f>VLOOKUP(tblParish[[#This Row],[seketCode]],tblSeket,5,FALSE)</f>
        <v>#NAME?</v>
      </c>
      <c r="L76" s="1" t="s">
        <v>206</v>
      </c>
      <c r="M76" s="1" t="s">
        <v>287</v>
      </c>
    </row>
    <row r="77" spans="6:13" x14ac:dyDescent="0.35">
      <c r="F77" s="1" t="str">
        <f>CONCATENATE(tblParish[[#This Row],[seketCode]],"-",tblParish[[#This Row],[pCode]])</f>
        <v>D02-S03-P03</v>
      </c>
      <c r="G77" s="1" t="str">
        <f>Distrik!F$6</f>
        <v>D02</v>
      </c>
      <c r="H77" s="1" t="str">
        <f>VLOOKUP(tblParish[[#This Row],[DistCode]],tblDistrict[],2,FALSE)</f>
        <v>Jabem</v>
      </c>
      <c r="I77" s="1" t="str">
        <f>Seket!I$15</f>
        <v>S03</v>
      </c>
      <c r="J77" s="1" t="str">
        <f>CONCATENATE(tblParish[[#This Row],[DistCode]],"-",tblParish[[#This Row],[sCode]])</f>
        <v>D02-S03</v>
      </c>
      <c r="K77" s="1" t="e">
        <f>VLOOKUP(tblParish[[#This Row],[seketCode]],tblSeket,5,FALSE)</f>
        <v>#NAME?</v>
      </c>
      <c r="L77" s="1" t="s">
        <v>208</v>
      </c>
      <c r="M77" s="1" t="s">
        <v>288</v>
      </c>
    </row>
    <row r="78" spans="6:13" x14ac:dyDescent="0.35">
      <c r="F78" s="1" t="str">
        <f>CONCATENATE(tblParish[[#This Row],[seketCode]],"-",tblParish[[#This Row],[pCode]])</f>
        <v>D02-S03-P04</v>
      </c>
      <c r="G78" s="1" t="str">
        <f>Distrik!F$6</f>
        <v>D02</v>
      </c>
      <c r="H78" s="1" t="str">
        <f>VLOOKUP(tblParish[[#This Row],[DistCode]],tblDistrict[],2,FALSE)</f>
        <v>Jabem</v>
      </c>
      <c r="I78" s="1" t="str">
        <f>Seket!I$15</f>
        <v>S03</v>
      </c>
      <c r="J78" s="1" t="str">
        <f>CONCATENATE(tblParish[[#This Row],[DistCode]],"-",tblParish[[#This Row],[sCode]])</f>
        <v>D02-S03</v>
      </c>
      <c r="K78" s="1" t="e">
        <f>VLOOKUP(tblParish[[#This Row],[seketCode]],tblSeket,5,FALSE)</f>
        <v>#NAME?</v>
      </c>
      <c r="L78" s="1" t="s">
        <v>210</v>
      </c>
      <c r="M78" s="1" t="s">
        <v>289</v>
      </c>
    </row>
    <row r="79" spans="6:13" x14ac:dyDescent="0.35">
      <c r="F79" s="1" t="str">
        <f>CONCATENATE(tblParish[[#This Row],[seketCode]],"-",tblParish[[#This Row],[pCode]])</f>
        <v>D02-S03-P05</v>
      </c>
      <c r="G79" s="1" t="str">
        <f>Distrik!F$6</f>
        <v>D02</v>
      </c>
      <c r="H79" s="1" t="str">
        <f>VLOOKUP(tblParish[[#This Row],[DistCode]],tblDistrict[],2,FALSE)</f>
        <v>Jabem</v>
      </c>
      <c r="I79" s="1" t="str">
        <f>Seket!I$15</f>
        <v>S03</v>
      </c>
      <c r="J79" s="1" t="str">
        <f>CONCATENATE(tblParish[[#This Row],[DistCode]],"-",tblParish[[#This Row],[sCode]])</f>
        <v>D02-S03</v>
      </c>
      <c r="K79" s="1" t="e">
        <f>VLOOKUP(tblParish[[#This Row],[seketCode]],tblSeket,5,FALSE)</f>
        <v>#NAME?</v>
      </c>
      <c r="L79" s="1" t="s">
        <v>212</v>
      </c>
      <c r="M79" s="1" t="s">
        <v>290</v>
      </c>
    </row>
    <row r="80" spans="6:13" x14ac:dyDescent="0.35">
      <c r="F80" s="1" t="str">
        <f>CONCATENATE(tblParish[[#This Row],[seketCode]],"-",tblParish[[#This Row],[pCode]])</f>
        <v>D02-S03-P06</v>
      </c>
      <c r="G80" s="1" t="str">
        <f>Distrik!F$6</f>
        <v>D02</v>
      </c>
      <c r="H80" s="1" t="str">
        <f>VLOOKUP(tblParish[[#This Row],[DistCode]],tblDistrict[],2,FALSE)</f>
        <v>Jabem</v>
      </c>
      <c r="I80" s="1" t="str">
        <f>Seket!I$15</f>
        <v>S03</v>
      </c>
      <c r="J80" s="1" t="str">
        <f>CONCATENATE(tblParish[[#This Row],[DistCode]],"-",tblParish[[#This Row],[sCode]])</f>
        <v>D02-S03</v>
      </c>
      <c r="K80" s="1" t="e">
        <f>VLOOKUP(tblParish[[#This Row],[seketCode]],tblSeket,5,FALSE)</f>
        <v>#NAME?</v>
      </c>
      <c r="L80" s="1" t="s">
        <v>214</v>
      </c>
      <c r="M80" s="1" t="s">
        <v>291</v>
      </c>
    </row>
    <row r="81" spans="6:13" x14ac:dyDescent="0.35">
      <c r="F81" s="1" t="str">
        <f>CONCATENATE(tblParish[[#This Row],[seketCode]],"-",tblParish[[#This Row],[pCode]])</f>
        <v>D02-S04-P01</v>
      </c>
      <c r="G81" s="1" t="str">
        <f>Distrik!F$6</f>
        <v>D02</v>
      </c>
      <c r="H81" s="1" t="str">
        <f>VLOOKUP(tblParish[[#This Row],[DistCode]],tblDistrict[],2,FALSE)</f>
        <v>Jabem</v>
      </c>
      <c r="I81" s="1" t="str">
        <f>Seket!I$16</f>
        <v>S04</v>
      </c>
      <c r="J81" s="1" t="str">
        <f>CONCATENATE(tblParish[[#This Row],[DistCode]],"-",tblParish[[#This Row],[sCode]])</f>
        <v>D02-S04</v>
      </c>
      <c r="K81" s="1" t="e">
        <f>VLOOKUP(tblParish[[#This Row],[seketCode]],tblSeket,5,FALSE)</f>
        <v>#NAME?</v>
      </c>
      <c r="L81" s="1" t="s">
        <v>204</v>
      </c>
      <c r="M81" s="1" t="s">
        <v>292</v>
      </c>
    </row>
    <row r="82" spans="6:13" x14ac:dyDescent="0.35">
      <c r="F82" s="1" t="str">
        <f>CONCATENATE(tblParish[[#This Row],[seketCode]],"-",tblParish[[#This Row],[pCode]])</f>
        <v>D02-S04-P02</v>
      </c>
      <c r="G82" s="1" t="str">
        <f>Distrik!F$6</f>
        <v>D02</v>
      </c>
      <c r="H82" s="1" t="str">
        <f>VLOOKUP(tblParish[[#This Row],[DistCode]],tblDistrict[],2,FALSE)</f>
        <v>Jabem</v>
      </c>
      <c r="I82" s="1" t="str">
        <f>Seket!I$16</f>
        <v>S04</v>
      </c>
      <c r="J82" s="1" t="str">
        <f>CONCATENATE(tblParish[[#This Row],[DistCode]],"-",tblParish[[#This Row],[sCode]])</f>
        <v>D02-S04</v>
      </c>
      <c r="K82" s="1" t="e">
        <f>VLOOKUP(tblParish[[#This Row],[seketCode]],tblSeket,5,FALSE)</f>
        <v>#NAME?</v>
      </c>
      <c r="L82" s="1" t="s">
        <v>206</v>
      </c>
      <c r="M82" s="1" t="s">
        <v>293</v>
      </c>
    </row>
    <row r="83" spans="6:13" x14ac:dyDescent="0.35">
      <c r="F83" s="1" t="str">
        <f>CONCATENATE(tblParish[[#This Row],[seketCode]],"-",tblParish[[#This Row],[pCode]])</f>
        <v>D02-S04-P03</v>
      </c>
      <c r="G83" s="1" t="str">
        <f>Distrik!F$6</f>
        <v>D02</v>
      </c>
      <c r="H83" s="1" t="str">
        <f>VLOOKUP(tblParish[[#This Row],[DistCode]],tblDistrict[],2,FALSE)</f>
        <v>Jabem</v>
      </c>
      <c r="I83" s="1" t="str">
        <f>Seket!I$16</f>
        <v>S04</v>
      </c>
      <c r="J83" s="1" t="str">
        <f>CONCATENATE(tblParish[[#This Row],[DistCode]],"-",tblParish[[#This Row],[sCode]])</f>
        <v>D02-S04</v>
      </c>
      <c r="K83" s="1" t="e">
        <f>VLOOKUP(tblParish[[#This Row],[seketCode]],tblSeket,5,FALSE)</f>
        <v>#NAME?</v>
      </c>
      <c r="L83" s="1" t="s">
        <v>208</v>
      </c>
      <c r="M83" s="1" t="s">
        <v>294</v>
      </c>
    </row>
    <row r="84" spans="6:13" x14ac:dyDescent="0.35">
      <c r="F84" s="1" t="str">
        <f>CONCATENATE(tblParish[[#This Row],[seketCode]],"-",tblParish[[#This Row],[pCode]])</f>
        <v>D02-S04-P04</v>
      </c>
      <c r="G84" s="1" t="str">
        <f>Distrik!F$6</f>
        <v>D02</v>
      </c>
      <c r="H84" s="1" t="str">
        <f>VLOOKUP(tblParish[[#This Row],[DistCode]],tblDistrict[],2,FALSE)</f>
        <v>Jabem</v>
      </c>
      <c r="I84" s="1" t="str">
        <f>Seket!I$16</f>
        <v>S04</v>
      </c>
      <c r="J84" s="1" t="str">
        <f>CONCATENATE(tblParish[[#This Row],[DistCode]],"-",tblParish[[#This Row],[sCode]])</f>
        <v>D02-S04</v>
      </c>
      <c r="K84" s="1" t="e">
        <f>VLOOKUP(tblParish[[#This Row],[seketCode]],tblSeket,5,FALSE)</f>
        <v>#NAME?</v>
      </c>
      <c r="L84" s="1" t="s">
        <v>210</v>
      </c>
      <c r="M84" s="1" t="s">
        <v>295</v>
      </c>
    </row>
    <row r="85" spans="6:13" x14ac:dyDescent="0.35">
      <c r="F85" s="1" t="str">
        <f>CONCATENATE(tblParish[[#This Row],[seketCode]],"-",tblParish[[#This Row],[pCode]])</f>
        <v>D02-S04-P05</v>
      </c>
      <c r="G85" s="1" t="str">
        <f>Distrik!F$6</f>
        <v>D02</v>
      </c>
      <c r="H85" s="1" t="str">
        <f>VLOOKUP(tblParish[[#This Row],[DistCode]],tblDistrict[],2,FALSE)</f>
        <v>Jabem</v>
      </c>
      <c r="I85" s="1" t="str">
        <f>Seket!I$16</f>
        <v>S04</v>
      </c>
      <c r="J85" s="1" t="str">
        <f>CONCATENATE(tblParish[[#This Row],[DistCode]],"-",tblParish[[#This Row],[sCode]])</f>
        <v>D02-S04</v>
      </c>
      <c r="K85" s="1" t="e">
        <f>VLOOKUP(tblParish[[#This Row],[seketCode]],tblSeket,5,FALSE)</f>
        <v>#NAME?</v>
      </c>
      <c r="L85" s="1" t="s">
        <v>212</v>
      </c>
      <c r="M85" s="1" t="s">
        <v>296</v>
      </c>
    </row>
    <row r="86" spans="6:13" x14ac:dyDescent="0.35">
      <c r="F86" s="1" t="str">
        <f>CONCATENATE(tblParish[[#This Row],[seketCode]],"-",tblParish[[#This Row],[pCode]])</f>
        <v>D02-S04-P06</v>
      </c>
      <c r="G86" s="1" t="str">
        <f>Distrik!F$6</f>
        <v>D02</v>
      </c>
      <c r="H86" s="1" t="str">
        <f>VLOOKUP(tblParish[[#This Row],[DistCode]],tblDistrict[],2,FALSE)</f>
        <v>Jabem</v>
      </c>
      <c r="I86" s="1" t="str">
        <f>Seket!I$16</f>
        <v>S04</v>
      </c>
      <c r="J86" s="1" t="str">
        <f>CONCATENATE(tblParish[[#This Row],[DistCode]],"-",tblParish[[#This Row],[sCode]])</f>
        <v>D02-S04</v>
      </c>
      <c r="K86" s="1" t="e">
        <f>VLOOKUP(tblParish[[#This Row],[seketCode]],tblSeket,5,FALSE)</f>
        <v>#NAME?</v>
      </c>
      <c r="L86" s="1" t="s">
        <v>214</v>
      </c>
      <c r="M86" s="1" t="s">
        <v>297</v>
      </c>
    </row>
    <row r="87" spans="6:13" x14ac:dyDescent="0.35">
      <c r="F87" s="1" t="str">
        <f>CONCATENATE(tblParish[[#This Row],[seketCode]],"-",tblParish[[#This Row],[pCode]])</f>
        <v>D02-S04-P07</v>
      </c>
      <c r="G87" s="1" t="str">
        <f>Distrik!F$6</f>
        <v>D02</v>
      </c>
      <c r="H87" s="1" t="str">
        <f>VLOOKUP(tblParish[[#This Row],[DistCode]],tblDistrict[],2,FALSE)</f>
        <v>Jabem</v>
      </c>
      <c r="I87" s="1" t="str">
        <f>Seket!I$16</f>
        <v>S04</v>
      </c>
      <c r="J87" s="1" t="str">
        <f>CONCATENATE(tblParish[[#This Row],[DistCode]],"-",tblParish[[#This Row],[sCode]])</f>
        <v>D02-S04</v>
      </c>
      <c r="K87" s="1" t="e">
        <f>VLOOKUP(tblParish[[#This Row],[seketCode]],tblSeket,5,FALSE)</f>
        <v>#NAME?</v>
      </c>
      <c r="L87" s="1" t="s">
        <v>216</v>
      </c>
      <c r="M87" s="1" t="s">
        <v>298</v>
      </c>
    </row>
    <row r="88" spans="6:13" x14ac:dyDescent="0.35">
      <c r="F88" s="1" t="str">
        <f>CONCATENATE(tblParish[[#This Row],[seketCode]],"-",tblParish[[#This Row],[pCode]])</f>
        <v>D02-S04-P08</v>
      </c>
      <c r="G88" s="1" t="str">
        <f>Distrik!F$6</f>
        <v>D02</v>
      </c>
      <c r="H88" s="1" t="str">
        <f>VLOOKUP(tblParish[[#This Row],[DistCode]],tblDistrict[],2,FALSE)</f>
        <v>Jabem</v>
      </c>
      <c r="I88" s="1" t="str">
        <f>Seket!I$16</f>
        <v>S04</v>
      </c>
      <c r="J88" s="1" t="str">
        <f>CONCATENATE(tblParish[[#This Row],[DistCode]],"-",tblParish[[#This Row],[sCode]])</f>
        <v>D02-S04</v>
      </c>
      <c r="K88" s="1" t="e">
        <f>VLOOKUP(tblParish[[#This Row],[seketCode]],tblSeket,5,FALSE)</f>
        <v>#NAME?</v>
      </c>
      <c r="L88" s="1" t="s">
        <v>218</v>
      </c>
      <c r="M88" s="1" t="s">
        <v>299</v>
      </c>
    </row>
    <row r="89" spans="6:13" x14ac:dyDescent="0.35">
      <c r="F89" s="1" t="str">
        <f>CONCATENATE(tblParish[[#This Row],[seketCode]],"-",tblParish[[#This Row],[pCode]])</f>
        <v>D02-S04-P09</v>
      </c>
      <c r="G89" s="1" t="str">
        <f>Distrik!F$6</f>
        <v>D02</v>
      </c>
      <c r="H89" s="1" t="str">
        <f>VLOOKUP(tblParish[[#This Row],[DistCode]],tblDistrict[],2,FALSE)</f>
        <v>Jabem</v>
      </c>
      <c r="I89" s="1" t="str">
        <f>Seket!I$16</f>
        <v>S04</v>
      </c>
      <c r="J89" s="1" t="str">
        <f>CONCATENATE(tblParish[[#This Row],[DistCode]],"-",tblParish[[#This Row],[sCode]])</f>
        <v>D02-S04</v>
      </c>
      <c r="K89" s="1" t="e">
        <f>VLOOKUP(tblParish[[#This Row],[seketCode]],tblSeket,5,FALSE)</f>
        <v>#NAME?</v>
      </c>
      <c r="L89" s="1" t="s">
        <v>235</v>
      </c>
      <c r="M89" s="1" t="s">
        <v>300</v>
      </c>
    </row>
    <row r="90" spans="6:13" x14ac:dyDescent="0.35">
      <c r="F90" s="1" t="str">
        <f>CONCATENATE(tblParish[[#This Row],[seketCode]],"-",tblParish[[#This Row],[pCode]])</f>
        <v>D02-S04-P10</v>
      </c>
      <c r="G90" s="1" t="str">
        <f>Distrik!F$6</f>
        <v>D02</v>
      </c>
      <c r="H90" s="1" t="str">
        <f>VLOOKUP(tblParish[[#This Row],[DistCode]],tblDistrict[],2,FALSE)</f>
        <v>Jabem</v>
      </c>
      <c r="I90" s="1" t="str">
        <f>Seket!I$16</f>
        <v>S04</v>
      </c>
      <c r="J90" s="1" t="str">
        <f>CONCATENATE(tblParish[[#This Row],[DistCode]],"-",tblParish[[#This Row],[sCode]])</f>
        <v>D02-S04</v>
      </c>
      <c r="K90" s="1" t="e">
        <f>VLOOKUP(tblParish[[#This Row],[seketCode]],tblSeket,5,FALSE)</f>
        <v>#NAME?</v>
      </c>
      <c r="L90" s="1" t="s">
        <v>237</v>
      </c>
      <c r="M90" s="1" t="s">
        <v>301</v>
      </c>
    </row>
    <row r="91" spans="6:13" x14ac:dyDescent="0.35">
      <c r="F91" s="1" t="str">
        <f>CONCATENATE(tblParish[[#This Row],[seketCode]],"-",tblParish[[#This Row],[pCode]])</f>
        <v>D02-S04-P11</v>
      </c>
      <c r="G91" s="1" t="str">
        <f>Distrik!F$6</f>
        <v>D02</v>
      </c>
      <c r="H91" s="1" t="str">
        <f>VLOOKUP(tblParish[[#This Row],[DistCode]],tblDistrict[],2,FALSE)</f>
        <v>Jabem</v>
      </c>
      <c r="I91" s="1" t="str">
        <f>Seket!I$16</f>
        <v>S04</v>
      </c>
      <c r="J91" s="1" t="str">
        <f>CONCATENATE(tblParish[[#This Row],[DistCode]],"-",tblParish[[#This Row],[sCode]])</f>
        <v>D02-S04</v>
      </c>
      <c r="K91" s="1" t="e">
        <f>VLOOKUP(tblParish[[#This Row],[seketCode]],tblSeket,5,FALSE)</f>
        <v>#NAME?</v>
      </c>
      <c r="L91" s="1" t="s">
        <v>239</v>
      </c>
      <c r="M91" s="1" t="s">
        <v>302</v>
      </c>
    </row>
    <row r="92" spans="6:13" x14ac:dyDescent="0.35">
      <c r="F92" s="1" t="str">
        <f>CONCATENATE(tblParish[[#This Row],[seketCode]],"-",tblParish[[#This Row],[pCode]])</f>
        <v>D02-S04-P12</v>
      </c>
      <c r="G92" s="1" t="str">
        <f>Distrik!F$6</f>
        <v>D02</v>
      </c>
      <c r="H92" s="1" t="str">
        <f>VLOOKUP(tblParish[[#This Row],[DistCode]],tblDistrict[],2,FALSE)</f>
        <v>Jabem</v>
      </c>
      <c r="I92" s="1" t="str">
        <f>Seket!I$16</f>
        <v>S04</v>
      </c>
      <c r="J92" s="1" t="str">
        <f>CONCATENATE(tblParish[[#This Row],[DistCode]],"-",tblParish[[#This Row],[sCode]])</f>
        <v>D02-S04</v>
      </c>
      <c r="K92" s="1" t="e">
        <f>VLOOKUP(tblParish[[#This Row],[seketCode]],tblSeket,5,FALSE)</f>
        <v>#NAME?</v>
      </c>
      <c r="L92" s="1" t="s">
        <v>241</v>
      </c>
      <c r="M92" s="1" t="s">
        <v>303</v>
      </c>
    </row>
    <row r="93" spans="6:13" x14ac:dyDescent="0.35">
      <c r="F93" s="1" t="str">
        <f>CONCATENATE(tblParish[[#This Row],[seketCode]],"-",tblParish[[#This Row],[pCode]])</f>
        <v>D02-S05-P01</v>
      </c>
      <c r="G93" s="1" t="str">
        <f>Distrik!F$6</f>
        <v>D02</v>
      </c>
      <c r="H93" s="1" t="str">
        <f>VLOOKUP(tblParish[[#This Row],[DistCode]],tblDistrict[],2,FALSE)</f>
        <v>Jabem</v>
      </c>
      <c r="I93" s="1" t="str">
        <f>Seket!I$17</f>
        <v>S05</v>
      </c>
      <c r="J93" s="1" t="str">
        <f>CONCATENATE(tblParish[[#This Row],[DistCode]],"-",tblParish[[#This Row],[sCode]])</f>
        <v>D02-S05</v>
      </c>
      <c r="K93" s="1" t="e">
        <f>VLOOKUP(tblParish[[#This Row],[seketCode]],tblSeket,5,FALSE)</f>
        <v>#NAME?</v>
      </c>
      <c r="L93" s="1" t="s">
        <v>204</v>
      </c>
      <c r="M93" s="1" t="s">
        <v>304</v>
      </c>
    </row>
    <row r="94" spans="6:13" x14ac:dyDescent="0.35">
      <c r="F94" s="1" t="str">
        <f>CONCATENATE(tblParish[[#This Row],[seketCode]],"-",tblParish[[#This Row],[pCode]])</f>
        <v>D02-S05-P02</v>
      </c>
      <c r="G94" s="1" t="str">
        <f>Distrik!F$6</f>
        <v>D02</v>
      </c>
      <c r="H94" s="1" t="str">
        <f>VLOOKUP(tblParish[[#This Row],[DistCode]],tblDistrict[],2,FALSE)</f>
        <v>Jabem</v>
      </c>
      <c r="I94" s="1" t="str">
        <f>Seket!I$17</f>
        <v>S05</v>
      </c>
      <c r="J94" s="1" t="str">
        <f>CONCATENATE(tblParish[[#This Row],[DistCode]],"-",tblParish[[#This Row],[sCode]])</f>
        <v>D02-S05</v>
      </c>
      <c r="K94" s="1" t="e">
        <f>VLOOKUP(tblParish[[#This Row],[seketCode]],tblSeket,5,FALSE)</f>
        <v>#NAME?</v>
      </c>
      <c r="L94" s="1" t="s">
        <v>206</v>
      </c>
      <c r="M94" s="1" t="s">
        <v>305</v>
      </c>
    </row>
    <row r="95" spans="6:13" x14ac:dyDescent="0.35">
      <c r="F95" s="1" t="str">
        <f>CONCATENATE(tblParish[[#This Row],[seketCode]],"-",tblParish[[#This Row],[pCode]])</f>
        <v>D02-S05-P03</v>
      </c>
      <c r="G95" s="1" t="str">
        <f>Distrik!F$6</f>
        <v>D02</v>
      </c>
      <c r="H95" s="1" t="str">
        <f>VLOOKUP(tblParish[[#This Row],[DistCode]],tblDistrict[],2,FALSE)</f>
        <v>Jabem</v>
      </c>
      <c r="I95" s="1" t="str">
        <f>Seket!I$17</f>
        <v>S05</v>
      </c>
      <c r="J95" s="1" t="str">
        <f>CONCATENATE(tblParish[[#This Row],[DistCode]],"-",tblParish[[#This Row],[sCode]])</f>
        <v>D02-S05</v>
      </c>
      <c r="K95" s="1" t="e">
        <f>VLOOKUP(tblParish[[#This Row],[seketCode]],tblSeket,5,FALSE)</f>
        <v>#NAME?</v>
      </c>
      <c r="L95" s="1" t="s">
        <v>208</v>
      </c>
      <c r="M95" s="1" t="s">
        <v>306</v>
      </c>
    </row>
    <row r="96" spans="6:13" x14ac:dyDescent="0.35">
      <c r="F96" s="1" t="str">
        <f>CONCATENATE(tblParish[[#This Row],[seketCode]],"-",tblParish[[#This Row],[pCode]])</f>
        <v>D02-S05-P04</v>
      </c>
      <c r="G96" s="1" t="str">
        <f>Distrik!F$6</f>
        <v>D02</v>
      </c>
      <c r="H96" s="1" t="str">
        <f>VLOOKUP(tblParish[[#This Row],[DistCode]],tblDistrict[],2,FALSE)</f>
        <v>Jabem</v>
      </c>
      <c r="I96" s="1" t="str">
        <f>Seket!I$17</f>
        <v>S05</v>
      </c>
      <c r="J96" s="1" t="str">
        <f>CONCATENATE(tblParish[[#This Row],[DistCode]],"-",tblParish[[#This Row],[sCode]])</f>
        <v>D02-S05</v>
      </c>
      <c r="K96" s="1" t="e">
        <f>VLOOKUP(tblParish[[#This Row],[seketCode]],tblSeket,5,FALSE)</f>
        <v>#NAME?</v>
      </c>
      <c r="L96" s="1" t="s">
        <v>210</v>
      </c>
      <c r="M96" s="1" t="s">
        <v>307</v>
      </c>
    </row>
    <row r="97" spans="6:13" x14ac:dyDescent="0.35">
      <c r="F97" s="1" t="str">
        <f>CONCATENATE(tblParish[[#This Row],[seketCode]],"-",tblParish[[#This Row],[pCode]])</f>
        <v>D02-S06-P01</v>
      </c>
      <c r="G97" s="1" t="str">
        <f>Distrik!F$6</f>
        <v>D02</v>
      </c>
      <c r="H97" s="1" t="str">
        <f>VLOOKUP(tblParish[[#This Row],[DistCode]],tblDistrict[],2,FALSE)</f>
        <v>Jabem</v>
      </c>
      <c r="I97" s="1" t="str">
        <f>Seket!I$18</f>
        <v>S06</v>
      </c>
      <c r="J97" s="1" t="str">
        <f>CONCATENATE(tblParish[[#This Row],[DistCode]],"-",tblParish[[#This Row],[sCode]])</f>
        <v>D02-S06</v>
      </c>
      <c r="K97" s="1" t="e">
        <f>VLOOKUP(tblParish[[#This Row],[seketCode]],tblSeket,5,FALSE)</f>
        <v>#NAME?</v>
      </c>
      <c r="L97" s="1" t="s">
        <v>204</v>
      </c>
      <c r="M97" s="1" t="s">
        <v>308</v>
      </c>
    </row>
    <row r="98" spans="6:13" x14ac:dyDescent="0.35">
      <c r="F98" s="1" t="str">
        <f>CONCATENATE(tblParish[[#This Row],[seketCode]],"-",tblParish[[#This Row],[pCode]])</f>
        <v>D02-S06-P02</v>
      </c>
      <c r="G98" s="1" t="str">
        <f>Distrik!F$6</f>
        <v>D02</v>
      </c>
      <c r="H98" s="1" t="str">
        <f>VLOOKUP(tblParish[[#This Row],[DistCode]],tblDistrict[],2,FALSE)</f>
        <v>Jabem</v>
      </c>
      <c r="I98" s="1" t="str">
        <f>Seket!I$18</f>
        <v>S06</v>
      </c>
      <c r="J98" s="1" t="str">
        <f>CONCATENATE(tblParish[[#This Row],[DistCode]],"-",tblParish[[#This Row],[sCode]])</f>
        <v>D02-S06</v>
      </c>
      <c r="K98" s="1" t="e">
        <f>VLOOKUP(tblParish[[#This Row],[seketCode]],tblSeket,5,FALSE)</f>
        <v>#NAME?</v>
      </c>
      <c r="L98" s="1" t="s">
        <v>206</v>
      </c>
      <c r="M98" s="1" t="s">
        <v>309</v>
      </c>
    </row>
    <row r="99" spans="6:13" x14ac:dyDescent="0.35">
      <c r="F99" s="1" t="str">
        <f>CONCATENATE(tblParish[[#This Row],[seketCode]],"-",tblParish[[#This Row],[pCode]])</f>
        <v>D02-S06-P03</v>
      </c>
      <c r="G99" s="1" t="str">
        <f>Distrik!F$6</f>
        <v>D02</v>
      </c>
      <c r="H99" s="1" t="str">
        <f>VLOOKUP(tblParish[[#This Row],[DistCode]],tblDistrict[],2,FALSE)</f>
        <v>Jabem</v>
      </c>
      <c r="I99" s="1" t="str">
        <f>Seket!I$18</f>
        <v>S06</v>
      </c>
      <c r="J99" s="1" t="str">
        <f>CONCATENATE(tblParish[[#This Row],[DistCode]],"-",tblParish[[#This Row],[sCode]])</f>
        <v>D02-S06</v>
      </c>
      <c r="K99" s="1" t="e">
        <f>VLOOKUP(tblParish[[#This Row],[seketCode]],tblSeket,5,FALSE)</f>
        <v>#NAME?</v>
      </c>
      <c r="L99" s="1" t="s">
        <v>208</v>
      </c>
      <c r="M99" s="1" t="s">
        <v>310</v>
      </c>
    </row>
    <row r="100" spans="6:13" x14ac:dyDescent="0.35">
      <c r="F100" s="1" t="str">
        <f>CONCATENATE(tblParish[[#This Row],[seketCode]],"-",tblParish[[#This Row],[pCode]])</f>
        <v>D02-S06-P04</v>
      </c>
      <c r="G100" s="1" t="str">
        <f>Distrik!F$6</f>
        <v>D02</v>
      </c>
      <c r="H100" s="1" t="str">
        <f>VLOOKUP(tblParish[[#This Row],[DistCode]],tblDistrict[],2,FALSE)</f>
        <v>Jabem</v>
      </c>
      <c r="I100" s="1" t="str">
        <f>Seket!I$18</f>
        <v>S06</v>
      </c>
      <c r="J100" s="1" t="str">
        <f>CONCATENATE(tblParish[[#This Row],[DistCode]],"-",tblParish[[#This Row],[sCode]])</f>
        <v>D02-S06</v>
      </c>
      <c r="K100" s="1" t="e">
        <f>VLOOKUP(tblParish[[#This Row],[seketCode]],tblSeket,5,FALSE)</f>
        <v>#NAME?</v>
      </c>
      <c r="L100" s="1" t="s">
        <v>210</v>
      </c>
      <c r="M100" s="1" t="s">
        <v>311</v>
      </c>
    </row>
    <row r="101" spans="6:13" x14ac:dyDescent="0.35">
      <c r="F101" s="1" t="str">
        <f>CONCATENATE(tblParish[[#This Row],[seketCode]],"-",tblParish[[#This Row],[pCode]])</f>
        <v>D02-S06-P05</v>
      </c>
      <c r="G101" s="1" t="str">
        <f>Distrik!F$6</f>
        <v>D02</v>
      </c>
      <c r="H101" s="1" t="str">
        <f>VLOOKUP(tblParish[[#This Row],[DistCode]],tblDistrict[],2,FALSE)</f>
        <v>Jabem</v>
      </c>
      <c r="I101" s="1" t="str">
        <f>Seket!I$18</f>
        <v>S06</v>
      </c>
      <c r="J101" s="1" t="str">
        <f>CONCATENATE(tblParish[[#This Row],[DistCode]],"-",tblParish[[#This Row],[sCode]])</f>
        <v>D02-S06</v>
      </c>
      <c r="K101" s="1" t="e">
        <f>VLOOKUP(tblParish[[#This Row],[seketCode]],tblSeket,5,FALSE)</f>
        <v>#NAME?</v>
      </c>
      <c r="L101" s="1" t="s">
        <v>212</v>
      </c>
      <c r="M101" s="1" t="s">
        <v>312</v>
      </c>
    </row>
    <row r="102" spans="6:13" x14ac:dyDescent="0.35">
      <c r="F102" s="1" t="str">
        <f>CONCATENATE(tblParish[[#This Row],[seketCode]],"-",tblParish[[#This Row],[pCode]])</f>
        <v>D02-S06-P06</v>
      </c>
      <c r="G102" s="1" t="str">
        <f>Distrik!F$6</f>
        <v>D02</v>
      </c>
      <c r="H102" s="1" t="str">
        <f>VLOOKUP(tblParish[[#This Row],[DistCode]],tblDistrict[],2,FALSE)</f>
        <v>Jabem</v>
      </c>
      <c r="I102" s="1" t="str">
        <f>Seket!I$18</f>
        <v>S06</v>
      </c>
      <c r="J102" s="1" t="str">
        <f>CONCATENATE(tblParish[[#This Row],[DistCode]],"-",tblParish[[#This Row],[sCode]])</f>
        <v>D02-S06</v>
      </c>
      <c r="K102" s="1" t="e">
        <f>VLOOKUP(tblParish[[#This Row],[seketCode]],tblSeket,5,FALSE)</f>
        <v>#NAME?</v>
      </c>
      <c r="L102" s="1" t="s">
        <v>214</v>
      </c>
      <c r="M102" s="1" t="s">
        <v>313</v>
      </c>
    </row>
    <row r="103" spans="6:13" x14ac:dyDescent="0.35">
      <c r="F103" s="1" t="str">
        <f>CONCATENATE(tblParish[[#This Row],[seketCode]],"-",tblParish[[#This Row],[pCode]])</f>
        <v>D02-S06-P07</v>
      </c>
      <c r="G103" s="1" t="str">
        <f>Distrik!F$6</f>
        <v>D02</v>
      </c>
      <c r="H103" s="1" t="str">
        <f>VLOOKUP(tblParish[[#This Row],[DistCode]],tblDistrict[],2,FALSE)</f>
        <v>Jabem</v>
      </c>
      <c r="I103" s="1" t="str">
        <f>Seket!I$18</f>
        <v>S06</v>
      </c>
      <c r="J103" s="1" t="str">
        <f>CONCATENATE(tblParish[[#This Row],[DistCode]],"-",tblParish[[#This Row],[sCode]])</f>
        <v>D02-S06</v>
      </c>
      <c r="K103" s="1" t="e">
        <f>VLOOKUP(tblParish[[#This Row],[seketCode]],tblSeket,5,FALSE)</f>
        <v>#NAME?</v>
      </c>
      <c r="L103" s="1" t="s">
        <v>216</v>
      </c>
      <c r="M103" s="1" t="s">
        <v>314</v>
      </c>
    </row>
    <row r="104" spans="6:13" x14ac:dyDescent="0.35">
      <c r="F104" s="1" t="str">
        <f>CONCATENATE(tblParish[[#This Row],[seketCode]],"-",tblParish[[#This Row],[pCode]])</f>
        <v>D02-S06-P08</v>
      </c>
      <c r="G104" s="1" t="str">
        <f>Distrik!F$6</f>
        <v>D02</v>
      </c>
      <c r="H104" s="1" t="str">
        <f>VLOOKUP(tblParish[[#This Row],[DistCode]],tblDistrict[],2,FALSE)</f>
        <v>Jabem</v>
      </c>
      <c r="I104" s="1" t="str">
        <f>Seket!I$18</f>
        <v>S06</v>
      </c>
      <c r="J104" s="1" t="str">
        <f>CONCATENATE(tblParish[[#This Row],[DistCode]],"-",tblParish[[#This Row],[sCode]])</f>
        <v>D02-S06</v>
      </c>
      <c r="K104" s="1" t="e">
        <f>VLOOKUP(tblParish[[#This Row],[seketCode]],tblSeket,5,FALSE)</f>
        <v>#NAME?</v>
      </c>
      <c r="L104" s="1" t="s">
        <v>218</v>
      </c>
      <c r="M104" s="1" t="s">
        <v>315</v>
      </c>
    </row>
    <row r="105" spans="6:13" x14ac:dyDescent="0.35">
      <c r="F105" s="1" t="str">
        <f>CONCATENATE(tblParish[[#This Row],[seketCode]],"-",tblParish[[#This Row],[pCode]])</f>
        <v>D02-S06-P09</v>
      </c>
      <c r="G105" s="1" t="str">
        <f>Distrik!F$6</f>
        <v>D02</v>
      </c>
      <c r="H105" s="1" t="str">
        <f>VLOOKUP(tblParish[[#This Row],[DistCode]],tblDistrict[],2,FALSE)</f>
        <v>Jabem</v>
      </c>
      <c r="I105" s="1" t="str">
        <f>Seket!I$18</f>
        <v>S06</v>
      </c>
      <c r="J105" s="1" t="str">
        <f>CONCATENATE(tblParish[[#This Row],[DistCode]],"-",tblParish[[#This Row],[sCode]])</f>
        <v>D02-S06</v>
      </c>
      <c r="K105" s="1" t="e">
        <f>VLOOKUP(tblParish[[#This Row],[seketCode]],tblSeket,5,FALSE)</f>
        <v>#NAME?</v>
      </c>
      <c r="L105" s="1" t="s">
        <v>235</v>
      </c>
      <c r="M105" s="1" t="s">
        <v>316</v>
      </c>
    </row>
    <row r="106" spans="6:13" x14ac:dyDescent="0.35">
      <c r="F106" s="1" t="str">
        <f>CONCATENATE(tblParish[[#This Row],[seketCode]],"-",tblParish[[#This Row],[pCode]])</f>
        <v>D02-S06-P10</v>
      </c>
      <c r="G106" s="1" t="str">
        <f>Distrik!F$6</f>
        <v>D02</v>
      </c>
      <c r="H106" s="1" t="str">
        <f>VLOOKUP(tblParish[[#This Row],[DistCode]],tblDistrict[],2,FALSE)</f>
        <v>Jabem</v>
      </c>
      <c r="I106" s="1" t="str">
        <f>Seket!I$18</f>
        <v>S06</v>
      </c>
      <c r="J106" s="1" t="str">
        <f>CONCATENATE(tblParish[[#This Row],[DistCode]],"-",tblParish[[#This Row],[sCode]])</f>
        <v>D02-S06</v>
      </c>
      <c r="K106" s="1" t="e">
        <f>VLOOKUP(tblParish[[#This Row],[seketCode]],tblSeket,5,FALSE)</f>
        <v>#NAME?</v>
      </c>
      <c r="L106" s="1" t="s">
        <v>237</v>
      </c>
      <c r="M106" s="1" t="s">
        <v>317</v>
      </c>
    </row>
    <row r="107" spans="6:13" x14ac:dyDescent="0.35">
      <c r="F107" s="1" t="str">
        <f>CONCATENATE(tblParish[[#This Row],[seketCode]],"-",tblParish[[#This Row],[pCode]])</f>
        <v>D02-S06-P11</v>
      </c>
      <c r="G107" s="1" t="str">
        <f>Distrik!F$6</f>
        <v>D02</v>
      </c>
      <c r="H107" s="1" t="str">
        <f>VLOOKUP(tblParish[[#This Row],[DistCode]],tblDistrict[],2,FALSE)</f>
        <v>Jabem</v>
      </c>
      <c r="I107" s="1" t="str">
        <f>Seket!I$18</f>
        <v>S06</v>
      </c>
      <c r="J107" s="1" t="str">
        <f>CONCATENATE(tblParish[[#This Row],[DistCode]],"-",tblParish[[#This Row],[sCode]])</f>
        <v>D02-S06</v>
      </c>
      <c r="K107" s="1" t="e">
        <f>VLOOKUP(tblParish[[#This Row],[seketCode]],tblSeket,5,FALSE)</f>
        <v>#NAME?</v>
      </c>
      <c r="L107" s="1" t="s">
        <v>239</v>
      </c>
      <c r="M107" s="1" t="s">
        <v>318</v>
      </c>
    </row>
    <row r="108" spans="6:13" x14ac:dyDescent="0.35">
      <c r="F108" s="1" t="str">
        <f>CONCATENATE(tblParish[[#This Row],[seketCode]],"-",tblParish[[#This Row],[pCode]])</f>
        <v>D02-S06-P12</v>
      </c>
      <c r="G108" s="1" t="str">
        <f>Distrik!F$6</f>
        <v>D02</v>
      </c>
      <c r="H108" s="1" t="str">
        <f>VLOOKUP(tblParish[[#This Row],[DistCode]],tblDistrict[],2,FALSE)</f>
        <v>Jabem</v>
      </c>
      <c r="I108" s="1" t="str">
        <f>Seket!I$18</f>
        <v>S06</v>
      </c>
      <c r="J108" s="1" t="str">
        <f>CONCATENATE(tblParish[[#This Row],[DistCode]],"-",tblParish[[#This Row],[sCode]])</f>
        <v>D02-S06</v>
      </c>
      <c r="K108" s="1" t="e">
        <f>VLOOKUP(tblParish[[#This Row],[seketCode]],tblSeket,5,FALSE)</f>
        <v>#NAME?</v>
      </c>
      <c r="L108" s="1" t="s">
        <v>241</v>
      </c>
      <c r="M108" s="1" t="s">
        <v>319</v>
      </c>
    </row>
    <row r="109" spans="6:13" x14ac:dyDescent="0.35">
      <c r="F109" s="1" t="str">
        <f>CONCATENATE(tblParish[[#This Row],[seketCode]],"-",tblParish[[#This Row],[pCode]])</f>
        <v>D02-S06-P13</v>
      </c>
      <c r="G109" s="1" t="str">
        <f>Distrik!F$6</f>
        <v>D02</v>
      </c>
      <c r="H109" s="1" t="str">
        <f>VLOOKUP(tblParish[[#This Row],[DistCode]],tblDistrict[],2,FALSE)</f>
        <v>Jabem</v>
      </c>
      <c r="I109" s="1" t="str">
        <f>Seket!I$18</f>
        <v>S06</v>
      </c>
      <c r="J109" s="1" t="str">
        <f>CONCATENATE(tblParish[[#This Row],[DistCode]],"-",tblParish[[#This Row],[sCode]])</f>
        <v>D02-S06</v>
      </c>
      <c r="K109" s="1" t="e">
        <f>VLOOKUP(tblParish[[#This Row],[seketCode]],tblSeket,5,FALSE)</f>
        <v>#NAME?</v>
      </c>
      <c r="L109" s="1" t="s">
        <v>320</v>
      </c>
      <c r="M109" s="1" t="s">
        <v>321</v>
      </c>
    </row>
    <row r="110" spans="6:13" x14ac:dyDescent="0.35">
      <c r="F110" s="1" t="str">
        <f>CONCATENATE(tblParish[[#This Row],[seketCode]],"-",tblParish[[#This Row],[pCode]])</f>
        <v>D02-S06-P14</v>
      </c>
      <c r="G110" s="1" t="str">
        <f>Distrik!F$6</f>
        <v>D02</v>
      </c>
      <c r="H110" s="1" t="str">
        <f>VLOOKUP(tblParish[[#This Row],[DistCode]],tblDistrict[],2,FALSE)</f>
        <v>Jabem</v>
      </c>
      <c r="I110" s="1" t="str">
        <f>Seket!I$18</f>
        <v>S06</v>
      </c>
      <c r="J110" s="1" t="str">
        <f>CONCATENATE(tblParish[[#This Row],[DistCode]],"-",tblParish[[#This Row],[sCode]])</f>
        <v>D02-S06</v>
      </c>
      <c r="K110" s="1" t="e">
        <f>VLOOKUP(tblParish[[#This Row],[seketCode]],tblSeket,5,FALSE)</f>
        <v>#NAME?</v>
      </c>
      <c r="L110" s="1" t="s">
        <v>322</v>
      </c>
      <c r="M110" s="1" t="s">
        <v>323</v>
      </c>
    </row>
    <row r="111" spans="6:13" x14ac:dyDescent="0.35">
      <c r="F111" s="1" t="str">
        <f>CONCATENATE(tblParish[[#This Row],[seketCode]],"-",tblParish[[#This Row],[pCode]])</f>
        <v>D02-S06-P15</v>
      </c>
      <c r="G111" s="1" t="str">
        <f>Distrik!F$6</f>
        <v>D02</v>
      </c>
      <c r="H111" s="1" t="str">
        <f>VLOOKUP(tblParish[[#This Row],[DistCode]],tblDistrict[],2,FALSE)</f>
        <v>Jabem</v>
      </c>
      <c r="I111" s="1" t="str">
        <f>Seket!I$18</f>
        <v>S06</v>
      </c>
      <c r="J111" s="1" t="str">
        <f>CONCATENATE(tblParish[[#This Row],[DistCode]],"-",tblParish[[#This Row],[sCode]])</f>
        <v>D02-S06</v>
      </c>
      <c r="K111" s="1" t="e">
        <f>VLOOKUP(tblParish[[#This Row],[seketCode]],tblSeket,5,FALSE)</f>
        <v>#NAME?</v>
      </c>
      <c r="L111" s="1" t="s">
        <v>324</v>
      </c>
      <c r="M111" s="1" t="s">
        <v>325</v>
      </c>
    </row>
    <row r="112" spans="6:13" x14ac:dyDescent="0.35">
      <c r="F112" s="1" t="str">
        <f>CONCATENATE(tblParish[[#This Row],[seketCode]],"-",tblParish[[#This Row],[pCode]])</f>
        <v>D02-S06-P16</v>
      </c>
      <c r="G112" s="1" t="str">
        <f>Distrik!F$6</f>
        <v>D02</v>
      </c>
      <c r="H112" s="1" t="str">
        <f>VLOOKUP(tblParish[[#This Row],[DistCode]],tblDistrict[],2,FALSE)</f>
        <v>Jabem</v>
      </c>
      <c r="I112" s="1" t="str">
        <f>Seket!I$18</f>
        <v>S06</v>
      </c>
      <c r="J112" s="1" t="str">
        <f>CONCATENATE(tblParish[[#This Row],[DistCode]],"-",tblParish[[#This Row],[sCode]])</f>
        <v>D02-S06</v>
      </c>
      <c r="K112" s="1" t="e">
        <f>VLOOKUP(tblParish[[#This Row],[seketCode]],tblSeket,5,FALSE)</f>
        <v>#NAME?</v>
      </c>
      <c r="L112" s="1" t="s">
        <v>326</v>
      </c>
      <c r="M112" s="1" t="s">
        <v>327</v>
      </c>
    </row>
    <row r="113" spans="6:13" x14ac:dyDescent="0.35">
      <c r="F113" s="1" t="str">
        <f>CONCATENATE(tblParish[[#This Row],[seketCode]],"-",tblParish[[#This Row],[pCode]])</f>
        <v>D02-S07-P01</v>
      </c>
      <c r="G113" s="1" t="str">
        <f>Distrik!F$6</f>
        <v>D02</v>
      </c>
      <c r="H113" s="1" t="str">
        <f>VLOOKUP(tblParish[[#This Row],[DistCode]],tblDistrict[],2,FALSE)</f>
        <v>Jabem</v>
      </c>
      <c r="I113" s="1" t="str">
        <f>Seket!I$19</f>
        <v>S07</v>
      </c>
      <c r="J113" s="1" t="str">
        <f>CONCATENATE(tblParish[[#This Row],[DistCode]],"-",tblParish[[#This Row],[sCode]])</f>
        <v>D02-S07</v>
      </c>
      <c r="K113" s="1" t="e">
        <f>VLOOKUP(tblParish[[#This Row],[seketCode]],tblSeket,5,FALSE)</f>
        <v>#NAME?</v>
      </c>
      <c r="L113" s="1" t="s">
        <v>204</v>
      </c>
      <c r="M113" s="1" t="s">
        <v>328</v>
      </c>
    </row>
    <row r="114" spans="6:13" x14ac:dyDescent="0.35">
      <c r="F114" s="1" t="str">
        <f>CONCATENATE(tblParish[[#This Row],[seketCode]],"-",tblParish[[#This Row],[pCode]])</f>
        <v>D02-S07-P02</v>
      </c>
      <c r="G114" s="1" t="str">
        <f>Distrik!F$6</f>
        <v>D02</v>
      </c>
      <c r="H114" s="1" t="str">
        <f>VLOOKUP(tblParish[[#This Row],[DistCode]],tblDistrict[],2,FALSE)</f>
        <v>Jabem</v>
      </c>
      <c r="I114" s="1" t="str">
        <f>Seket!I$19</f>
        <v>S07</v>
      </c>
      <c r="J114" s="1" t="str">
        <f>CONCATENATE(tblParish[[#This Row],[DistCode]],"-",tblParish[[#This Row],[sCode]])</f>
        <v>D02-S07</v>
      </c>
      <c r="K114" s="1" t="e">
        <f>VLOOKUP(tblParish[[#This Row],[seketCode]],tblSeket,5,FALSE)</f>
        <v>#NAME?</v>
      </c>
      <c r="L114" s="1" t="s">
        <v>206</v>
      </c>
      <c r="M114" s="1" t="s">
        <v>329</v>
      </c>
    </row>
    <row r="115" spans="6:13" x14ac:dyDescent="0.35">
      <c r="F115" s="1" t="str">
        <f>CONCATENATE(tblParish[[#This Row],[seketCode]],"-",tblParish[[#This Row],[pCode]])</f>
        <v>D02-S07-P03</v>
      </c>
      <c r="G115" s="1" t="str">
        <f>Distrik!F$6</f>
        <v>D02</v>
      </c>
      <c r="H115" s="1" t="str">
        <f>VLOOKUP(tblParish[[#This Row],[DistCode]],tblDistrict[],2,FALSE)</f>
        <v>Jabem</v>
      </c>
      <c r="I115" s="1" t="str">
        <f>Seket!I$19</f>
        <v>S07</v>
      </c>
      <c r="J115" s="1" t="str">
        <f>CONCATENATE(tblParish[[#This Row],[DistCode]],"-",tblParish[[#This Row],[sCode]])</f>
        <v>D02-S07</v>
      </c>
      <c r="K115" s="1" t="e">
        <f>VLOOKUP(tblParish[[#This Row],[seketCode]],tblSeket,5,FALSE)</f>
        <v>#NAME?</v>
      </c>
      <c r="L115" s="1" t="s">
        <v>208</v>
      </c>
      <c r="M115" s="1" t="s">
        <v>330</v>
      </c>
    </row>
    <row r="116" spans="6:13" x14ac:dyDescent="0.35">
      <c r="F116" s="1" t="str">
        <f>CONCATENATE(tblParish[[#This Row],[seketCode]],"-",tblParish[[#This Row],[pCode]])</f>
        <v>D02-S07-P04</v>
      </c>
      <c r="G116" s="1" t="str">
        <f>Distrik!F$6</f>
        <v>D02</v>
      </c>
      <c r="H116" s="1" t="str">
        <f>VLOOKUP(tblParish[[#This Row],[DistCode]],tblDistrict[],2,FALSE)</f>
        <v>Jabem</v>
      </c>
      <c r="I116" s="1" t="str">
        <f>Seket!I$19</f>
        <v>S07</v>
      </c>
      <c r="J116" s="1" t="str">
        <f>CONCATENATE(tblParish[[#This Row],[DistCode]],"-",tblParish[[#This Row],[sCode]])</f>
        <v>D02-S07</v>
      </c>
      <c r="K116" s="1" t="e">
        <f>VLOOKUP(tblParish[[#This Row],[seketCode]],tblSeket,5,FALSE)</f>
        <v>#NAME?</v>
      </c>
      <c r="L116" s="1" t="s">
        <v>210</v>
      </c>
      <c r="M116" s="1" t="s">
        <v>331</v>
      </c>
    </row>
    <row r="117" spans="6:13" x14ac:dyDescent="0.35">
      <c r="F117" s="1" t="str">
        <f>CONCATENATE(tblParish[[#This Row],[seketCode]],"-",tblParish[[#This Row],[pCode]])</f>
        <v>D02-S07-P05</v>
      </c>
      <c r="G117" s="1" t="str">
        <f>Distrik!F$6</f>
        <v>D02</v>
      </c>
      <c r="H117" s="1" t="str">
        <f>VLOOKUP(tblParish[[#This Row],[DistCode]],tblDistrict[],2,FALSE)</f>
        <v>Jabem</v>
      </c>
      <c r="I117" s="1" t="str">
        <f>Seket!I$19</f>
        <v>S07</v>
      </c>
      <c r="J117" s="1" t="str">
        <f>CONCATENATE(tblParish[[#This Row],[DistCode]],"-",tblParish[[#This Row],[sCode]])</f>
        <v>D02-S07</v>
      </c>
      <c r="K117" s="1" t="e">
        <f>VLOOKUP(tblParish[[#This Row],[seketCode]],tblSeket,5,FALSE)</f>
        <v>#NAME?</v>
      </c>
      <c r="L117" s="1" t="s">
        <v>212</v>
      </c>
      <c r="M117" s="1" t="s">
        <v>332</v>
      </c>
    </row>
    <row r="118" spans="6:13" x14ac:dyDescent="0.35">
      <c r="F118" s="1" t="str">
        <f>CONCATENATE(tblParish[[#This Row],[seketCode]],"-",tblParish[[#This Row],[pCode]])</f>
        <v>D02-S07-P06</v>
      </c>
      <c r="G118" s="1" t="str">
        <f>Distrik!F$6</f>
        <v>D02</v>
      </c>
      <c r="H118" s="1" t="str">
        <f>VLOOKUP(tblParish[[#This Row],[DistCode]],tblDistrict[],2,FALSE)</f>
        <v>Jabem</v>
      </c>
      <c r="I118" s="1" t="str">
        <f>Seket!I$19</f>
        <v>S07</v>
      </c>
      <c r="J118" s="1" t="str">
        <f>CONCATENATE(tblParish[[#This Row],[DistCode]],"-",tblParish[[#This Row],[sCode]])</f>
        <v>D02-S07</v>
      </c>
      <c r="K118" s="1" t="e">
        <f>VLOOKUP(tblParish[[#This Row],[seketCode]],tblSeket,5,FALSE)</f>
        <v>#NAME?</v>
      </c>
      <c r="L118" s="1" t="s">
        <v>214</v>
      </c>
      <c r="M118" s="1" t="s">
        <v>333</v>
      </c>
    </row>
    <row r="119" spans="6:13" x14ac:dyDescent="0.35">
      <c r="F119" s="1" t="str">
        <f>CONCATENATE(tblParish[[#This Row],[seketCode]],"-",tblParish[[#This Row],[pCode]])</f>
        <v>D02-S07-P07</v>
      </c>
      <c r="G119" s="1" t="str">
        <f>Distrik!F$6</f>
        <v>D02</v>
      </c>
      <c r="H119" s="1" t="str">
        <f>VLOOKUP(tblParish[[#This Row],[DistCode]],tblDistrict[],2,FALSE)</f>
        <v>Jabem</v>
      </c>
      <c r="I119" s="1" t="str">
        <f>Seket!I$19</f>
        <v>S07</v>
      </c>
      <c r="J119" s="1" t="str">
        <f>CONCATENATE(tblParish[[#This Row],[DistCode]],"-",tblParish[[#This Row],[sCode]])</f>
        <v>D02-S07</v>
      </c>
      <c r="K119" s="1" t="e">
        <f>VLOOKUP(tblParish[[#This Row],[seketCode]],tblSeket,5,FALSE)</f>
        <v>#NAME?</v>
      </c>
      <c r="L119" s="1" t="s">
        <v>216</v>
      </c>
      <c r="M119" s="1" t="s">
        <v>334</v>
      </c>
    </row>
    <row r="120" spans="6:13" x14ac:dyDescent="0.35">
      <c r="F120" s="1" t="str">
        <f>CONCATENATE(tblParish[[#This Row],[seketCode]],"-",tblParish[[#This Row],[pCode]])</f>
        <v>D02-S07-P08</v>
      </c>
      <c r="G120" s="1" t="str">
        <f>Distrik!F$6</f>
        <v>D02</v>
      </c>
      <c r="H120" s="1" t="str">
        <f>VLOOKUP(tblParish[[#This Row],[DistCode]],tblDistrict[],2,FALSE)</f>
        <v>Jabem</v>
      </c>
      <c r="I120" s="1" t="str">
        <f>Seket!I$19</f>
        <v>S07</v>
      </c>
      <c r="J120" s="1" t="str">
        <f>CONCATENATE(tblParish[[#This Row],[DistCode]],"-",tblParish[[#This Row],[sCode]])</f>
        <v>D02-S07</v>
      </c>
      <c r="K120" s="1" t="e">
        <f>VLOOKUP(tblParish[[#This Row],[seketCode]],tblSeket,5,FALSE)</f>
        <v>#NAME?</v>
      </c>
      <c r="L120" s="1" t="s">
        <v>218</v>
      </c>
      <c r="M120" s="1" t="s">
        <v>335</v>
      </c>
    </row>
    <row r="121" spans="6:13" x14ac:dyDescent="0.35">
      <c r="F121" s="1" t="str">
        <f>CONCATENATE(tblParish[[#This Row],[seketCode]],"-",tblParish[[#This Row],[pCode]])</f>
        <v>D02-S07-P09</v>
      </c>
      <c r="G121" s="1" t="str">
        <f>Distrik!F$6</f>
        <v>D02</v>
      </c>
      <c r="H121" s="1" t="str">
        <f>VLOOKUP(tblParish[[#This Row],[DistCode]],tblDistrict[],2,FALSE)</f>
        <v>Jabem</v>
      </c>
      <c r="I121" s="1" t="str">
        <f>Seket!I$19</f>
        <v>S07</v>
      </c>
      <c r="J121" s="1" t="str">
        <f>CONCATENATE(tblParish[[#This Row],[DistCode]],"-",tblParish[[#This Row],[sCode]])</f>
        <v>D02-S07</v>
      </c>
      <c r="K121" s="1" t="e">
        <f>VLOOKUP(tblParish[[#This Row],[seketCode]],tblSeket,5,FALSE)</f>
        <v>#NAME?</v>
      </c>
      <c r="L121" s="1" t="s">
        <v>235</v>
      </c>
      <c r="M121" s="1" t="s">
        <v>336</v>
      </c>
    </row>
    <row r="122" spans="6:13" x14ac:dyDescent="0.35">
      <c r="F122" s="1" t="str">
        <f>CONCATENATE(tblParish[[#This Row],[seketCode]],"-",tblParish[[#This Row],[pCode]])</f>
        <v>D02-S08-P01</v>
      </c>
      <c r="G122" s="1" t="str">
        <f>Distrik!F$6</f>
        <v>D02</v>
      </c>
      <c r="H122" s="1" t="str">
        <f>VLOOKUP(tblParish[[#This Row],[DistCode]],tblDistrict[],2,FALSE)</f>
        <v>Jabem</v>
      </c>
      <c r="I122" s="1" t="str">
        <f>Seket!I$20</f>
        <v>S08</v>
      </c>
      <c r="J122" s="1" t="str">
        <f>CONCATENATE(tblParish[[#This Row],[DistCode]],"-",tblParish[[#This Row],[sCode]])</f>
        <v>D02-S08</v>
      </c>
      <c r="K122" s="1" t="e">
        <f>VLOOKUP(tblParish[[#This Row],[seketCode]],tblSeket,5,FALSE)</f>
        <v>#NAME?</v>
      </c>
      <c r="L122" s="1" t="s">
        <v>204</v>
      </c>
      <c r="M122" s="1" t="s">
        <v>337</v>
      </c>
    </row>
    <row r="123" spans="6:13" x14ac:dyDescent="0.35">
      <c r="F123" s="1" t="str">
        <f>CONCATENATE(tblParish[[#This Row],[seketCode]],"-",tblParish[[#This Row],[pCode]])</f>
        <v>D02-S08-P02</v>
      </c>
      <c r="G123" s="1" t="str">
        <f>Distrik!F$6</f>
        <v>D02</v>
      </c>
      <c r="H123" s="1" t="str">
        <f>VLOOKUP(tblParish[[#This Row],[DistCode]],tblDistrict[],2,FALSE)</f>
        <v>Jabem</v>
      </c>
      <c r="I123" s="1" t="str">
        <f>Seket!I$20</f>
        <v>S08</v>
      </c>
      <c r="J123" s="1" t="str">
        <f>CONCATENATE(tblParish[[#This Row],[DistCode]],"-",tblParish[[#This Row],[sCode]])</f>
        <v>D02-S08</v>
      </c>
      <c r="K123" s="1" t="e">
        <f>VLOOKUP(tblParish[[#This Row],[seketCode]],tblSeket,5,FALSE)</f>
        <v>#NAME?</v>
      </c>
      <c r="L123" s="1" t="s">
        <v>206</v>
      </c>
      <c r="M123" s="1" t="s">
        <v>338</v>
      </c>
    </row>
    <row r="124" spans="6:13" x14ac:dyDescent="0.35">
      <c r="F124" s="1" t="str">
        <f>CONCATENATE(tblParish[[#This Row],[seketCode]],"-",tblParish[[#This Row],[pCode]])</f>
        <v>D02-S08-P03</v>
      </c>
      <c r="G124" s="1" t="str">
        <f>Distrik!F$6</f>
        <v>D02</v>
      </c>
      <c r="H124" s="1" t="str">
        <f>VLOOKUP(tblParish[[#This Row],[DistCode]],tblDistrict[],2,FALSE)</f>
        <v>Jabem</v>
      </c>
      <c r="I124" s="1" t="str">
        <f>Seket!I$20</f>
        <v>S08</v>
      </c>
      <c r="J124" s="1" t="str">
        <f>CONCATENATE(tblParish[[#This Row],[DistCode]],"-",tblParish[[#This Row],[sCode]])</f>
        <v>D02-S08</v>
      </c>
      <c r="K124" s="1" t="e">
        <f>VLOOKUP(tblParish[[#This Row],[seketCode]],tblSeket,5,FALSE)</f>
        <v>#NAME?</v>
      </c>
      <c r="L124" s="1" t="s">
        <v>208</v>
      </c>
      <c r="M124" s="1" t="s">
        <v>339</v>
      </c>
    </row>
    <row r="125" spans="6:13" x14ac:dyDescent="0.35">
      <c r="F125" s="1" t="str">
        <f>CONCATENATE(tblParish[[#This Row],[seketCode]],"-",tblParish[[#This Row],[pCode]])</f>
        <v>D02-S08-P04</v>
      </c>
      <c r="G125" s="1" t="str">
        <f>Distrik!F$6</f>
        <v>D02</v>
      </c>
      <c r="H125" s="1" t="str">
        <f>VLOOKUP(tblParish[[#This Row],[DistCode]],tblDistrict[],2,FALSE)</f>
        <v>Jabem</v>
      </c>
      <c r="I125" s="1" t="str">
        <f>Seket!I$20</f>
        <v>S08</v>
      </c>
      <c r="J125" s="1" t="str">
        <f>CONCATENATE(tblParish[[#This Row],[DistCode]],"-",tblParish[[#This Row],[sCode]])</f>
        <v>D02-S08</v>
      </c>
      <c r="K125" s="1" t="e">
        <f>VLOOKUP(tblParish[[#This Row],[seketCode]],tblSeket,5,FALSE)</f>
        <v>#NAME?</v>
      </c>
      <c r="L125" s="1" t="s">
        <v>210</v>
      </c>
      <c r="M125" s="1" t="s">
        <v>340</v>
      </c>
    </row>
    <row r="126" spans="6:13" x14ac:dyDescent="0.35">
      <c r="F126" s="1" t="str">
        <f>CONCATENATE(tblParish[[#This Row],[seketCode]],"-",tblParish[[#This Row],[pCode]])</f>
        <v>D02-S08-P05</v>
      </c>
      <c r="G126" s="1" t="str">
        <f>Distrik!F$6</f>
        <v>D02</v>
      </c>
      <c r="H126" s="1" t="str">
        <f>VLOOKUP(tblParish[[#This Row],[DistCode]],tblDistrict[],2,FALSE)</f>
        <v>Jabem</v>
      </c>
      <c r="I126" s="1" t="str">
        <f>Seket!I$20</f>
        <v>S08</v>
      </c>
      <c r="J126" s="1" t="str">
        <f>CONCATENATE(tblParish[[#This Row],[DistCode]],"-",tblParish[[#This Row],[sCode]])</f>
        <v>D02-S08</v>
      </c>
      <c r="K126" s="1" t="e">
        <f>VLOOKUP(tblParish[[#This Row],[seketCode]],tblSeket,5,FALSE)</f>
        <v>#NAME?</v>
      </c>
      <c r="L126" s="1" t="s">
        <v>212</v>
      </c>
      <c r="M126" s="1" t="s">
        <v>341</v>
      </c>
    </row>
    <row r="127" spans="6:13" x14ac:dyDescent="0.35">
      <c r="F127" s="1" t="str">
        <f>CONCATENATE(tblParish[[#This Row],[seketCode]],"-",tblParish[[#This Row],[pCode]])</f>
        <v>D02-S09-P01</v>
      </c>
      <c r="G127" s="1" t="str">
        <f>Distrik!F$6</f>
        <v>D02</v>
      </c>
      <c r="H127" s="1" t="str">
        <f>VLOOKUP(tblParish[[#This Row],[DistCode]],tblDistrict[],2,FALSE)</f>
        <v>Jabem</v>
      </c>
      <c r="I127" s="1" t="str">
        <f>Seket!I$21</f>
        <v>S09</v>
      </c>
      <c r="J127" s="1" t="str">
        <f>CONCATENATE(tblParish[[#This Row],[DistCode]],"-",tblParish[[#This Row],[sCode]])</f>
        <v>D02-S09</v>
      </c>
      <c r="K127" s="1" t="e">
        <f>VLOOKUP(tblParish[[#This Row],[seketCode]],tblSeket,5,FALSE)</f>
        <v>#NAME?</v>
      </c>
      <c r="L127" s="1" t="s">
        <v>204</v>
      </c>
      <c r="M127" s="1" t="s">
        <v>342</v>
      </c>
    </row>
    <row r="128" spans="6:13" x14ac:dyDescent="0.35">
      <c r="F128" s="1" t="str">
        <f>CONCATENATE(tblParish[[#This Row],[seketCode]],"-",tblParish[[#This Row],[pCode]])</f>
        <v>D02-S09-P02</v>
      </c>
      <c r="G128" s="1" t="str">
        <f>Distrik!F$6</f>
        <v>D02</v>
      </c>
      <c r="H128" s="1" t="str">
        <f>VLOOKUP(tblParish[[#This Row],[DistCode]],tblDistrict[],2,FALSE)</f>
        <v>Jabem</v>
      </c>
      <c r="I128" s="1" t="str">
        <f>Seket!I$21</f>
        <v>S09</v>
      </c>
      <c r="J128" s="1" t="str">
        <f>CONCATENATE(tblParish[[#This Row],[DistCode]],"-",tblParish[[#This Row],[sCode]])</f>
        <v>D02-S09</v>
      </c>
      <c r="K128" s="1" t="e">
        <f>VLOOKUP(tblParish[[#This Row],[seketCode]],tblSeket,5,FALSE)</f>
        <v>#NAME?</v>
      </c>
      <c r="L128" s="1" t="s">
        <v>206</v>
      </c>
      <c r="M128" s="1" t="s">
        <v>343</v>
      </c>
    </row>
    <row r="129" spans="6:13" x14ac:dyDescent="0.35">
      <c r="F129" s="1" t="str">
        <f>CONCATENATE(tblParish[[#This Row],[seketCode]],"-",tblParish[[#This Row],[pCode]])</f>
        <v>D02-S09-P03</v>
      </c>
      <c r="G129" s="1" t="str">
        <f>Distrik!F$6</f>
        <v>D02</v>
      </c>
      <c r="H129" s="1" t="str">
        <f>VLOOKUP(tblParish[[#This Row],[DistCode]],tblDistrict[],2,FALSE)</f>
        <v>Jabem</v>
      </c>
      <c r="I129" s="1" t="str">
        <f>Seket!I$21</f>
        <v>S09</v>
      </c>
      <c r="J129" s="1" t="str">
        <f>CONCATENATE(tblParish[[#This Row],[DistCode]],"-",tblParish[[#This Row],[sCode]])</f>
        <v>D02-S09</v>
      </c>
      <c r="K129" s="1" t="e">
        <f>VLOOKUP(tblParish[[#This Row],[seketCode]],tblSeket,5,FALSE)</f>
        <v>#NAME?</v>
      </c>
      <c r="L129" s="1" t="s">
        <v>208</v>
      </c>
      <c r="M129" s="1" t="s">
        <v>344</v>
      </c>
    </row>
    <row r="130" spans="6:13" x14ac:dyDescent="0.35">
      <c r="F130" s="1" t="str">
        <f>CONCATENATE(tblParish[[#This Row],[seketCode]],"-",tblParish[[#This Row],[pCode]])</f>
        <v>D02-S09-P04</v>
      </c>
      <c r="G130" s="1" t="str">
        <f>Distrik!F$6</f>
        <v>D02</v>
      </c>
      <c r="H130" s="1" t="str">
        <f>VLOOKUP(tblParish[[#This Row],[DistCode]],tblDistrict[],2,FALSE)</f>
        <v>Jabem</v>
      </c>
      <c r="I130" s="1" t="str">
        <f>Seket!I$21</f>
        <v>S09</v>
      </c>
      <c r="J130" s="1" t="str">
        <f>CONCATENATE(tblParish[[#This Row],[DistCode]],"-",tblParish[[#This Row],[sCode]])</f>
        <v>D02-S09</v>
      </c>
      <c r="K130" s="1" t="e">
        <f>VLOOKUP(tblParish[[#This Row],[seketCode]],tblSeket,5,FALSE)</f>
        <v>#NAME?</v>
      </c>
      <c r="L130" s="1" t="s">
        <v>210</v>
      </c>
      <c r="M130" s="1" t="s">
        <v>345</v>
      </c>
    </row>
    <row r="131" spans="6:13" x14ac:dyDescent="0.35">
      <c r="F131" s="1" t="str">
        <f>CONCATENATE(tblParish[[#This Row],[seketCode]],"-",tblParish[[#This Row],[pCode]])</f>
        <v>D02-S09-P05</v>
      </c>
      <c r="G131" s="1" t="str">
        <f>Distrik!F$6</f>
        <v>D02</v>
      </c>
      <c r="H131" s="1" t="str">
        <f>VLOOKUP(tblParish[[#This Row],[DistCode]],tblDistrict[],2,FALSE)</f>
        <v>Jabem</v>
      </c>
      <c r="I131" s="1" t="str">
        <f>Seket!I$21</f>
        <v>S09</v>
      </c>
      <c r="J131" s="1" t="str">
        <f>CONCATENATE(tblParish[[#This Row],[DistCode]],"-",tblParish[[#This Row],[sCode]])</f>
        <v>D02-S09</v>
      </c>
      <c r="K131" s="1" t="e">
        <f>VLOOKUP(tblParish[[#This Row],[seketCode]],tblSeket,5,FALSE)</f>
        <v>#NAME?</v>
      </c>
      <c r="L131" s="1" t="s">
        <v>212</v>
      </c>
      <c r="M131" s="1" t="s">
        <v>346</v>
      </c>
    </row>
    <row r="132" spans="6:13" x14ac:dyDescent="0.35">
      <c r="F132" s="1" t="str">
        <f>CONCATENATE(tblParish[[#This Row],[seketCode]],"-",tblParish[[#This Row],[pCode]])</f>
        <v>D02-S09-P06</v>
      </c>
      <c r="G132" s="1" t="str">
        <f>Distrik!F$6</f>
        <v>D02</v>
      </c>
      <c r="H132" s="1" t="str">
        <f>VLOOKUP(tblParish[[#This Row],[DistCode]],tblDistrict[],2,FALSE)</f>
        <v>Jabem</v>
      </c>
      <c r="I132" s="1" t="str">
        <f>Seket!I$21</f>
        <v>S09</v>
      </c>
      <c r="J132" s="1" t="str">
        <f>CONCATENATE(tblParish[[#This Row],[DistCode]],"-",tblParish[[#This Row],[sCode]])</f>
        <v>D02-S09</v>
      </c>
      <c r="K132" s="1" t="e">
        <f>VLOOKUP(tblParish[[#This Row],[seketCode]],tblSeket,5,FALSE)</f>
        <v>#NAME?</v>
      </c>
      <c r="L132" s="1" t="s">
        <v>214</v>
      </c>
      <c r="M132" s="1" t="s">
        <v>347</v>
      </c>
    </row>
    <row r="133" spans="6:13" x14ac:dyDescent="0.35">
      <c r="F133" s="1" t="str">
        <f>CONCATENATE(tblParish[[#This Row],[seketCode]],"-",tblParish[[#This Row],[pCode]])</f>
        <v>D02-S09-P07</v>
      </c>
      <c r="G133" s="1" t="str">
        <f>Distrik!F$6</f>
        <v>D02</v>
      </c>
      <c r="H133" s="1" t="str">
        <f>VLOOKUP(tblParish[[#This Row],[DistCode]],tblDistrict[],2,FALSE)</f>
        <v>Jabem</v>
      </c>
      <c r="I133" s="1" t="str">
        <f>Seket!I$21</f>
        <v>S09</v>
      </c>
      <c r="J133" s="1" t="str">
        <f>CONCATENATE(tblParish[[#This Row],[DistCode]],"-",tblParish[[#This Row],[sCode]])</f>
        <v>D02-S09</v>
      </c>
      <c r="K133" s="1" t="e">
        <f>VLOOKUP(tblParish[[#This Row],[seketCode]],tblSeket,5,FALSE)</f>
        <v>#NAME?</v>
      </c>
      <c r="L133" s="1" t="s">
        <v>216</v>
      </c>
      <c r="M133" s="1" t="s">
        <v>348</v>
      </c>
    </row>
    <row r="134" spans="6:13" x14ac:dyDescent="0.35">
      <c r="F134" s="1" t="str">
        <f>CONCATENATE(tblParish[[#This Row],[seketCode]],"-",tblParish[[#This Row],[pCode]])</f>
        <v>D02-S09-P08</v>
      </c>
      <c r="G134" s="1" t="str">
        <f>Distrik!F$6</f>
        <v>D02</v>
      </c>
      <c r="H134" s="1" t="str">
        <f>VLOOKUP(tblParish[[#This Row],[DistCode]],tblDistrict[],2,FALSE)</f>
        <v>Jabem</v>
      </c>
      <c r="I134" s="1" t="str">
        <f>Seket!I$21</f>
        <v>S09</v>
      </c>
      <c r="J134" s="1" t="str">
        <f>CONCATENATE(tblParish[[#This Row],[DistCode]],"-",tblParish[[#This Row],[sCode]])</f>
        <v>D02-S09</v>
      </c>
      <c r="K134" s="1" t="e">
        <f>VLOOKUP(tblParish[[#This Row],[seketCode]],tblSeket,5,FALSE)</f>
        <v>#NAME?</v>
      </c>
      <c r="L134" s="1" t="s">
        <v>218</v>
      </c>
      <c r="M134" s="1" t="s">
        <v>349</v>
      </c>
    </row>
    <row r="135" spans="6:13" x14ac:dyDescent="0.35">
      <c r="F135" s="1" t="str">
        <f>CONCATENATE(tblParish[[#This Row],[seketCode]],"-",tblParish[[#This Row],[pCode]])</f>
        <v>D02-S09-P09</v>
      </c>
      <c r="G135" s="1" t="str">
        <f>Distrik!F$6</f>
        <v>D02</v>
      </c>
      <c r="H135" s="1" t="str">
        <f>VLOOKUP(tblParish[[#This Row],[DistCode]],tblDistrict[],2,FALSE)</f>
        <v>Jabem</v>
      </c>
      <c r="I135" s="1" t="str">
        <f>Seket!I$21</f>
        <v>S09</v>
      </c>
      <c r="J135" s="1" t="str">
        <f>CONCATENATE(tblParish[[#This Row],[DistCode]],"-",tblParish[[#This Row],[sCode]])</f>
        <v>D02-S09</v>
      </c>
      <c r="K135" s="1" t="e">
        <f>VLOOKUP(tblParish[[#This Row],[seketCode]],tblSeket,5,FALSE)</f>
        <v>#NAME?</v>
      </c>
      <c r="L135" s="1" t="s">
        <v>235</v>
      </c>
      <c r="M135" s="1" t="s">
        <v>121</v>
      </c>
    </row>
    <row r="136" spans="6:13" x14ac:dyDescent="0.35">
      <c r="F136" s="1" t="str">
        <f>CONCATENATE(tblParish[[#This Row],[seketCode]],"-",tblParish[[#This Row],[pCode]])</f>
        <v>D02-S09-P10</v>
      </c>
      <c r="G136" s="1" t="str">
        <f>Distrik!F$6</f>
        <v>D02</v>
      </c>
      <c r="H136" s="1" t="str">
        <f>VLOOKUP(tblParish[[#This Row],[DistCode]],tblDistrict[],2,FALSE)</f>
        <v>Jabem</v>
      </c>
      <c r="I136" s="1" t="str">
        <f>Seket!I$21</f>
        <v>S09</v>
      </c>
      <c r="J136" s="1" t="str">
        <f>CONCATENATE(tblParish[[#This Row],[DistCode]],"-",tblParish[[#This Row],[sCode]])</f>
        <v>D02-S09</v>
      </c>
      <c r="K136" s="1" t="e">
        <f>VLOOKUP(tblParish[[#This Row],[seketCode]],tblSeket,5,FALSE)</f>
        <v>#NAME?</v>
      </c>
      <c r="L136" s="1" t="s">
        <v>237</v>
      </c>
      <c r="M136" s="1" t="s">
        <v>350</v>
      </c>
    </row>
    <row r="137" spans="6:13" x14ac:dyDescent="0.35">
      <c r="F137" s="1" t="str">
        <f>CONCATENATE(tblParish[[#This Row],[seketCode]],"-",tblParish[[#This Row],[pCode]])</f>
        <v>D02-S09-P11</v>
      </c>
      <c r="G137" s="1" t="str">
        <f>Distrik!F$6</f>
        <v>D02</v>
      </c>
      <c r="H137" s="1" t="str">
        <f>VLOOKUP(tblParish[[#This Row],[DistCode]],tblDistrict[],2,FALSE)</f>
        <v>Jabem</v>
      </c>
      <c r="I137" s="1" t="str">
        <f>Seket!I$21</f>
        <v>S09</v>
      </c>
      <c r="J137" s="1" t="str">
        <f>CONCATENATE(tblParish[[#This Row],[DistCode]],"-",tblParish[[#This Row],[sCode]])</f>
        <v>D02-S09</v>
      </c>
      <c r="K137" s="1" t="e">
        <f>VLOOKUP(tblParish[[#This Row],[seketCode]],tblSeket,5,FALSE)</f>
        <v>#NAME?</v>
      </c>
      <c r="L137" s="1" t="s">
        <v>239</v>
      </c>
      <c r="M137" s="1" t="s">
        <v>351</v>
      </c>
    </row>
    <row r="138" spans="6:13" x14ac:dyDescent="0.35">
      <c r="F138" s="1" t="str">
        <f>CONCATENATE(tblParish[[#This Row],[seketCode]],"-",tblParish[[#This Row],[pCode]])</f>
        <v>D02-S09-P12</v>
      </c>
      <c r="G138" s="1" t="str">
        <f>Distrik!F$6</f>
        <v>D02</v>
      </c>
      <c r="H138" s="1" t="str">
        <f>VLOOKUP(tblParish[[#This Row],[DistCode]],tblDistrict[],2,FALSE)</f>
        <v>Jabem</v>
      </c>
      <c r="I138" s="1" t="str">
        <f>Seket!I$21</f>
        <v>S09</v>
      </c>
      <c r="J138" s="1" t="str">
        <f>CONCATENATE(tblParish[[#This Row],[DistCode]],"-",tblParish[[#This Row],[sCode]])</f>
        <v>D02-S09</v>
      </c>
      <c r="K138" s="1" t="e">
        <f>VLOOKUP(tblParish[[#This Row],[seketCode]],tblSeket,5,FALSE)</f>
        <v>#NAME?</v>
      </c>
      <c r="L138" s="1" t="s">
        <v>241</v>
      </c>
      <c r="M138" s="1" t="s">
        <v>352</v>
      </c>
    </row>
    <row r="139" spans="6:13" x14ac:dyDescent="0.35">
      <c r="F139" s="1" t="str">
        <f>CONCATENATE(tblParish[[#This Row],[seketCode]],"-",tblParish[[#This Row],[pCode]])</f>
        <v>D02-S09-P13</v>
      </c>
      <c r="G139" s="1" t="str">
        <f>Distrik!F$6</f>
        <v>D02</v>
      </c>
      <c r="H139" s="1" t="str">
        <f>VLOOKUP(tblParish[[#This Row],[DistCode]],tblDistrict[],2,FALSE)</f>
        <v>Jabem</v>
      </c>
      <c r="I139" s="1" t="str">
        <f>Seket!I$21</f>
        <v>S09</v>
      </c>
      <c r="J139" s="1" t="str">
        <f>CONCATENATE(tblParish[[#This Row],[DistCode]],"-",tblParish[[#This Row],[sCode]])</f>
        <v>D02-S09</v>
      </c>
      <c r="K139" s="1" t="e">
        <f>VLOOKUP(tblParish[[#This Row],[seketCode]],tblSeket,5,FALSE)</f>
        <v>#NAME?</v>
      </c>
      <c r="L139" s="1" t="s">
        <v>320</v>
      </c>
      <c r="M139" s="1" t="s">
        <v>353</v>
      </c>
    </row>
    <row r="140" spans="6:13" x14ac:dyDescent="0.35">
      <c r="F140" s="1" t="str">
        <f>CONCATENATE(tblParish[[#This Row],[seketCode]],"-",tblParish[[#This Row],[pCode]])</f>
        <v>D02-S10-P01</v>
      </c>
      <c r="G140" s="1" t="str">
        <f>Distrik!F$6</f>
        <v>D02</v>
      </c>
      <c r="H140" s="1" t="str">
        <f>VLOOKUP(tblParish[[#This Row],[DistCode]],tblDistrict[],2,FALSE)</f>
        <v>Jabem</v>
      </c>
      <c r="I140" s="1" t="str">
        <f>Seket!I$22</f>
        <v>S10</v>
      </c>
      <c r="J140" s="1" t="str">
        <f>CONCATENATE(tblParish[[#This Row],[DistCode]],"-",tblParish[[#This Row],[sCode]])</f>
        <v>D02-S10</v>
      </c>
      <c r="K140" s="1" t="e">
        <f>VLOOKUP(tblParish[[#This Row],[seketCode]],tblSeket,5,FALSE)</f>
        <v>#NAME?</v>
      </c>
      <c r="L140" s="1" t="s">
        <v>204</v>
      </c>
      <c r="M140" s="1" t="s">
        <v>354</v>
      </c>
    </row>
    <row r="141" spans="6:13" x14ac:dyDescent="0.35">
      <c r="F141" s="1" t="str">
        <f>CONCATENATE(tblParish[[#This Row],[seketCode]],"-",tblParish[[#This Row],[pCode]])</f>
        <v>D02-S10-P02</v>
      </c>
      <c r="G141" s="1" t="str">
        <f>Distrik!F$6</f>
        <v>D02</v>
      </c>
      <c r="H141" s="1" t="str">
        <f>VLOOKUP(tblParish[[#This Row],[DistCode]],tblDistrict[],2,FALSE)</f>
        <v>Jabem</v>
      </c>
      <c r="I141" s="1" t="str">
        <f>Seket!I$22</f>
        <v>S10</v>
      </c>
      <c r="J141" s="1" t="str">
        <f>CONCATENATE(tblParish[[#This Row],[DistCode]],"-",tblParish[[#This Row],[sCode]])</f>
        <v>D02-S10</v>
      </c>
      <c r="K141" s="1" t="e">
        <f>VLOOKUP(tblParish[[#This Row],[seketCode]],tblSeket,5,FALSE)</f>
        <v>#NAME?</v>
      </c>
      <c r="L141" s="1" t="s">
        <v>206</v>
      </c>
      <c r="M141" s="1" t="s">
        <v>355</v>
      </c>
    </row>
    <row r="142" spans="6:13" x14ac:dyDescent="0.35">
      <c r="F142" s="1" t="str">
        <f>CONCATENATE(tblParish[[#This Row],[seketCode]],"-",tblParish[[#This Row],[pCode]])</f>
        <v>D02-S10-P03</v>
      </c>
      <c r="G142" s="1" t="str">
        <f>Distrik!F$6</f>
        <v>D02</v>
      </c>
      <c r="H142" s="1" t="str">
        <f>VLOOKUP(tblParish[[#This Row],[DistCode]],tblDistrict[],2,FALSE)</f>
        <v>Jabem</v>
      </c>
      <c r="I142" s="1" t="str">
        <f>Seket!I$22</f>
        <v>S10</v>
      </c>
      <c r="J142" s="1" t="str">
        <f>CONCATENATE(tblParish[[#This Row],[DistCode]],"-",tblParish[[#This Row],[sCode]])</f>
        <v>D02-S10</v>
      </c>
      <c r="K142" s="1" t="e">
        <f>VLOOKUP(tblParish[[#This Row],[seketCode]],tblSeket,5,FALSE)</f>
        <v>#NAME?</v>
      </c>
      <c r="L142" s="1" t="s">
        <v>208</v>
      </c>
      <c r="M142" s="1" t="s">
        <v>356</v>
      </c>
    </row>
    <row r="143" spans="6:13" x14ac:dyDescent="0.35">
      <c r="F143" s="1" t="str">
        <f>CONCATENATE(tblParish[[#This Row],[seketCode]],"-",tblParish[[#This Row],[pCode]])</f>
        <v>D02-S10-P04</v>
      </c>
      <c r="G143" s="1" t="str">
        <f>Distrik!F$6</f>
        <v>D02</v>
      </c>
      <c r="H143" s="1" t="str">
        <f>VLOOKUP(tblParish[[#This Row],[DistCode]],tblDistrict[],2,FALSE)</f>
        <v>Jabem</v>
      </c>
      <c r="I143" s="1" t="str">
        <f>Seket!I$22</f>
        <v>S10</v>
      </c>
      <c r="J143" s="1" t="str">
        <f>CONCATENATE(tblParish[[#This Row],[DistCode]],"-",tblParish[[#This Row],[sCode]])</f>
        <v>D02-S10</v>
      </c>
      <c r="K143" s="1" t="e">
        <f>VLOOKUP(tblParish[[#This Row],[seketCode]],tblSeket,5,FALSE)</f>
        <v>#NAME?</v>
      </c>
      <c r="L143" s="1" t="s">
        <v>210</v>
      </c>
      <c r="M143" s="1" t="s">
        <v>357</v>
      </c>
    </row>
    <row r="144" spans="6:13" x14ac:dyDescent="0.35">
      <c r="F144" s="1" t="str">
        <f>CONCATENATE(tblParish[[#This Row],[seketCode]],"-",tblParish[[#This Row],[pCode]])</f>
        <v>D02-S10-P05</v>
      </c>
      <c r="G144" s="1" t="str">
        <f>Distrik!F$6</f>
        <v>D02</v>
      </c>
      <c r="H144" s="1" t="str">
        <f>VLOOKUP(tblParish[[#This Row],[DistCode]],tblDistrict[],2,FALSE)</f>
        <v>Jabem</v>
      </c>
      <c r="I144" s="1" t="str">
        <f>Seket!I$22</f>
        <v>S10</v>
      </c>
      <c r="J144" s="1" t="str">
        <f>CONCATENATE(tblParish[[#This Row],[DistCode]],"-",tblParish[[#This Row],[sCode]])</f>
        <v>D02-S10</v>
      </c>
      <c r="K144" s="1" t="e">
        <f>VLOOKUP(tblParish[[#This Row],[seketCode]],tblSeket,5,FALSE)</f>
        <v>#NAME?</v>
      </c>
      <c r="L144" s="1" t="s">
        <v>212</v>
      </c>
      <c r="M144" s="1" t="s">
        <v>358</v>
      </c>
    </row>
    <row r="145" spans="6:13" x14ac:dyDescent="0.35">
      <c r="F145" s="1" t="str">
        <f>CONCATENATE(tblParish[[#This Row],[seketCode]],"-",tblParish[[#This Row],[pCode]])</f>
        <v>D02-S10-P06</v>
      </c>
      <c r="G145" s="1" t="str">
        <f>Distrik!F$6</f>
        <v>D02</v>
      </c>
      <c r="H145" s="1" t="str">
        <f>VLOOKUP(tblParish[[#This Row],[DistCode]],tblDistrict[],2,FALSE)</f>
        <v>Jabem</v>
      </c>
      <c r="I145" s="1" t="str">
        <f>Seket!I$22</f>
        <v>S10</v>
      </c>
      <c r="J145" s="1" t="str">
        <f>CONCATENATE(tblParish[[#This Row],[DistCode]],"-",tblParish[[#This Row],[sCode]])</f>
        <v>D02-S10</v>
      </c>
      <c r="K145" s="1" t="e">
        <f>VLOOKUP(tblParish[[#This Row],[seketCode]],tblSeket,5,FALSE)</f>
        <v>#NAME?</v>
      </c>
      <c r="L145" s="1" t="s">
        <v>214</v>
      </c>
      <c r="M145" s="1" t="s">
        <v>359</v>
      </c>
    </row>
    <row r="146" spans="6:13" x14ac:dyDescent="0.35">
      <c r="F146" s="1" t="str">
        <f>CONCATENATE(tblParish[[#This Row],[seketCode]],"-",tblParish[[#This Row],[pCode]])</f>
        <v>D02-S10-P07</v>
      </c>
      <c r="G146" s="1" t="str">
        <f>Distrik!F$6</f>
        <v>D02</v>
      </c>
      <c r="H146" s="1" t="str">
        <f>VLOOKUP(tblParish[[#This Row],[DistCode]],tblDistrict[],2,FALSE)</f>
        <v>Jabem</v>
      </c>
      <c r="I146" s="1" t="str">
        <f>Seket!I$22</f>
        <v>S10</v>
      </c>
      <c r="J146" s="1" t="str">
        <f>CONCATENATE(tblParish[[#This Row],[DistCode]],"-",tblParish[[#This Row],[sCode]])</f>
        <v>D02-S10</v>
      </c>
      <c r="K146" s="1" t="e">
        <f>VLOOKUP(tblParish[[#This Row],[seketCode]],tblSeket,5,FALSE)</f>
        <v>#NAME?</v>
      </c>
      <c r="L146" s="1" t="s">
        <v>216</v>
      </c>
      <c r="M146" s="1" t="s">
        <v>360</v>
      </c>
    </row>
    <row r="147" spans="6:13" x14ac:dyDescent="0.35">
      <c r="F147" s="1" t="str">
        <f>CONCATENATE(tblParish[[#This Row],[seketCode]],"-",tblParish[[#This Row],[pCode]])</f>
        <v>D02-S10-P08</v>
      </c>
      <c r="G147" s="1" t="str">
        <f>Distrik!F$6</f>
        <v>D02</v>
      </c>
      <c r="H147" s="1" t="str">
        <f>VLOOKUP(tblParish[[#This Row],[DistCode]],tblDistrict[],2,FALSE)</f>
        <v>Jabem</v>
      </c>
      <c r="I147" s="1" t="str">
        <f>Seket!I$22</f>
        <v>S10</v>
      </c>
      <c r="J147" s="1" t="str">
        <f>CONCATENATE(tblParish[[#This Row],[DistCode]],"-",tblParish[[#This Row],[sCode]])</f>
        <v>D02-S10</v>
      </c>
      <c r="K147" s="1" t="e">
        <f>VLOOKUP(tblParish[[#This Row],[seketCode]],tblSeket,5,FALSE)</f>
        <v>#NAME?</v>
      </c>
      <c r="L147" s="1" t="s">
        <v>218</v>
      </c>
      <c r="M147" s="1" t="s">
        <v>361</v>
      </c>
    </row>
    <row r="148" spans="6:13" x14ac:dyDescent="0.35">
      <c r="F148" s="1" t="str">
        <f>CONCATENATE(tblParish[[#This Row],[seketCode]],"-",tblParish[[#This Row],[pCode]])</f>
        <v>D02-S10-P09</v>
      </c>
      <c r="G148" s="1" t="str">
        <f>Distrik!F$6</f>
        <v>D02</v>
      </c>
      <c r="H148" s="1" t="str">
        <f>VLOOKUP(tblParish[[#This Row],[DistCode]],tblDistrict[],2,FALSE)</f>
        <v>Jabem</v>
      </c>
      <c r="I148" s="1" t="str">
        <f>Seket!I$22</f>
        <v>S10</v>
      </c>
      <c r="J148" s="1" t="str">
        <f>CONCATENATE(tblParish[[#This Row],[DistCode]],"-",tblParish[[#This Row],[sCode]])</f>
        <v>D02-S10</v>
      </c>
      <c r="K148" s="1" t="e">
        <f>VLOOKUP(tblParish[[#This Row],[seketCode]],tblSeket,5,FALSE)</f>
        <v>#NAME?</v>
      </c>
      <c r="L148" s="1" t="s">
        <v>235</v>
      </c>
      <c r="M148" s="1" t="s">
        <v>362</v>
      </c>
    </row>
    <row r="149" spans="6:13" x14ac:dyDescent="0.35">
      <c r="F149" s="1" t="str">
        <f>CONCATENATE(tblParish[[#This Row],[seketCode]],"-",tblParish[[#This Row],[pCode]])</f>
        <v>D02-S10-P10</v>
      </c>
      <c r="G149" s="1" t="str">
        <f>Distrik!F$6</f>
        <v>D02</v>
      </c>
      <c r="H149" s="1" t="str">
        <f>VLOOKUP(tblParish[[#This Row],[DistCode]],tblDistrict[],2,FALSE)</f>
        <v>Jabem</v>
      </c>
      <c r="I149" s="1" t="str">
        <f>Seket!I$22</f>
        <v>S10</v>
      </c>
      <c r="J149" s="1" t="str">
        <f>CONCATENATE(tblParish[[#This Row],[DistCode]],"-",tblParish[[#This Row],[sCode]])</f>
        <v>D02-S10</v>
      </c>
      <c r="K149" s="1" t="e">
        <f>VLOOKUP(tblParish[[#This Row],[seketCode]],tblSeket,5,FALSE)</f>
        <v>#NAME?</v>
      </c>
      <c r="L149" s="1" t="s">
        <v>237</v>
      </c>
      <c r="M149" s="1" t="s">
        <v>363</v>
      </c>
    </row>
    <row r="150" spans="6:13" x14ac:dyDescent="0.35">
      <c r="F150" s="1" t="str">
        <f>CONCATENATE(tblParish[[#This Row],[seketCode]],"-",tblParish[[#This Row],[pCode]])</f>
        <v>D02-S10-P11</v>
      </c>
      <c r="G150" s="1" t="str">
        <f>Distrik!F$6</f>
        <v>D02</v>
      </c>
      <c r="H150" s="1" t="str">
        <f>VLOOKUP(tblParish[[#This Row],[DistCode]],tblDistrict[],2,FALSE)</f>
        <v>Jabem</v>
      </c>
      <c r="I150" s="1" t="str">
        <f>Seket!I$22</f>
        <v>S10</v>
      </c>
      <c r="J150" s="1" t="str">
        <f>CONCATENATE(tblParish[[#This Row],[DistCode]],"-",tblParish[[#This Row],[sCode]])</f>
        <v>D02-S10</v>
      </c>
      <c r="K150" s="1" t="e">
        <f>VLOOKUP(tblParish[[#This Row],[seketCode]],tblSeket,5,FALSE)</f>
        <v>#NAME?</v>
      </c>
      <c r="L150" s="1" t="s">
        <v>239</v>
      </c>
      <c r="M150" s="1" t="s">
        <v>364</v>
      </c>
    </row>
    <row r="151" spans="6:13" x14ac:dyDescent="0.35">
      <c r="F151" s="1" t="str">
        <f>CONCATENATE(tblParish[[#This Row],[seketCode]],"-",tblParish[[#This Row],[pCode]])</f>
        <v>D02-S10-P12</v>
      </c>
      <c r="G151" s="1" t="str">
        <f>Distrik!F$6</f>
        <v>D02</v>
      </c>
      <c r="H151" s="1" t="str">
        <f>VLOOKUP(tblParish[[#This Row],[DistCode]],tblDistrict[],2,FALSE)</f>
        <v>Jabem</v>
      </c>
      <c r="I151" s="1" t="str">
        <f>Seket!I$22</f>
        <v>S10</v>
      </c>
      <c r="J151" s="1" t="str">
        <f>CONCATENATE(tblParish[[#This Row],[DistCode]],"-",tblParish[[#This Row],[sCode]])</f>
        <v>D02-S10</v>
      </c>
      <c r="K151" s="1" t="e">
        <f>VLOOKUP(tblParish[[#This Row],[seketCode]],tblSeket,5,FALSE)</f>
        <v>#NAME?</v>
      </c>
      <c r="L151" s="1" t="s">
        <v>241</v>
      </c>
      <c r="M151" s="1" t="s">
        <v>365</v>
      </c>
    </row>
    <row r="152" spans="6:13" x14ac:dyDescent="0.35">
      <c r="F152" s="1" t="str">
        <f>CONCATENATE(tblParish[[#This Row],[seketCode]],"-",tblParish[[#This Row],[pCode]])</f>
        <v>D02-S10-P13</v>
      </c>
      <c r="G152" s="1" t="str">
        <f>Distrik!F$6</f>
        <v>D02</v>
      </c>
      <c r="H152" s="1" t="str">
        <f>VLOOKUP(tblParish[[#This Row],[DistCode]],tblDistrict[],2,FALSE)</f>
        <v>Jabem</v>
      </c>
      <c r="I152" s="1" t="str">
        <f>Seket!I$22</f>
        <v>S10</v>
      </c>
      <c r="J152" s="1" t="str">
        <f>CONCATENATE(tblParish[[#This Row],[DistCode]],"-",tblParish[[#This Row],[sCode]])</f>
        <v>D02-S10</v>
      </c>
      <c r="K152" s="1" t="e">
        <f>VLOOKUP(tblParish[[#This Row],[seketCode]],tblSeket,5,FALSE)</f>
        <v>#NAME?</v>
      </c>
      <c r="L152" s="1" t="s">
        <v>320</v>
      </c>
      <c r="M152" s="1" t="s">
        <v>366</v>
      </c>
    </row>
    <row r="153" spans="6:13" x14ac:dyDescent="0.35">
      <c r="F153" s="1" t="str">
        <f>CONCATENATE(tblParish[[#This Row],[seketCode]],"-",tblParish[[#This Row],[pCode]])</f>
        <v>D02-S11-P01</v>
      </c>
      <c r="G153" s="1" t="str">
        <f>Distrik!F$6</f>
        <v>D02</v>
      </c>
      <c r="H153" s="1" t="str">
        <f>VLOOKUP(tblParish[[#This Row],[DistCode]],tblDistrict[],2,FALSE)</f>
        <v>Jabem</v>
      </c>
      <c r="I153" s="1" t="str">
        <f>Seket!I$23</f>
        <v>S11</v>
      </c>
      <c r="J153" s="1" t="str">
        <f>CONCATENATE(tblParish[[#This Row],[DistCode]],"-",tblParish[[#This Row],[sCode]])</f>
        <v>D02-S11</v>
      </c>
      <c r="K153" s="1" t="e">
        <f>VLOOKUP(tblParish[[#This Row],[seketCode]],tblSeket,5,FALSE)</f>
        <v>#NAME?</v>
      </c>
      <c r="L153" s="1" t="s">
        <v>204</v>
      </c>
      <c r="M153" s="1" t="s">
        <v>367</v>
      </c>
    </row>
    <row r="154" spans="6:13" x14ac:dyDescent="0.35">
      <c r="F154" s="1" t="str">
        <f>CONCATENATE(tblParish[[#This Row],[seketCode]],"-",tblParish[[#This Row],[pCode]])</f>
        <v>D02-S11-P02</v>
      </c>
      <c r="G154" s="1" t="str">
        <f>Distrik!F$6</f>
        <v>D02</v>
      </c>
      <c r="H154" s="1" t="str">
        <f>VLOOKUP(tblParish[[#This Row],[DistCode]],tblDistrict[],2,FALSE)</f>
        <v>Jabem</v>
      </c>
      <c r="I154" s="1" t="str">
        <f>Seket!I$23</f>
        <v>S11</v>
      </c>
      <c r="J154" s="1" t="str">
        <f>CONCATENATE(tblParish[[#This Row],[DistCode]],"-",tblParish[[#This Row],[sCode]])</f>
        <v>D02-S11</v>
      </c>
      <c r="K154" s="1" t="e">
        <f>VLOOKUP(tblParish[[#This Row],[seketCode]],tblSeket,5,FALSE)</f>
        <v>#NAME?</v>
      </c>
      <c r="L154" s="1" t="s">
        <v>206</v>
      </c>
      <c r="M154" s="1" t="s">
        <v>368</v>
      </c>
    </row>
    <row r="155" spans="6:13" x14ac:dyDescent="0.35">
      <c r="F155" s="1" t="str">
        <f>CONCATENATE(tblParish[[#This Row],[seketCode]],"-",tblParish[[#This Row],[pCode]])</f>
        <v>D02-S11-P03</v>
      </c>
      <c r="G155" s="1" t="str">
        <f>Distrik!F$6</f>
        <v>D02</v>
      </c>
      <c r="H155" s="1" t="str">
        <f>VLOOKUP(tblParish[[#This Row],[DistCode]],tblDistrict[],2,FALSE)</f>
        <v>Jabem</v>
      </c>
      <c r="I155" s="1" t="str">
        <f>Seket!I$23</f>
        <v>S11</v>
      </c>
      <c r="J155" s="1" t="str">
        <f>CONCATENATE(tblParish[[#This Row],[DistCode]],"-",tblParish[[#This Row],[sCode]])</f>
        <v>D02-S11</v>
      </c>
      <c r="K155" s="1" t="e">
        <f>VLOOKUP(tblParish[[#This Row],[seketCode]],tblSeket,5,FALSE)</f>
        <v>#NAME?</v>
      </c>
      <c r="L155" s="1" t="s">
        <v>208</v>
      </c>
      <c r="M155" s="1" t="s">
        <v>369</v>
      </c>
    </row>
    <row r="156" spans="6:13" x14ac:dyDescent="0.35">
      <c r="F156" s="1" t="str">
        <f>CONCATENATE(tblParish[[#This Row],[seketCode]],"-",tblParish[[#This Row],[pCode]])</f>
        <v>D02-S11-P04</v>
      </c>
      <c r="G156" s="1" t="str">
        <f>Distrik!F$6</f>
        <v>D02</v>
      </c>
      <c r="H156" s="1" t="str">
        <f>VLOOKUP(tblParish[[#This Row],[DistCode]],tblDistrict[],2,FALSE)</f>
        <v>Jabem</v>
      </c>
      <c r="I156" s="1" t="str">
        <f>Seket!I$23</f>
        <v>S11</v>
      </c>
      <c r="J156" s="1" t="str">
        <f>CONCATENATE(tblParish[[#This Row],[DistCode]],"-",tblParish[[#This Row],[sCode]])</f>
        <v>D02-S11</v>
      </c>
      <c r="K156" s="1" t="e">
        <f>VLOOKUP(tblParish[[#This Row],[seketCode]],tblSeket,5,FALSE)</f>
        <v>#NAME?</v>
      </c>
      <c r="L156" s="1" t="s">
        <v>210</v>
      </c>
      <c r="M156" s="1" t="s">
        <v>328</v>
      </c>
    </row>
    <row r="157" spans="6:13" x14ac:dyDescent="0.35">
      <c r="F157" s="1" t="str">
        <f>CONCATENATE(tblParish[[#This Row],[seketCode]],"-",tblParish[[#This Row],[pCode]])</f>
        <v>D02-S11-P05</v>
      </c>
      <c r="G157" s="1" t="str">
        <f>Distrik!F$6</f>
        <v>D02</v>
      </c>
      <c r="H157" s="1" t="str">
        <f>VLOOKUP(tblParish[[#This Row],[DistCode]],tblDistrict[],2,FALSE)</f>
        <v>Jabem</v>
      </c>
      <c r="I157" s="1" t="str">
        <f>Seket!I$23</f>
        <v>S11</v>
      </c>
      <c r="J157" s="1" t="str">
        <f>CONCATENATE(tblParish[[#This Row],[DistCode]],"-",tblParish[[#This Row],[sCode]])</f>
        <v>D02-S11</v>
      </c>
      <c r="K157" s="1" t="e">
        <f>VLOOKUP(tblParish[[#This Row],[seketCode]],tblSeket,5,FALSE)</f>
        <v>#NAME?</v>
      </c>
      <c r="L157" s="1" t="s">
        <v>212</v>
      </c>
      <c r="M157" s="1" t="s">
        <v>370</v>
      </c>
    </row>
    <row r="158" spans="6:13" x14ac:dyDescent="0.35">
      <c r="F158" s="1" t="str">
        <f>CONCATENATE(tblParish[[#This Row],[seketCode]],"-",tblParish[[#This Row],[pCode]])</f>
        <v>D02-S12-P01</v>
      </c>
      <c r="G158" s="1" t="str">
        <f>Distrik!F$6</f>
        <v>D02</v>
      </c>
      <c r="H158" s="1" t="str">
        <f>VLOOKUP(tblParish[[#This Row],[DistCode]],tblDistrict[],2,FALSE)</f>
        <v>Jabem</v>
      </c>
      <c r="I158" s="1" t="str">
        <f>Seket!I$24</f>
        <v>S12</v>
      </c>
      <c r="J158" s="1" t="str">
        <f>CONCATENATE(tblParish[[#This Row],[DistCode]],"-",tblParish[[#This Row],[sCode]])</f>
        <v>D02-S12</v>
      </c>
      <c r="K158" s="1" t="e">
        <f>VLOOKUP(tblParish[[#This Row],[seketCode]],tblSeket,5,FALSE)</f>
        <v>#NAME?</v>
      </c>
      <c r="L158" s="1" t="s">
        <v>204</v>
      </c>
      <c r="M158" s="1" t="s">
        <v>371</v>
      </c>
    </row>
    <row r="159" spans="6:13" x14ac:dyDescent="0.35">
      <c r="F159" s="1" t="str">
        <f>CONCATENATE(tblParish[[#This Row],[seketCode]],"-",tblParish[[#This Row],[pCode]])</f>
        <v>D02-S12-P02</v>
      </c>
      <c r="G159" s="1" t="str">
        <f>Distrik!F$6</f>
        <v>D02</v>
      </c>
      <c r="H159" s="1" t="str">
        <f>VLOOKUP(tblParish[[#This Row],[DistCode]],tblDistrict[],2,FALSE)</f>
        <v>Jabem</v>
      </c>
      <c r="I159" s="1" t="str">
        <f>Seket!I$24</f>
        <v>S12</v>
      </c>
      <c r="J159" s="1" t="str">
        <f>CONCATENATE(tblParish[[#This Row],[DistCode]],"-",tblParish[[#This Row],[sCode]])</f>
        <v>D02-S12</v>
      </c>
      <c r="K159" s="1" t="e">
        <f>VLOOKUP(tblParish[[#This Row],[seketCode]],tblSeket,5,FALSE)</f>
        <v>#NAME?</v>
      </c>
      <c r="L159" s="1" t="s">
        <v>206</v>
      </c>
      <c r="M159" s="1" t="s">
        <v>372</v>
      </c>
    </row>
    <row r="160" spans="6:13" x14ac:dyDescent="0.35">
      <c r="F160" s="1" t="str">
        <f>CONCATENATE(tblParish[[#This Row],[seketCode]],"-",tblParish[[#This Row],[pCode]])</f>
        <v>D02-S12-P03</v>
      </c>
      <c r="G160" s="1" t="str">
        <f>Distrik!F$6</f>
        <v>D02</v>
      </c>
      <c r="H160" s="1" t="str">
        <f>VLOOKUP(tblParish[[#This Row],[DistCode]],tblDistrict[],2,FALSE)</f>
        <v>Jabem</v>
      </c>
      <c r="I160" s="1" t="str">
        <f>Seket!I$24</f>
        <v>S12</v>
      </c>
      <c r="J160" s="1" t="str">
        <f>CONCATENATE(tblParish[[#This Row],[DistCode]],"-",tblParish[[#This Row],[sCode]])</f>
        <v>D02-S12</v>
      </c>
      <c r="K160" s="1" t="e">
        <f>VLOOKUP(tblParish[[#This Row],[seketCode]],tblSeket,5,FALSE)</f>
        <v>#NAME?</v>
      </c>
      <c r="L160" s="1" t="s">
        <v>208</v>
      </c>
      <c r="M160" s="1" t="s">
        <v>316</v>
      </c>
    </row>
    <row r="161" spans="6:13" x14ac:dyDescent="0.35">
      <c r="F161" s="1" t="str">
        <f>CONCATENATE(tblParish[[#This Row],[seketCode]],"-",tblParish[[#This Row],[pCode]])</f>
        <v>D02-S12-P04</v>
      </c>
      <c r="G161" s="1" t="str">
        <f>Distrik!F$6</f>
        <v>D02</v>
      </c>
      <c r="H161" s="1" t="str">
        <f>VLOOKUP(tblParish[[#This Row],[DistCode]],tblDistrict[],2,FALSE)</f>
        <v>Jabem</v>
      </c>
      <c r="I161" s="1" t="str">
        <f>Seket!I$24</f>
        <v>S12</v>
      </c>
      <c r="J161" s="1" t="str">
        <f>CONCATENATE(tblParish[[#This Row],[DistCode]],"-",tblParish[[#This Row],[sCode]])</f>
        <v>D02-S12</v>
      </c>
      <c r="K161" s="1" t="e">
        <f>VLOOKUP(tblParish[[#This Row],[seketCode]],tblSeket,5,FALSE)</f>
        <v>#NAME?</v>
      </c>
      <c r="L161" s="1" t="s">
        <v>210</v>
      </c>
      <c r="M161" s="1" t="s">
        <v>373</v>
      </c>
    </row>
    <row r="162" spans="6:13" x14ac:dyDescent="0.35">
      <c r="F162" s="1" t="str">
        <f>CONCATENATE(tblParish[[#This Row],[seketCode]],"-",tblParish[[#This Row],[pCode]])</f>
        <v>D02-S12-P05</v>
      </c>
      <c r="G162" s="1" t="str">
        <f>Distrik!F$6</f>
        <v>D02</v>
      </c>
      <c r="H162" s="1" t="str">
        <f>VLOOKUP(tblParish[[#This Row],[DistCode]],tblDistrict[],2,FALSE)</f>
        <v>Jabem</v>
      </c>
      <c r="I162" s="1" t="str">
        <f>Seket!I$24</f>
        <v>S12</v>
      </c>
      <c r="J162" s="1" t="str">
        <f>CONCATENATE(tblParish[[#This Row],[DistCode]],"-",tblParish[[#This Row],[sCode]])</f>
        <v>D02-S12</v>
      </c>
      <c r="K162" s="1" t="e">
        <f>VLOOKUP(tblParish[[#This Row],[seketCode]],tblSeket,5,FALSE)</f>
        <v>#NAME?</v>
      </c>
      <c r="L162" s="1" t="s">
        <v>212</v>
      </c>
      <c r="M162" s="1" t="s">
        <v>374</v>
      </c>
    </row>
    <row r="163" spans="6:13" x14ac:dyDescent="0.35">
      <c r="F163" s="1" t="str">
        <f>CONCATENATE(tblParish[[#This Row],[seketCode]],"-",tblParish[[#This Row],[pCode]])</f>
        <v>D02-S12-P06</v>
      </c>
      <c r="G163" s="1" t="str">
        <f>Distrik!F$6</f>
        <v>D02</v>
      </c>
      <c r="H163" s="1" t="str">
        <f>VLOOKUP(tblParish[[#This Row],[DistCode]],tblDistrict[],2,FALSE)</f>
        <v>Jabem</v>
      </c>
      <c r="I163" s="1" t="str">
        <f>Seket!I$24</f>
        <v>S12</v>
      </c>
      <c r="J163" s="1" t="str">
        <f>CONCATENATE(tblParish[[#This Row],[DistCode]],"-",tblParish[[#This Row],[sCode]])</f>
        <v>D02-S12</v>
      </c>
      <c r="K163" s="1" t="e">
        <f>VLOOKUP(tblParish[[#This Row],[seketCode]],tblSeket,5,FALSE)</f>
        <v>#NAME?</v>
      </c>
      <c r="L163" s="1" t="s">
        <v>214</v>
      </c>
      <c r="M163" s="1" t="s">
        <v>375</v>
      </c>
    </row>
    <row r="164" spans="6:13" x14ac:dyDescent="0.35">
      <c r="F164" s="1" t="str">
        <f>CONCATENATE(tblParish[[#This Row],[seketCode]],"-",tblParish[[#This Row],[pCode]])</f>
        <v>D02-S12-P07</v>
      </c>
      <c r="G164" s="1" t="str">
        <f>Distrik!F$6</f>
        <v>D02</v>
      </c>
      <c r="H164" s="1" t="str">
        <f>VLOOKUP(tblParish[[#This Row],[DistCode]],tblDistrict[],2,FALSE)</f>
        <v>Jabem</v>
      </c>
      <c r="I164" s="1" t="str">
        <f>Seket!I$24</f>
        <v>S12</v>
      </c>
      <c r="J164" s="1" t="str">
        <f>CONCATENATE(tblParish[[#This Row],[DistCode]],"-",tblParish[[#This Row],[sCode]])</f>
        <v>D02-S12</v>
      </c>
      <c r="K164" s="1" t="e">
        <f>VLOOKUP(tblParish[[#This Row],[seketCode]],tblSeket,5,FALSE)</f>
        <v>#NAME?</v>
      </c>
      <c r="L164" s="1" t="s">
        <v>216</v>
      </c>
      <c r="M164" s="1" t="s">
        <v>376</v>
      </c>
    </row>
    <row r="165" spans="6:13" x14ac:dyDescent="0.35">
      <c r="F165" s="1" t="str">
        <f>CONCATENATE(tblParish[[#This Row],[seketCode]],"-",tblParish[[#This Row],[pCode]])</f>
        <v>D02-S13-P01</v>
      </c>
      <c r="G165" s="1" t="str">
        <f>Distrik!F$6</f>
        <v>D02</v>
      </c>
      <c r="H165" s="1" t="str">
        <f>VLOOKUP(tblParish[[#This Row],[DistCode]],tblDistrict[],2,FALSE)</f>
        <v>Jabem</v>
      </c>
      <c r="I165" s="1" t="str">
        <f>Seket!I$25</f>
        <v>S13</v>
      </c>
      <c r="J165" s="1" t="str">
        <f>CONCATENATE(tblParish[[#This Row],[DistCode]],"-",tblParish[[#This Row],[sCode]])</f>
        <v>D02-S13</v>
      </c>
      <c r="K165" s="1" t="e">
        <f>VLOOKUP(tblParish[[#This Row],[seketCode]],tblSeket,5,FALSE)</f>
        <v>#NAME?</v>
      </c>
      <c r="L165" s="1" t="s">
        <v>204</v>
      </c>
      <c r="M165" s="1" t="s">
        <v>377</v>
      </c>
    </row>
    <row r="166" spans="6:13" x14ac:dyDescent="0.35">
      <c r="F166" s="1" t="str">
        <f>CONCATENATE(tblParish[[#This Row],[seketCode]],"-",tblParish[[#This Row],[pCode]])</f>
        <v>D02-S13-P02</v>
      </c>
      <c r="G166" s="1" t="str">
        <f>Distrik!F$6</f>
        <v>D02</v>
      </c>
      <c r="H166" s="1" t="str">
        <f>VLOOKUP(tblParish[[#This Row],[DistCode]],tblDistrict[],2,FALSE)</f>
        <v>Jabem</v>
      </c>
      <c r="I166" s="1" t="str">
        <f>Seket!I$25</f>
        <v>S13</v>
      </c>
      <c r="J166" s="1" t="str">
        <f>CONCATENATE(tblParish[[#This Row],[DistCode]],"-",tblParish[[#This Row],[sCode]])</f>
        <v>D02-S13</v>
      </c>
      <c r="K166" s="1" t="e">
        <f>VLOOKUP(tblParish[[#This Row],[seketCode]],tblSeket,5,FALSE)</f>
        <v>#NAME?</v>
      </c>
      <c r="L166" s="1" t="s">
        <v>206</v>
      </c>
      <c r="M166" s="1" t="s">
        <v>378</v>
      </c>
    </row>
    <row r="167" spans="6:13" x14ac:dyDescent="0.35">
      <c r="F167" s="1" t="str">
        <f>CONCATENATE(tblParish[[#This Row],[seketCode]],"-",tblParish[[#This Row],[pCode]])</f>
        <v>D02-S13-P03</v>
      </c>
      <c r="G167" s="1" t="str">
        <f>Distrik!F$6</f>
        <v>D02</v>
      </c>
      <c r="H167" s="1" t="str">
        <f>VLOOKUP(tblParish[[#This Row],[DistCode]],tblDistrict[],2,FALSE)</f>
        <v>Jabem</v>
      </c>
      <c r="I167" s="1" t="str">
        <f>Seket!I$25</f>
        <v>S13</v>
      </c>
      <c r="J167" s="1" t="str">
        <f>CONCATENATE(tblParish[[#This Row],[DistCode]],"-",tblParish[[#This Row],[sCode]])</f>
        <v>D02-S13</v>
      </c>
      <c r="K167" s="1" t="e">
        <f>VLOOKUP(tblParish[[#This Row],[seketCode]],tblSeket,5,FALSE)</f>
        <v>#NAME?</v>
      </c>
      <c r="L167" s="1" t="s">
        <v>208</v>
      </c>
      <c r="M167" s="1" t="s">
        <v>379</v>
      </c>
    </row>
    <row r="168" spans="6:13" x14ac:dyDescent="0.35">
      <c r="F168" s="1" t="str">
        <f>CONCATENATE(tblParish[[#This Row],[seketCode]],"-",tblParish[[#This Row],[pCode]])</f>
        <v>D02-S13-P04</v>
      </c>
      <c r="G168" s="1" t="str">
        <f>Distrik!F$6</f>
        <v>D02</v>
      </c>
      <c r="H168" s="1" t="str">
        <f>VLOOKUP(tblParish[[#This Row],[DistCode]],tblDistrict[],2,FALSE)</f>
        <v>Jabem</v>
      </c>
      <c r="I168" s="1" t="str">
        <f>Seket!I$25</f>
        <v>S13</v>
      </c>
      <c r="J168" s="1" t="str">
        <f>CONCATENATE(tblParish[[#This Row],[DistCode]],"-",tblParish[[#This Row],[sCode]])</f>
        <v>D02-S13</v>
      </c>
      <c r="K168" s="1" t="e">
        <f>VLOOKUP(tblParish[[#This Row],[seketCode]],tblSeket,5,FALSE)</f>
        <v>#NAME?</v>
      </c>
      <c r="L168" s="1" t="s">
        <v>210</v>
      </c>
      <c r="M168" s="1" t="s">
        <v>380</v>
      </c>
    </row>
    <row r="169" spans="6:13" x14ac:dyDescent="0.35">
      <c r="F169" s="1" t="str">
        <f>CONCATENATE(tblParish[[#This Row],[seketCode]],"-",tblParish[[#This Row],[pCode]])</f>
        <v>D02-S13-P05</v>
      </c>
      <c r="G169" s="1" t="str">
        <f>Distrik!F$6</f>
        <v>D02</v>
      </c>
      <c r="H169" s="1" t="str">
        <f>VLOOKUP(tblParish[[#This Row],[DistCode]],tblDistrict[],2,FALSE)</f>
        <v>Jabem</v>
      </c>
      <c r="I169" s="1" t="str">
        <f>Seket!I$25</f>
        <v>S13</v>
      </c>
      <c r="J169" s="1" t="str">
        <f>CONCATENATE(tblParish[[#This Row],[DistCode]],"-",tblParish[[#This Row],[sCode]])</f>
        <v>D02-S13</v>
      </c>
      <c r="K169" s="1" t="e">
        <f>VLOOKUP(tblParish[[#This Row],[seketCode]],tblSeket,5,FALSE)</f>
        <v>#NAME?</v>
      </c>
      <c r="L169" s="1" t="s">
        <v>212</v>
      </c>
      <c r="M169" s="1" t="s">
        <v>381</v>
      </c>
    </row>
    <row r="170" spans="6:13" x14ac:dyDescent="0.35">
      <c r="F170" s="1" t="str">
        <f>CONCATENATE(tblParish[[#This Row],[seketCode]],"-",tblParish[[#This Row],[pCode]])</f>
        <v>D02-S13-P06</v>
      </c>
      <c r="G170" s="1" t="str">
        <f>Distrik!F$6</f>
        <v>D02</v>
      </c>
      <c r="H170" s="1" t="str">
        <f>VLOOKUP(tblParish[[#This Row],[DistCode]],tblDistrict[],2,FALSE)</f>
        <v>Jabem</v>
      </c>
      <c r="I170" s="1" t="str">
        <f>Seket!I$25</f>
        <v>S13</v>
      </c>
      <c r="J170" s="1" t="str">
        <f>CONCATENATE(tblParish[[#This Row],[DistCode]],"-",tblParish[[#This Row],[sCode]])</f>
        <v>D02-S13</v>
      </c>
      <c r="K170" s="1" t="e">
        <f>VLOOKUP(tblParish[[#This Row],[seketCode]],tblSeket,5,FALSE)</f>
        <v>#NAME?</v>
      </c>
      <c r="L170" s="1" t="s">
        <v>214</v>
      </c>
      <c r="M170" s="1" t="s">
        <v>382</v>
      </c>
    </row>
    <row r="171" spans="6:13" x14ac:dyDescent="0.35">
      <c r="F171" s="1" t="str">
        <f>CONCATENATE(tblParish[[#This Row],[seketCode]],"-",tblParish[[#This Row],[pCode]])</f>
        <v>D02-S13-P07</v>
      </c>
      <c r="G171" s="1" t="str">
        <f>Distrik!F$6</f>
        <v>D02</v>
      </c>
      <c r="H171" s="1" t="str">
        <f>VLOOKUP(tblParish[[#This Row],[DistCode]],tblDistrict[],2,FALSE)</f>
        <v>Jabem</v>
      </c>
      <c r="I171" s="1" t="str">
        <f>Seket!I$25</f>
        <v>S13</v>
      </c>
      <c r="J171" s="1" t="str">
        <f>CONCATENATE(tblParish[[#This Row],[DistCode]],"-",tblParish[[#This Row],[sCode]])</f>
        <v>D02-S13</v>
      </c>
      <c r="K171" s="1" t="e">
        <f>VLOOKUP(tblParish[[#This Row],[seketCode]],tblSeket,5,FALSE)</f>
        <v>#NAME?</v>
      </c>
      <c r="L171" s="1" t="s">
        <v>216</v>
      </c>
      <c r="M171" s="1" t="s">
        <v>383</v>
      </c>
    </row>
    <row r="172" spans="6:13" x14ac:dyDescent="0.35">
      <c r="F172" s="1" t="str">
        <f>CONCATENATE(tblParish[[#This Row],[seketCode]],"-",tblParish[[#This Row],[pCode]])</f>
        <v>D02-S13-P08</v>
      </c>
      <c r="G172" s="1" t="str">
        <f>Distrik!F$6</f>
        <v>D02</v>
      </c>
      <c r="H172" s="1" t="str">
        <f>VLOOKUP(tblParish[[#This Row],[DistCode]],tblDistrict[],2,FALSE)</f>
        <v>Jabem</v>
      </c>
      <c r="I172" s="1" t="str">
        <f>Seket!I$25</f>
        <v>S13</v>
      </c>
      <c r="J172" s="1" t="str">
        <f>CONCATENATE(tblParish[[#This Row],[DistCode]],"-",tblParish[[#This Row],[sCode]])</f>
        <v>D02-S13</v>
      </c>
      <c r="K172" s="1" t="e">
        <f>VLOOKUP(tblParish[[#This Row],[seketCode]],tblSeket,5,FALSE)</f>
        <v>#NAME?</v>
      </c>
      <c r="L172" s="1" t="s">
        <v>218</v>
      </c>
      <c r="M172" s="1" t="s">
        <v>384</v>
      </c>
    </row>
    <row r="173" spans="6:13" x14ac:dyDescent="0.35">
      <c r="F173" s="1" t="str">
        <f>CONCATENATE(tblParish[[#This Row],[seketCode]],"-",tblParish[[#This Row],[pCode]])</f>
        <v>D02-S14-P01</v>
      </c>
      <c r="G173" s="1" t="str">
        <f>Distrik!F$6</f>
        <v>D02</v>
      </c>
      <c r="H173" s="1" t="str">
        <f>VLOOKUP(tblParish[[#This Row],[DistCode]],tblDistrict[],2,FALSE)</f>
        <v>Jabem</v>
      </c>
      <c r="I173" s="1" t="str">
        <f>Seket!I$26</f>
        <v>S14</v>
      </c>
      <c r="J173" s="1" t="str">
        <f>CONCATENATE(tblParish[[#This Row],[DistCode]],"-",tblParish[[#This Row],[sCode]])</f>
        <v>D02-S14</v>
      </c>
      <c r="K173" s="1" t="e">
        <f>VLOOKUP(tblParish[[#This Row],[seketCode]],tblSeket,5,FALSE)</f>
        <v>#NAME?</v>
      </c>
      <c r="L173" s="1" t="s">
        <v>204</v>
      </c>
      <c r="M173" s="1" t="s">
        <v>385</v>
      </c>
    </row>
    <row r="174" spans="6:13" x14ac:dyDescent="0.35">
      <c r="F174" s="1" t="str">
        <f>CONCATENATE(tblParish[[#This Row],[seketCode]],"-",tblParish[[#This Row],[pCode]])</f>
        <v>D02-S14-P02</v>
      </c>
      <c r="G174" s="1" t="str">
        <f>Distrik!F$6</f>
        <v>D02</v>
      </c>
      <c r="H174" s="1" t="str">
        <f>VLOOKUP(tblParish[[#This Row],[DistCode]],tblDistrict[],2,FALSE)</f>
        <v>Jabem</v>
      </c>
      <c r="I174" s="1" t="str">
        <f>Seket!I$26</f>
        <v>S14</v>
      </c>
      <c r="J174" s="1" t="str">
        <f>CONCATENATE(tblParish[[#This Row],[DistCode]],"-",tblParish[[#This Row],[sCode]])</f>
        <v>D02-S14</v>
      </c>
      <c r="K174" s="1" t="e">
        <f>VLOOKUP(tblParish[[#This Row],[seketCode]],tblSeket,5,FALSE)</f>
        <v>#NAME?</v>
      </c>
      <c r="L174" s="1" t="s">
        <v>206</v>
      </c>
      <c r="M174" s="1" t="s">
        <v>386</v>
      </c>
    </row>
    <row r="175" spans="6:13" x14ac:dyDescent="0.35">
      <c r="F175" s="1" t="str">
        <f>CONCATENATE(tblParish[[#This Row],[seketCode]],"-",tblParish[[#This Row],[pCode]])</f>
        <v>D02-S14-P03</v>
      </c>
      <c r="G175" s="1" t="str">
        <f>Distrik!F$6</f>
        <v>D02</v>
      </c>
      <c r="H175" s="1" t="str">
        <f>VLOOKUP(tblParish[[#This Row],[DistCode]],tblDistrict[],2,FALSE)</f>
        <v>Jabem</v>
      </c>
      <c r="I175" s="1" t="str">
        <f>Seket!I$26</f>
        <v>S14</v>
      </c>
      <c r="J175" s="1" t="str">
        <f>CONCATENATE(tblParish[[#This Row],[DistCode]],"-",tblParish[[#This Row],[sCode]])</f>
        <v>D02-S14</v>
      </c>
      <c r="K175" s="1" t="e">
        <f>VLOOKUP(tblParish[[#This Row],[seketCode]],tblSeket,5,FALSE)</f>
        <v>#NAME?</v>
      </c>
      <c r="L175" s="1" t="s">
        <v>208</v>
      </c>
      <c r="M175" s="1" t="s">
        <v>387</v>
      </c>
    </row>
    <row r="176" spans="6:13" x14ac:dyDescent="0.35">
      <c r="F176" s="1" t="str">
        <f>CONCATENATE(tblParish[[#This Row],[seketCode]],"-",tblParish[[#This Row],[pCode]])</f>
        <v>D02-S14-P04</v>
      </c>
      <c r="G176" s="1" t="str">
        <f>Distrik!F$6</f>
        <v>D02</v>
      </c>
      <c r="H176" s="1" t="str">
        <f>VLOOKUP(tblParish[[#This Row],[DistCode]],tblDistrict[],2,FALSE)</f>
        <v>Jabem</v>
      </c>
      <c r="I176" s="1" t="str">
        <f>Seket!I$26</f>
        <v>S14</v>
      </c>
      <c r="J176" s="1" t="str">
        <f>CONCATENATE(tblParish[[#This Row],[DistCode]],"-",tblParish[[#This Row],[sCode]])</f>
        <v>D02-S14</v>
      </c>
      <c r="K176" s="1" t="e">
        <f>VLOOKUP(tblParish[[#This Row],[seketCode]],tblSeket,5,FALSE)</f>
        <v>#NAME?</v>
      </c>
      <c r="L176" s="1" t="s">
        <v>210</v>
      </c>
      <c r="M176" s="1" t="s">
        <v>388</v>
      </c>
    </row>
    <row r="177" spans="6:13" x14ac:dyDescent="0.35">
      <c r="F177" s="1" t="str">
        <f>CONCATENATE(tblParish[[#This Row],[seketCode]],"-",tblParish[[#This Row],[pCode]])</f>
        <v>D02-S14-P05</v>
      </c>
      <c r="G177" s="1" t="str">
        <f>Distrik!F$6</f>
        <v>D02</v>
      </c>
      <c r="H177" s="1" t="str">
        <f>VLOOKUP(tblParish[[#This Row],[DistCode]],tblDistrict[],2,FALSE)</f>
        <v>Jabem</v>
      </c>
      <c r="I177" s="1" t="str">
        <f>Seket!I$26</f>
        <v>S14</v>
      </c>
      <c r="J177" s="1" t="str">
        <f>CONCATENATE(tblParish[[#This Row],[DistCode]],"-",tblParish[[#This Row],[sCode]])</f>
        <v>D02-S14</v>
      </c>
      <c r="K177" s="1" t="e">
        <f>VLOOKUP(tblParish[[#This Row],[seketCode]],tblSeket,5,FALSE)</f>
        <v>#NAME?</v>
      </c>
      <c r="L177" s="1" t="s">
        <v>212</v>
      </c>
      <c r="M177" s="1" t="s">
        <v>389</v>
      </c>
    </row>
    <row r="178" spans="6:13" x14ac:dyDescent="0.35">
      <c r="F178" s="1" t="str">
        <f>CONCATENATE(tblParish[[#This Row],[seketCode]],"-",tblParish[[#This Row],[pCode]])</f>
        <v>D02-S14-P06</v>
      </c>
      <c r="G178" s="1" t="str">
        <f>Distrik!F$6</f>
        <v>D02</v>
      </c>
      <c r="H178" s="1" t="str">
        <f>VLOOKUP(tblParish[[#This Row],[DistCode]],tblDistrict[],2,FALSE)</f>
        <v>Jabem</v>
      </c>
      <c r="I178" s="1" t="str">
        <f>Seket!I$26</f>
        <v>S14</v>
      </c>
      <c r="J178" s="1" t="str">
        <f>CONCATENATE(tblParish[[#This Row],[DistCode]],"-",tblParish[[#This Row],[sCode]])</f>
        <v>D02-S14</v>
      </c>
      <c r="K178" s="1" t="e">
        <f>VLOOKUP(tblParish[[#This Row],[seketCode]],tblSeket,5,FALSE)</f>
        <v>#NAME?</v>
      </c>
      <c r="L178" s="1" t="s">
        <v>214</v>
      </c>
      <c r="M178" s="1" t="s">
        <v>390</v>
      </c>
    </row>
    <row r="179" spans="6:13" x14ac:dyDescent="0.35">
      <c r="F179" s="1" t="str">
        <f>CONCATENATE(tblParish[[#This Row],[seketCode]],"-",tblParish[[#This Row],[pCode]])</f>
        <v>D02-S01-P01</v>
      </c>
      <c r="G179" s="1" t="str">
        <f>Distrik!F$6</f>
        <v>D02</v>
      </c>
      <c r="H179" s="1" t="str">
        <f>VLOOKUP(tblParish[[#This Row],[DistCode]],tblDistrict[],2,FALSE)</f>
        <v>Jabem</v>
      </c>
      <c r="I179" s="1" t="str">
        <f>Seket!I$27</f>
        <v>S01</v>
      </c>
      <c r="J179" s="1" t="str">
        <f>CONCATENATE(tblParish[[#This Row],[DistCode]],"-",tblParish[[#This Row],[sCode]])</f>
        <v>D02-S01</v>
      </c>
      <c r="K179" s="1" t="e">
        <f>VLOOKUP(tblParish[[#This Row],[seketCode]],tblSeket,5,FALSE)</f>
        <v>#NAME?</v>
      </c>
      <c r="L179" s="1" t="s">
        <v>204</v>
      </c>
      <c r="M179" s="1" t="s">
        <v>391</v>
      </c>
    </row>
    <row r="180" spans="6:13" x14ac:dyDescent="0.35">
      <c r="F180" s="1" t="str">
        <f>CONCATENATE(tblParish[[#This Row],[seketCode]],"-",tblParish[[#This Row],[pCode]])</f>
        <v>D03-S01-P02</v>
      </c>
      <c r="G180" s="1" t="str">
        <f>Distrik!F$7</f>
        <v>D03</v>
      </c>
      <c r="H180" s="1" t="str">
        <f>VLOOKUP(tblParish[[#This Row],[DistCode]],tblDistrict[],2,FALSE)</f>
        <v>Madang</v>
      </c>
      <c r="I180" s="1" t="str">
        <f>Seket!I$27</f>
        <v>S01</v>
      </c>
      <c r="J180" s="1" t="str">
        <f>CONCATENATE(tblParish[[#This Row],[DistCode]],"-",tblParish[[#This Row],[sCode]])</f>
        <v>D03-S01</v>
      </c>
      <c r="K180" s="1" t="e">
        <f>VLOOKUP(tblParish[[#This Row],[seketCode]],tblSeket,5,FALSE)</f>
        <v>#NAME?</v>
      </c>
      <c r="L180" s="1" t="s">
        <v>206</v>
      </c>
      <c r="M180" s="1" t="s">
        <v>392</v>
      </c>
    </row>
    <row r="181" spans="6:13" x14ac:dyDescent="0.35">
      <c r="F181" s="1" t="str">
        <f>CONCATENATE(tblParish[[#This Row],[seketCode]],"-",tblParish[[#This Row],[pCode]])</f>
        <v>D03-S01-P03</v>
      </c>
      <c r="G181" s="1" t="str">
        <f>Distrik!F$7</f>
        <v>D03</v>
      </c>
      <c r="H181" s="1" t="str">
        <f>VLOOKUP(tblParish[[#This Row],[DistCode]],tblDistrict[],2,FALSE)</f>
        <v>Madang</v>
      </c>
      <c r="I181" s="1" t="str">
        <f>Seket!I$27</f>
        <v>S01</v>
      </c>
      <c r="J181" s="1" t="str">
        <f>CONCATENATE(tblParish[[#This Row],[DistCode]],"-",tblParish[[#This Row],[sCode]])</f>
        <v>D03-S01</v>
      </c>
      <c r="K181" s="1" t="e">
        <f>VLOOKUP(tblParish[[#This Row],[seketCode]],tblSeket,5,FALSE)</f>
        <v>#NAME?</v>
      </c>
      <c r="L181" s="1" t="s">
        <v>208</v>
      </c>
      <c r="M181" s="1" t="s">
        <v>393</v>
      </c>
    </row>
    <row r="182" spans="6:13" x14ac:dyDescent="0.35">
      <c r="F182" s="1" t="str">
        <f>CONCATENATE(tblParish[[#This Row],[seketCode]],"-",tblParish[[#This Row],[pCode]])</f>
        <v>D03-S01-P04</v>
      </c>
      <c r="G182" s="1" t="str">
        <f>Distrik!F$7</f>
        <v>D03</v>
      </c>
      <c r="H182" s="1" t="str">
        <f>VLOOKUP(tblParish[[#This Row],[DistCode]],tblDistrict[],2,FALSE)</f>
        <v>Madang</v>
      </c>
      <c r="I182" s="1" t="str">
        <f>Seket!I$27</f>
        <v>S01</v>
      </c>
      <c r="J182" s="1" t="str">
        <f>CONCATENATE(tblParish[[#This Row],[DistCode]],"-",tblParish[[#This Row],[sCode]])</f>
        <v>D03-S01</v>
      </c>
      <c r="K182" s="1" t="e">
        <f>VLOOKUP(tblParish[[#This Row],[seketCode]],tblSeket,5,FALSE)</f>
        <v>#NAME?</v>
      </c>
      <c r="L182" s="1" t="s">
        <v>210</v>
      </c>
      <c r="M182" s="1" t="s">
        <v>394</v>
      </c>
    </row>
    <row r="183" spans="6:13" x14ac:dyDescent="0.35">
      <c r="F183" s="1" t="str">
        <f>CONCATENATE(tblParish[[#This Row],[seketCode]],"-",tblParish[[#This Row],[pCode]])</f>
        <v>D03-S01-P05</v>
      </c>
      <c r="G183" s="1" t="str">
        <f>Distrik!F$7</f>
        <v>D03</v>
      </c>
      <c r="H183" s="1" t="str">
        <f>VLOOKUP(tblParish[[#This Row],[DistCode]],tblDistrict[],2,FALSE)</f>
        <v>Madang</v>
      </c>
      <c r="I183" s="1" t="str">
        <f>Seket!I$27</f>
        <v>S01</v>
      </c>
      <c r="J183" s="1" t="str">
        <f>CONCATENATE(tblParish[[#This Row],[DistCode]],"-",tblParish[[#This Row],[sCode]])</f>
        <v>D03-S01</v>
      </c>
      <c r="K183" s="1" t="e">
        <f>VLOOKUP(tblParish[[#This Row],[seketCode]],tblSeket,5,FALSE)</f>
        <v>#NAME?</v>
      </c>
      <c r="L183" s="1" t="s">
        <v>212</v>
      </c>
      <c r="M183" s="1" t="s">
        <v>395</v>
      </c>
    </row>
    <row r="184" spans="6:13" x14ac:dyDescent="0.35">
      <c r="F184" s="1" t="str">
        <f>CONCATENATE(tblParish[[#This Row],[seketCode]],"-",tblParish[[#This Row],[pCode]])</f>
        <v>D03-S01-P06</v>
      </c>
      <c r="G184" s="1" t="str">
        <f>Distrik!F$7</f>
        <v>D03</v>
      </c>
      <c r="H184" s="1" t="str">
        <f>VLOOKUP(tblParish[[#This Row],[DistCode]],tblDistrict[],2,FALSE)</f>
        <v>Madang</v>
      </c>
      <c r="I184" s="1" t="str">
        <f>Seket!I$27</f>
        <v>S01</v>
      </c>
      <c r="J184" s="1" t="str">
        <f>CONCATENATE(tblParish[[#This Row],[DistCode]],"-",tblParish[[#This Row],[sCode]])</f>
        <v>D03-S01</v>
      </c>
      <c r="K184" s="1" t="e">
        <f>VLOOKUP(tblParish[[#This Row],[seketCode]],tblSeket,5,FALSE)</f>
        <v>#NAME?</v>
      </c>
      <c r="L184" s="1" t="s">
        <v>214</v>
      </c>
      <c r="M184" s="1" t="s">
        <v>396</v>
      </c>
    </row>
    <row r="185" spans="6:13" x14ac:dyDescent="0.35">
      <c r="F185" s="1" t="str">
        <f>CONCATENATE(tblParish[[#This Row],[seketCode]],"-",tblParish[[#This Row],[pCode]])</f>
        <v>D03-S01-P07</v>
      </c>
      <c r="G185" s="1" t="str">
        <f>Distrik!F$7</f>
        <v>D03</v>
      </c>
      <c r="H185" s="1" t="str">
        <f>VLOOKUP(tblParish[[#This Row],[DistCode]],tblDistrict[],2,FALSE)</f>
        <v>Madang</v>
      </c>
      <c r="I185" s="1" t="str">
        <f>Seket!I$27</f>
        <v>S01</v>
      </c>
      <c r="J185" s="1" t="str">
        <f>CONCATENATE(tblParish[[#This Row],[DistCode]],"-",tblParish[[#This Row],[sCode]])</f>
        <v>D03-S01</v>
      </c>
      <c r="K185" s="1" t="e">
        <f>VLOOKUP(tblParish[[#This Row],[seketCode]],tblSeket,5,FALSE)</f>
        <v>#NAME?</v>
      </c>
      <c r="L185" s="1" t="s">
        <v>216</v>
      </c>
      <c r="M185" s="1" t="s">
        <v>131</v>
      </c>
    </row>
    <row r="186" spans="6:13" x14ac:dyDescent="0.35">
      <c r="F186" s="1" t="str">
        <f>CONCATENATE(tblParish[[#This Row],[seketCode]],"-",tblParish[[#This Row],[pCode]])</f>
        <v>D03-S03-P01</v>
      </c>
      <c r="G186" s="1" t="str">
        <f>Distrik!F$7</f>
        <v>D03</v>
      </c>
      <c r="H186" s="1" t="str">
        <f>VLOOKUP(tblParish[[#This Row],[DistCode]],tblDistrict[],2,FALSE)</f>
        <v>Madang</v>
      </c>
      <c r="I186" s="1" t="str">
        <f>Seket!I$29</f>
        <v>S03</v>
      </c>
      <c r="J186" s="1" t="str">
        <f>CONCATENATE(tblParish[[#This Row],[DistCode]],"-",tblParish[[#This Row],[sCode]])</f>
        <v>D03-S03</v>
      </c>
      <c r="K186" s="1" t="e">
        <f>VLOOKUP(tblParish[[#This Row],[seketCode]],tblSeket,5,FALSE)</f>
        <v>#NAME?</v>
      </c>
      <c r="L186" s="1" t="s">
        <v>204</v>
      </c>
      <c r="M186" s="1" t="s">
        <v>397</v>
      </c>
    </row>
    <row r="187" spans="6:13" x14ac:dyDescent="0.35">
      <c r="F187" s="1" t="str">
        <f>CONCATENATE(tblParish[[#This Row],[seketCode]],"-",tblParish[[#This Row],[pCode]])</f>
        <v>D03-S03-P02</v>
      </c>
      <c r="G187" s="1" t="str">
        <f>Distrik!F$7</f>
        <v>D03</v>
      </c>
      <c r="H187" s="1" t="str">
        <f>VLOOKUP(tblParish[[#This Row],[DistCode]],tblDistrict[],2,FALSE)</f>
        <v>Madang</v>
      </c>
      <c r="I187" s="1" t="str">
        <f>Seket!I$29</f>
        <v>S03</v>
      </c>
      <c r="J187" s="1" t="str">
        <f>CONCATENATE(tblParish[[#This Row],[DistCode]],"-",tblParish[[#This Row],[sCode]])</f>
        <v>D03-S03</v>
      </c>
      <c r="K187" s="1" t="e">
        <f>VLOOKUP(tblParish[[#This Row],[seketCode]],tblSeket,5,FALSE)</f>
        <v>#NAME?</v>
      </c>
      <c r="L187" s="1" t="s">
        <v>206</v>
      </c>
      <c r="M187" s="1" t="s">
        <v>398</v>
      </c>
    </row>
    <row r="188" spans="6:13" x14ac:dyDescent="0.35">
      <c r="F188" s="1" t="str">
        <f>CONCATENATE(tblParish[[#This Row],[seketCode]],"-",tblParish[[#This Row],[pCode]])</f>
        <v>D03-S03-P03</v>
      </c>
      <c r="G188" s="1" t="str">
        <f>Distrik!F$7</f>
        <v>D03</v>
      </c>
      <c r="H188" s="1" t="str">
        <f>VLOOKUP(tblParish[[#This Row],[DistCode]],tblDistrict[],2,FALSE)</f>
        <v>Madang</v>
      </c>
      <c r="I188" s="1" t="str">
        <f>Seket!I$29</f>
        <v>S03</v>
      </c>
      <c r="J188" s="1" t="str">
        <f>CONCATENATE(tblParish[[#This Row],[DistCode]],"-",tblParish[[#This Row],[sCode]])</f>
        <v>D03-S03</v>
      </c>
      <c r="K188" s="1" t="e">
        <f>VLOOKUP(tblParish[[#This Row],[seketCode]],tblSeket,5,FALSE)</f>
        <v>#NAME?</v>
      </c>
      <c r="L188" s="1" t="s">
        <v>208</v>
      </c>
      <c r="M188" s="1" t="s">
        <v>399</v>
      </c>
    </row>
    <row r="189" spans="6:13" x14ac:dyDescent="0.35">
      <c r="F189" s="1" t="str">
        <f>CONCATENATE(tblParish[[#This Row],[seketCode]],"-",tblParish[[#This Row],[pCode]])</f>
        <v>D03-S03-P04</v>
      </c>
      <c r="G189" s="1" t="str">
        <f>Distrik!F$7</f>
        <v>D03</v>
      </c>
      <c r="H189" s="1" t="str">
        <f>VLOOKUP(tblParish[[#This Row],[DistCode]],tblDistrict[],2,FALSE)</f>
        <v>Madang</v>
      </c>
      <c r="I189" s="1" t="str">
        <f>Seket!I$29</f>
        <v>S03</v>
      </c>
      <c r="J189" s="1" t="str">
        <f>CONCATENATE(tblParish[[#This Row],[DistCode]],"-",tblParish[[#This Row],[sCode]])</f>
        <v>D03-S03</v>
      </c>
      <c r="K189" s="1" t="e">
        <f>VLOOKUP(tblParish[[#This Row],[seketCode]],tblSeket,5,FALSE)</f>
        <v>#NAME?</v>
      </c>
      <c r="L189" s="1" t="s">
        <v>210</v>
      </c>
      <c r="M189" s="1" t="s">
        <v>400</v>
      </c>
    </row>
    <row r="190" spans="6:13" x14ac:dyDescent="0.35">
      <c r="F190" s="1" t="str">
        <f>CONCATENATE(tblParish[[#This Row],[seketCode]],"-",tblParish[[#This Row],[pCode]])</f>
        <v>D03-S03-P05</v>
      </c>
      <c r="G190" s="1" t="str">
        <f>Distrik!F$7</f>
        <v>D03</v>
      </c>
      <c r="H190" s="1" t="str">
        <f>VLOOKUP(tblParish[[#This Row],[DistCode]],tblDistrict[],2,FALSE)</f>
        <v>Madang</v>
      </c>
      <c r="I190" s="1" t="str">
        <f>Seket!I$29</f>
        <v>S03</v>
      </c>
      <c r="J190" s="1" t="str">
        <f>CONCATENATE(tblParish[[#This Row],[DistCode]],"-",tblParish[[#This Row],[sCode]])</f>
        <v>D03-S03</v>
      </c>
      <c r="K190" s="1" t="e">
        <f>VLOOKUP(tblParish[[#This Row],[seketCode]],tblSeket,5,FALSE)</f>
        <v>#NAME?</v>
      </c>
      <c r="L190" s="1" t="s">
        <v>212</v>
      </c>
      <c r="M190" s="1" t="s">
        <v>401</v>
      </c>
    </row>
    <row r="191" spans="6:13" x14ac:dyDescent="0.35">
      <c r="F191" s="1" t="str">
        <f>CONCATENATE(tblParish[[#This Row],[seketCode]],"-",tblParish[[#This Row],[pCode]])</f>
        <v>D03-S03-P06</v>
      </c>
      <c r="G191" s="1" t="str">
        <f>Distrik!F$7</f>
        <v>D03</v>
      </c>
      <c r="H191" s="1" t="str">
        <f>VLOOKUP(tblParish[[#This Row],[DistCode]],tblDistrict[],2,FALSE)</f>
        <v>Madang</v>
      </c>
      <c r="I191" s="1" t="str">
        <f>Seket!I$29</f>
        <v>S03</v>
      </c>
      <c r="J191" s="1" t="str">
        <f>CONCATENATE(tblParish[[#This Row],[DistCode]],"-",tblParish[[#This Row],[sCode]])</f>
        <v>D03-S03</v>
      </c>
      <c r="K191" s="1" t="e">
        <f>VLOOKUP(tblParish[[#This Row],[seketCode]],tblSeket,5,FALSE)</f>
        <v>#NAME?</v>
      </c>
      <c r="L191" s="1" t="s">
        <v>214</v>
      </c>
      <c r="M191" s="1" t="s">
        <v>402</v>
      </c>
    </row>
    <row r="192" spans="6:13" x14ac:dyDescent="0.35">
      <c r="F192" s="1" t="str">
        <f>CONCATENATE(tblParish[[#This Row],[seketCode]],"-",tblParish[[#This Row],[pCode]])</f>
        <v>D03-S03-P07</v>
      </c>
      <c r="G192" s="1" t="str">
        <f>Distrik!F$7</f>
        <v>D03</v>
      </c>
      <c r="H192" s="1" t="str">
        <f>VLOOKUP(tblParish[[#This Row],[DistCode]],tblDistrict[],2,FALSE)</f>
        <v>Madang</v>
      </c>
      <c r="I192" s="1" t="str">
        <f>Seket!I$29</f>
        <v>S03</v>
      </c>
      <c r="J192" s="1" t="str">
        <f>CONCATENATE(tblParish[[#This Row],[DistCode]],"-",tblParish[[#This Row],[sCode]])</f>
        <v>D03-S03</v>
      </c>
      <c r="K192" s="1" t="e">
        <f>VLOOKUP(tblParish[[#This Row],[seketCode]],tblSeket,5,FALSE)</f>
        <v>#NAME?</v>
      </c>
      <c r="L192" s="1" t="s">
        <v>216</v>
      </c>
      <c r="M192" s="1" t="s">
        <v>403</v>
      </c>
    </row>
    <row r="193" spans="6:13" x14ac:dyDescent="0.35">
      <c r="F193" s="1" t="str">
        <f>CONCATENATE(tblParish[[#This Row],[seketCode]],"-",tblParish[[#This Row],[pCode]])</f>
        <v>D03-S03-P08</v>
      </c>
      <c r="G193" s="1" t="str">
        <f>Distrik!F$7</f>
        <v>D03</v>
      </c>
      <c r="H193" s="1" t="str">
        <f>VLOOKUP(tblParish[[#This Row],[DistCode]],tblDistrict[],2,FALSE)</f>
        <v>Madang</v>
      </c>
      <c r="I193" s="1" t="str">
        <f>Seket!I$29</f>
        <v>S03</v>
      </c>
      <c r="J193" s="1" t="str">
        <f>CONCATENATE(tblParish[[#This Row],[DistCode]],"-",tblParish[[#This Row],[sCode]])</f>
        <v>D03-S03</v>
      </c>
      <c r="K193" s="1" t="e">
        <f>VLOOKUP(tblParish[[#This Row],[seketCode]],tblSeket,5,FALSE)</f>
        <v>#NAME?</v>
      </c>
      <c r="L193" s="1" t="s">
        <v>218</v>
      </c>
      <c r="M193" s="1" t="s">
        <v>404</v>
      </c>
    </row>
    <row r="194" spans="6:13" x14ac:dyDescent="0.35">
      <c r="F194" s="1" t="str">
        <f>CONCATENATE(tblParish[[#This Row],[seketCode]],"-",tblParish[[#This Row],[pCode]])</f>
        <v>D03-S04-P01</v>
      </c>
      <c r="G194" s="1" t="str">
        <f>Distrik!F$7</f>
        <v>D03</v>
      </c>
      <c r="H194" s="1" t="str">
        <f>VLOOKUP(tblParish[[#This Row],[DistCode]],tblDistrict[],2,FALSE)</f>
        <v>Madang</v>
      </c>
      <c r="I194" s="1" t="str">
        <f>Seket!I$30</f>
        <v>S04</v>
      </c>
      <c r="J194" s="1" t="str">
        <f>CONCATENATE(tblParish[[#This Row],[DistCode]],"-",tblParish[[#This Row],[sCode]])</f>
        <v>D03-S04</v>
      </c>
      <c r="K194" s="1" t="e">
        <f>VLOOKUP(tblParish[[#This Row],[seketCode]],tblSeket,5,FALSE)</f>
        <v>#NAME?</v>
      </c>
      <c r="L194" s="1" t="s">
        <v>204</v>
      </c>
      <c r="M194" s="1" t="s">
        <v>405</v>
      </c>
    </row>
    <row r="195" spans="6:13" x14ac:dyDescent="0.35">
      <c r="F195" s="1" t="str">
        <f>CONCATENATE(tblParish[[#This Row],[seketCode]],"-",tblParish[[#This Row],[pCode]])</f>
        <v>D03-S04-P02</v>
      </c>
      <c r="G195" s="1" t="str">
        <f>Distrik!F$7</f>
        <v>D03</v>
      </c>
      <c r="H195" s="1" t="str">
        <f>VLOOKUP(tblParish[[#This Row],[DistCode]],tblDistrict[],2,FALSE)</f>
        <v>Madang</v>
      </c>
      <c r="I195" s="1" t="str">
        <f>Seket!I$30</f>
        <v>S04</v>
      </c>
      <c r="J195" s="1" t="str">
        <f>CONCATENATE(tblParish[[#This Row],[DistCode]],"-",tblParish[[#This Row],[sCode]])</f>
        <v>D03-S04</v>
      </c>
      <c r="K195" s="1" t="e">
        <f>VLOOKUP(tblParish[[#This Row],[seketCode]],tblSeket,5,FALSE)</f>
        <v>#NAME?</v>
      </c>
      <c r="L195" s="1" t="s">
        <v>206</v>
      </c>
      <c r="M195" s="1" t="s">
        <v>406</v>
      </c>
    </row>
    <row r="196" spans="6:13" x14ac:dyDescent="0.35">
      <c r="F196" s="1" t="str">
        <f>CONCATENATE(tblParish[[#This Row],[seketCode]],"-",tblParish[[#This Row],[pCode]])</f>
        <v>D03-S04-P03</v>
      </c>
      <c r="G196" s="1" t="str">
        <f>Distrik!F$7</f>
        <v>D03</v>
      </c>
      <c r="H196" s="1" t="str">
        <f>VLOOKUP(tblParish[[#This Row],[DistCode]],tblDistrict[],2,FALSE)</f>
        <v>Madang</v>
      </c>
      <c r="I196" s="1" t="str">
        <f>Seket!I$30</f>
        <v>S04</v>
      </c>
      <c r="J196" s="1" t="str">
        <f>CONCATENATE(tblParish[[#This Row],[DistCode]],"-",tblParish[[#This Row],[sCode]])</f>
        <v>D03-S04</v>
      </c>
      <c r="K196" s="1" t="e">
        <f>VLOOKUP(tblParish[[#This Row],[seketCode]],tblSeket,5,FALSE)</f>
        <v>#NAME?</v>
      </c>
      <c r="L196" s="1" t="s">
        <v>208</v>
      </c>
      <c r="M196" s="1" t="s">
        <v>407</v>
      </c>
    </row>
    <row r="197" spans="6:13" x14ac:dyDescent="0.35">
      <c r="F197" s="1" t="str">
        <f>CONCATENATE(tblParish[[#This Row],[seketCode]],"-",tblParish[[#This Row],[pCode]])</f>
        <v>D03-S04-P04</v>
      </c>
      <c r="G197" s="1" t="str">
        <f>Distrik!F$7</f>
        <v>D03</v>
      </c>
      <c r="H197" s="1" t="str">
        <f>VLOOKUP(tblParish[[#This Row],[DistCode]],tblDistrict[],2,FALSE)</f>
        <v>Madang</v>
      </c>
      <c r="I197" s="1" t="str">
        <f>Seket!I$30</f>
        <v>S04</v>
      </c>
      <c r="J197" s="1" t="str">
        <f>CONCATENATE(tblParish[[#This Row],[DistCode]],"-",tblParish[[#This Row],[sCode]])</f>
        <v>D03-S04</v>
      </c>
      <c r="K197" s="1" t="e">
        <f>VLOOKUP(tblParish[[#This Row],[seketCode]],tblSeket,5,FALSE)</f>
        <v>#NAME?</v>
      </c>
      <c r="L197" s="1" t="s">
        <v>210</v>
      </c>
      <c r="M197" s="1" t="s">
        <v>408</v>
      </c>
    </row>
    <row r="198" spans="6:13" x14ac:dyDescent="0.35">
      <c r="F198" s="1" t="str">
        <f>CONCATENATE(tblParish[[#This Row],[seketCode]],"-",tblParish[[#This Row],[pCode]])</f>
        <v>D03-S04-P05</v>
      </c>
      <c r="G198" s="1" t="str">
        <f>Distrik!F$7</f>
        <v>D03</v>
      </c>
      <c r="H198" s="1" t="str">
        <f>VLOOKUP(tblParish[[#This Row],[DistCode]],tblDistrict[],2,FALSE)</f>
        <v>Madang</v>
      </c>
      <c r="I198" s="1" t="str">
        <f>Seket!I$30</f>
        <v>S04</v>
      </c>
      <c r="J198" s="1" t="str">
        <f>CONCATENATE(tblParish[[#This Row],[DistCode]],"-",tblParish[[#This Row],[sCode]])</f>
        <v>D03-S04</v>
      </c>
      <c r="K198" s="1" t="e">
        <f>VLOOKUP(tblParish[[#This Row],[seketCode]],tblSeket,5,FALSE)</f>
        <v>#NAME?</v>
      </c>
      <c r="L198" s="1" t="s">
        <v>212</v>
      </c>
      <c r="M198" s="1" t="s">
        <v>409</v>
      </c>
    </row>
    <row r="199" spans="6:13" x14ac:dyDescent="0.35">
      <c r="F199" s="1" t="str">
        <f>CONCATENATE(tblParish[[#This Row],[seketCode]],"-",tblParish[[#This Row],[pCode]])</f>
        <v>D03-S05-P01</v>
      </c>
      <c r="G199" s="1" t="str">
        <f>Distrik!F$7</f>
        <v>D03</v>
      </c>
      <c r="H199" s="1" t="str">
        <f>VLOOKUP(tblParish[[#This Row],[DistCode]],tblDistrict[],2,FALSE)</f>
        <v>Madang</v>
      </c>
      <c r="I199" s="1" t="str">
        <f>Seket!I$31</f>
        <v>S05</v>
      </c>
      <c r="J199" s="1" t="str">
        <f>CONCATENATE(tblParish[[#This Row],[DistCode]],"-",tblParish[[#This Row],[sCode]])</f>
        <v>D03-S05</v>
      </c>
      <c r="K199" s="1" t="e">
        <f>VLOOKUP(tblParish[[#This Row],[seketCode]],tblSeket,5,FALSE)</f>
        <v>#NAME?</v>
      </c>
      <c r="L199" s="1" t="s">
        <v>204</v>
      </c>
      <c r="M199" s="1" t="s">
        <v>410</v>
      </c>
    </row>
    <row r="200" spans="6:13" x14ac:dyDescent="0.35">
      <c r="F200" s="1" t="str">
        <f>CONCATENATE(tblParish[[#This Row],[seketCode]],"-",tblParish[[#This Row],[pCode]])</f>
        <v>D03-S05-P02</v>
      </c>
      <c r="G200" s="1" t="str">
        <f>Distrik!F$7</f>
        <v>D03</v>
      </c>
      <c r="H200" s="1" t="str">
        <f>VLOOKUP(tblParish[[#This Row],[DistCode]],tblDistrict[],2,FALSE)</f>
        <v>Madang</v>
      </c>
      <c r="I200" s="1" t="str">
        <f>Seket!I$31</f>
        <v>S05</v>
      </c>
      <c r="J200" s="1" t="str">
        <f>CONCATENATE(tblParish[[#This Row],[DistCode]],"-",tblParish[[#This Row],[sCode]])</f>
        <v>D03-S05</v>
      </c>
      <c r="K200" s="1" t="e">
        <f>VLOOKUP(tblParish[[#This Row],[seketCode]],tblSeket,5,FALSE)</f>
        <v>#NAME?</v>
      </c>
      <c r="L200" s="1" t="s">
        <v>206</v>
      </c>
      <c r="M200" s="1" t="s">
        <v>411</v>
      </c>
    </row>
    <row r="201" spans="6:13" x14ac:dyDescent="0.35">
      <c r="F201" s="1" t="str">
        <f>CONCATENATE(tblParish[[#This Row],[seketCode]],"-",tblParish[[#This Row],[pCode]])</f>
        <v>D03-S05-P03</v>
      </c>
      <c r="G201" s="1" t="str">
        <f>Distrik!F$7</f>
        <v>D03</v>
      </c>
      <c r="H201" s="1" t="str">
        <f>VLOOKUP(tblParish[[#This Row],[DistCode]],tblDistrict[],2,FALSE)</f>
        <v>Madang</v>
      </c>
      <c r="I201" s="1" t="str">
        <f>Seket!I$31</f>
        <v>S05</v>
      </c>
      <c r="J201" s="1" t="str">
        <f>CONCATENATE(tblParish[[#This Row],[DistCode]],"-",tblParish[[#This Row],[sCode]])</f>
        <v>D03-S05</v>
      </c>
      <c r="K201" s="1" t="e">
        <f>VLOOKUP(tblParish[[#This Row],[seketCode]],tblSeket,5,FALSE)</f>
        <v>#NAME?</v>
      </c>
      <c r="L201" s="1" t="s">
        <v>208</v>
      </c>
      <c r="M201" s="1" t="s">
        <v>412</v>
      </c>
    </row>
    <row r="202" spans="6:13" x14ac:dyDescent="0.35">
      <c r="F202" s="1" t="str">
        <f>CONCATENATE(tblParish[[#This Row],[seketCode]],"-",tblParish[[#This Row],[pCode]])</f>
        <v>D03-S06-P01</v>
      </c>
      <c r="G202" s="1" t="str">
        <f>Distrik!F$7</f>
        <v>D03</v>
      </c>
      <c r="H202" s="1" t="str">
        <f>VLOOKUP(tblParish[[#This Row],[DistCode]],tblDistrict[],2,FALSE)</f>
        <v>Madang</v>
      </c>
      <c r="I202" s="1" t="str">
        <f>Seket!I$32</f>
        <v>S06</v>
      </c>
      <c r="J202" s="1" t="str">
        <f>CONCATENATE(tblParish[[#This Row],[DistCode]],"-",tblParish[[#This Row],[sCode]])</f>
        <v>D03-S06</v>
      </c>
      <c r="K202" s="1" t="e">
        <f>VLOOKUP(tblParish[[#This Row],[seketCode]],tblSeket,5,FALSE)</f>
        <v>#NAME?</v>
      </c>
      <c r="L202" s="1" t="s">
        <v>204</v>
      </c>
      <c r="M202" s="1" t="s">
        <v>413</v>
      </c>
    </row>
    <row r="203" spans="6:13" x14ac:dyDescent="0.35">
      <c r="F203" s="1" t="str">
        <f>CONCATENATE(tblParish[[#This Row],[seketCode]],"-",tblParish[[#This Row],[pCode]])</f>
        <v>D03-S06-P02</v>
      </c>
      <c r="G203" s="1" t="str">
        <f>Distrik!F$7</f>
        <v>D03</v>
      </c>
      <c r="H203" s="1" t="str">
        <f>VLOOKUP(tblParish[[#This Row],[DistCode]],tblDistrict[],2,FALSE)</f>
        <v>Madang</v>
      </c>
      <c r="I203" s="1" t="str">
        <f>Seket!I$32</f>
        <v>S06</v>
      </c>
      <c r="J203" s="1" t="str">
        <f>CONCATENATE(tblParish[[#This Row],[DistCode]],"-",tblParish[[#This Row],[sCode]])</f>
        <v>D03-S06</v>
      </c>
      <c r="K203" s="1" t="e">
        <f>VLOOKUP(tblParish[[#This Row],[seketCode]],tblSeket,5,FALSE)</f>
        <v>#NAME?</v>
      </c>
      <c r="L203" s="1" t="s">
        <v>206</v>
      </c>
      <c r="M203" s="1" t="s">
        <v>414</v>
      </c>
    </row>
    <row r="204" spans="6:13" x14ac:dyDescent="0.35">
      <c r="F204" s="1" t="str">
        <f>CONCATENATE(tblParish[[#This Row],[seketCode]],"-",tblParish[[#This Row],[pCode]])</f>
        <v>D03-S06-P03</v>
      </c>
      <c r="G204" s="1" t="str">
        <f>Distrik!F$7</f>
        <v>D03</v>
      </c>
      <c r="H204" s="1" t="str">
        <f>VLOOKUP(tblParish[[#This Row],[DistCode]],tblDistrict[],2,FALSE)</f>
        <v>Madang</v>
      </c>
      <c r="I204" s="1" t="str">
        <f>Seket!I$32</f>
        <v>S06</v>
      </c>
      <c r="J204" s="1" t="str">
        <f>CONCATENATE(tblParish[[#This Row],[DistCode]],"-",tblParish[[#This Row],[sCode]])</f>
        <v>D03-S06</v>
      </c>
      <c r="K204" s="1" t="e">
        <f>VLOOKUP(tblParish[[#This Row],[seketCode]],tblSeket,5,FALSE)</f>
        <v>#NAME?</v>
      </c>
      <c r="L204" s="1" t="s">
        <v>208</v>
      </c>
      <c r="M204" s="1" t="s">
        <v>415</v>
      </c>
    </row>
    <row r="205" spans="6:13" x14ac:dyDescent="0.35">
      <c r="F205" s="1" t="str">
        <f>CONCATENATE(tblParish[[#This Row],[seketCode]],"-",tblParish[[#This Row],[pCode]])</f>
        <v>D03-S06-P04</v>
      </c>
      <c r="G205" s="1" t="str">
        <f>Distrik!F$7</f>
        <v>D03</v>
      </c>
      <c r="H205" s="1" t="str">
        <f>VLOOKUP(tblParish[[#This Row],[DistCode]],tblDistrict[],2,FALSE)</f>
        <v>Madang</v>
      </c>
      <c r="I205" s="1" t="str">
        <f>Seket!I$32</f>
        <v>S06</v>
      </c>
      <c r="J205" s="1" t="str">
        <f>CONCATENATE(tblParish[[#This Row],[DistCode]],"-",tblParish[[#This Row],[sCode]])</f>
        <v>D03-S06</v>
      </c>
      <c r="K205" s="1" t="e">
        <f>VLOOKUP(tblParish[[#This Row],[seketCode]],tblSeket,5,FALSE)</f>
        <v>#NAME?</v>
      </c>
      <c r="L205" s="1" t="s">
        <v>210</v>
      </c>
      <c r="M205" s="1" t="s">
        <v>416</v>
      </c>
    </row>
    <row r="206" spans="6:13" x14ac:dyDescent="0.35">
      <c r="F206" s="1" t="str">
        <f>CONCATENATE(tblParish[[#This Row],[seketCode]],"-",tblParish[[#This Row],[pCode]])</f>
        <v>D03-S08-P01</v>
      </c>
      <c r="G206" s="1" t="str">
        <f>Distrik!F$7</f>
        <v>D03</v>
      </c>
      <c r="H206" s="1" t="str">
        <f>VLOOKUP(tblParish[[#This Row],[DistCode]],tblDistrict[],2,FALSE)</f>
        <v>Madang</v>
      </c>
      <c r="I206" s="1" t="str">
        <f>Seket!I$34</f>
        <v>S08</v>
      </c>
      <c r="J206" s="1" t="str">
        <f>CONCATENATE(tblParish[[#This Row],[DistCode]],"-",tblParish[[#This Row],[sCode]])</f>
        <v>D03-S08</v>
      </c>
      <c r="K206" s="1" t="e">
        <f>VLOOKUP(tblParish[[#This Row],[seketCode]],tblSeket,5,FALSE)</f>
        <v>#NAME?</v>
      </c>
      <c r="L206" s="1" t="s">
        <v>204</v>
      </c>
      <c r="M206" s="1" t="s">
        <v>417</v>
      </c>
    </row>
    <row r="207" spans="6:13" x14ac:dyDescent="0.35">
      <c r="F207" s="1" t="str">
        <f>CONCATENATE(tblParish[[#This Row],[seketCode]],"-",tblParish[[#This Row],[pCode]])</f>
        <v>D03-S08-P02</v>
      </c>
      <c r="G207" s="1" t="str">
        <f>Distrik!F$7</f>
        <v>D03</v>
      </c>
      <c r="H207" s="1" t="str">
        <f>VLOOKUP(tblParish[[#This Row],[DistCode]],tblDistrict[],2,FALSE)</f>
        <v>Madang</v>
      </c>
      <c r="I207" s="1" t="str">
        <f>Seket!I$34</f>
        <v>S08</v>
      </c>
      <c r="J207" s="1" t="str">
        <f>CONCATENATE(tblParish[[#This Row],[DistCode]],"-",tblParish[[#This Row],[sCode]])</f>
        <v>D03-S08</v>
      </c>
      <c r="K207" s="1" t="e">
        <f>VLOOKUP(tblParish[[#This Row],[seketCode]],tblSeket,5,FALSE)</f>
        <v>#NAME?</v>
      </c>
      <c r="L207" s="1" t="s">
        <v>206</v>
      </c>
      <c r="M207" s="1" t="s">
        <v>418</v>
      </c>
    </row>
    <row r="208" spans="6:13" x14ac:dyDescent="0.35">
      <c r="F208" s="1" t="str">
        <f>CONCATENATE(tblParish[[#This Row],[seketCode]],"-",tblParish[[#This Row],[pCode]])</f>
        <v>D03-S08-P03</v>
      </c>
      <c r="G208" s="1" t="str">
        <f>Distrik!F$7</f>
        <v>D03</v>
      </c>
      <c r="H208" s="1" t="str">
        <f>VLOOKUP(tblParish[[#This Row],[DistCode]],tblDistrict[],2,FALSE)</f>
        <v>Madang</v>
      </c>
      <c r="I208" s="1" t="str">
        <f>Seket!I$34</f>
        <v>S08</v>
      </c>
      <c r="J208" s="1" t="str">
        <f>CONCATENATE(tblParish[[#This Row],[DistCode]],"-",tblParish[[#This Row],[sCode]])</f>
        <v>D03-S08</v>
      </c>
      <c r="K208" s="1" t="e">
        <f>VLOOKUP(tblParish[[#This Row],[seketCode]],tblSeket,5,FALSE)</f>
        <v>#NAME?</v>
      </c>
      <c r="L208" s="1" t="s">
        <v>208</v>
      </c>
      <c r="M208" s="1" t="s">
        <v>419</v>
      </c>
    </row>
    <row r="209" spans="6:13" x14ac:dyDescent="0.35">
      <c r="F209" s="1" t="str">
        <f>CONCATENATE(tblParish[[#This Row],[seketCode]],"-",tblParish[[#This Row],[pCode]])</f>
        <v>D03-S08-P04</v>
      </c>
      <c r="G209" s="1" t="str">
        <f>Distrik!F$7</f>
        <v>D03</v>
      </c>
      <c r="H209" s="1" t="str">
        <f>VLOOKUP(tblParish[[#This Row],[DistCode]],tblDistrict[],2,FALSE)</f>
        <v>Madang</v>
      </c>
      <c r="I209" s="1" t="str">
        <f>Seket!I$34</f>
        <v>S08</v>
      </c>
      <c r="J209" s="1" t="str">
        <f>CONCATENATE(tblParish[[#This Row],[DistCode]],"-",tblParish[[#This Row],[sCode]])</f>
        <v>D03-S08</v>
      </c>
      <c r="K209" s="1" t="e">
        <f>VLOOKUP(tblParish[[#This Row],[seketCode]],tblSeket,5,FALSE)</f>
        <v>#NAME?</v>
      </c>
      <c r="L209" s="1" t="s">
        <v>210</v>
      </c>
      <c r="M209" s="1" t="s">
        <v>420</v>
      </c>
    </row>
    <row r="210" spans="6:13" x14ac:dyDescent="0.35">
      <c r="F210" s="1" t="str">
        <f>CONCATENATE(tblParish[[#This Row],[seketCode]],"-",tblParish[[#This Row],[pCode]])</f>
        <v>D03-S08-P05</v>
      </c>
      <c r="G210" s="1" t="str">
        <f>Distrik!F$7</f>
        <v>D03</v>
      </c>
      <c r="H210" s="1" t="str">
        <f>VLOOKUP(tblParish[[#This Row],[DistCode]],tblDistrict[],2,FALSE)</f>
        <v>Madang</v>
      </c>
      <c r="I210" s="1" t="str">
        <f>Seket!I$34</f>
        <v>S08</v>
      </c>
      <c r="J210" s="1" t="str">
        <f>CONCATENATE(tblParish[[#This Row],[DistCode]],"-",tblParish[[#This Row],[sCode]])</f>
        <v>D03-S08</v>
      </c>
      <c r="K210" s="1" t="e">
        <f>VLOOKUP(tblParish[[#This Row],[seketCode]],tblSeket,5,FALSE)</f>
        <v>#NAME?</v>
      </c>
      <c r="L210" s="1" t="s">
        <v>212</v>
      </c>
      <c r="M210" s="1" t="s">
        <v>421</v>
      </c>
    </row>
    <row r="211" spans="6:13" x14ac:dyDescent="0.35">
      <c r="F211" s="1" t="str">
        <f>CONCATENATE(tblParish[[#This Row],[seketCode]],"-",tblParish[[#This Row],[pCode]])</f>
        <v>D03-S08-P06</v>
      </c>
      <c r="G211" s="1" t="str">
        <f>Distrik!F$7</f>
        <v>D03</v>
      </c>
      <c r="H211" s="1" t="str">
        <f>VLOOKUP(tblParish[[#This Row],[DistCode]],tblDistrict[],2,FALSE)</f>
        <v>Madang</v>
      </c>
      <c r="I211" s="1" t="str">
        <f>Seket!I$34</f>
        <v>S08</v>
      </c>
      <c r="J211" s="1" t="str">
        <f>CONCATENATE(tblParish[[#This Row],[DistCode]],"-",tblParish[[#This Row],[sCode]])</f>
        <v>D03-S08</v>
      </c>
      <c r="K211" s="1" t="e">
        <f>VLOOKUP(tblParish[[#This Row],[seketCode]],tblSeket,5,FALSE)</f>
        <v>#NAME?</v>
      </c>
      <c r="L211" s="1" t="s">
        <v>214</v>
      </c>
      <c r="M211" s="1" t="s">
        <v>422</v>
      </c>
    </row>
    <row r="212" spans="6:13" x14ac:dyDescent="0.35">
      <c r="F212" s="1" t="str">
        <f>CONCATENATE(tblParish[[#This Row],[seketCode]],"-",tblParish[[#This Row],[pCode]])</f>
        <v>D03-S08-P07</v>
      </c>
      <c r="G212" s="1" t="str">
        <f>Distrik!F$7</f>
        <v>D03</v>
      </c>
      <c r="H212" s="1" t="str">
        <f>VLOOKUP(tblParish[[#This Row],[DistCode]],tblDistrict[],2,FALSE)</f>
        <v>Madang</v>
      </c>
      <c r="I212" s="1" t="str">
        <f>Seket!I$34</f>
        <v>S08</v>
      </c>
      <c r="J212" s="1" t="str">
        <f>CONCATENATE(tblParish[[#This Row],[DistCode]],"-",tblParish[[#This Row],[sCode]])</f>
        <v>D03-S08</v>
      </c>
      <c r="K212" s="1" t="e">
        <f>VLOOKUP(tblParish[[#This Row],[seketCode]],tblSeket,5,FALSE)</f>
        <v>#NAME?</v>
      </c>
      <c r="L212" s="1" t="s">
        <v>216</v>
      </c>
      <c r="M212" s="1" t="s">
        <v>423</v>
      </c>
    </row>
    <row r="213" spans="6:13" x14ac:dyDescent="0.35">
      <c r="F213" s="1" t="str">
        <f>CONCATENATE(tblParish[[#This Row],[seketCode]],"-",tblParish[[#This Row],[pCode]])</f>
        <v>D04-S01-P01</v>
      </c>
      <c r="G213" s="1" t="str">
        <f>Distrik!F$8</f>
        <v>D04</v>
      </c>
      <c r="H213" s="1" t="str">
        <f>VLOOKUP(tblParish[[#This Row],[DistCode]],tblDistrict[],2,FALSE)</f>
        <v>Karkar</v>
      </c>
      <c r="I213" s="1" t="str">
        <f>Seket!I$35</f>
        <v>S01</v>
      </c>
      <c r="J213" s="1" t="str">
        <f>CONCATENATE(tblParish[[#This Row],[DistCode]],"-",tblParish[[#This Row],[sCode]])</f>
        <v>D04-S01</v>
      </c>
      <c r="K213" s="1" t="e">
        <f>VLOOKUP(tblParish[[#This Row],[seketCode]],tblSeket,5,FALSE)</f>
        <v>#NAME?</v>
      </c>
      <c r="L213" s="1" t="s">
        <v>204</v>
      </c>
      <c r="M213" s="1" t="s">
        <v>424</v>
      </c>
    </row>
    <row r="214" spans="6:13" x14ac:dyDescent="0.35">
      <c r="F214" s="1" t="str">
        <f>CONCATENATE(tblParish[[#This Row],[seketCode]],"-",tblParish[[#This Row],[pCode]])</f>
        <v>D04-S01-P02</v>
      </c>
      <c r="G214" s="1" t="str">
        <f>Distrik!F$8</f>
        <v>D04</v>
      </c>
      <c r="H214" s="1" t="str">
        <f>VLOOKUP(tblParish[[#This Row],[DistCode]],tblDistrict[],2,FALSE)</f>
        <v>Karkar</v>
      </c>
      <c r="I214" s="1" t="str">
        <f>Seket!I$35</f>
        <v>S01</v>
      </c>
      <c r="J214" s="1" t="str">
        <f>CONCATENATE(tblParish[[#This Row],[DistCode]],"-",tblParish[[#This Row],[sCode]])</f>
        <v>D04-S01</v>
      </c>
      <c r="K214" s="1" t="e">
        <f>VLOOKUP(tblParish[[#This Row],[seketCode]],tblSeket,5,FALSE)</f>
        <v>#NAME?</v>
      </c>
      <c r="L214" s="1" t="s">
        <v>206</v>
      </c>
      <c r="M214" s="1" t="s">
        <v>425</v>
      </c>
    </row>
    <row r="215" spans="6:13" x14ac:dyDescent="0.35">
      <c r="F215" s="1" t="str">
        <f>CONCATENATE(tblParish[[#This Row],[seketCode]],"-",tblParish[[#This Row],[pCode]])</f>
        <v>D04-S01-P03</v>
      </c>
      <c r="G215" s="1" t="str">
        <f>Distrik!F$8</f>
        <v>D04</v>
      </c>
      <c r="H215" s="1" t="str">
        <f>VLOOKUP(tblParish[[#This Row],[DistCode]],tblDistrict[],2,FALSE)</f>
        <v>Karkar</v>
      </c>
      <c r="I215" s="1" t="str">
        <f>Seket!I$35</f>
        <v>S01</v>
      </c>
      <c r="J215" s="1" t="str">
        <f>CONCATENATE(tblParish[[#This Row],[DistCode]],"-",tblParish[[#This Row],[sCode]])</f>
        <v>D04-S01</v>
      </c>
      <c r="K215" s="1" t="e">
        <f>VLOOKUP(tblParish[[#This Row],[seketCode]],tblSeket,5,FALSE)</f>
        <v>#NAME?</v>
      </c>
      <c r="L215" s="1" t="s">
        <v>208</v>
      </c>
      <c r="M215" s="1" t="s">
        <v>426</v>
      </c>
    </row>
    <row r="216" spans="6:13" x14ac:dyDescent="0.35">
      <c r="F216" s="1" t="str">
        <f>CONCATENATE(tblParish[[#This Row],[seketCode]],"-",tblParish[[#This Row],[pCode]])</f>
        <v>D04-S01-P04</v>
      </c>
      <c r="G216" s="1" t="str">
        <f>Distrik!F$8</f>
        <v>D04</v>
      </c>
      <c r="H216" s="1" t="str">
        <f>VLOOKUP(tblParish[[#This Row],[DistCode]],tblDistrict[],2,FALSE)</f>
        <v>Karkar</v>
      </c>
      <c r="I216" s="1" t="str">
        <f>Seket!I$35</f>
        <v>S01</v>
      </c>
      <c r="J216" s="1" t="str">
        <f>CONCATENATE(tblParish[[#This Row],[DistCode]],"-",tblParish[[#This Row],[sCode]])</f>
        <v>D04-S01</v>
      </c>
      <c r="K216" s="1" t="e">
        <f>VLOOKUP(tblParish[[#This Row],[seketCode]],tblSeket,5,FALSE)</f>
        <v>#NAME?</v>
      </c>
      <c r="L216" s="1" t="s">
        <v>210</v>
      </c>
      <c r="M216" s="1" t="s">
        <v>427</v>
      </c>
    </row>
    <row r="217" spans="6:13" x14ac:dyDescent="0.35">
      <c r="F217" s="1" t="str">
        <f>CONCATENATE(tblParish[[#This Row],[seketCode]],"-",tblParish[[#This Row],[pCode]])</f>
        <v>D04-S01-P05</v>
      </c>
      <c r="G217" s="1" t="str">
        <f>Distrik!F$8</f>
        <v>D04</v>
      </c>
      <c r="H217" s="1" t="str">
        <f>VLOOKUP(tblParish[[#This Row],[DistCode]],tblDistrict[],2,FALSE)</f>
        <v>Karkar</v>
      </c>
      <c r="I217" s="1" t="str">
        <f>Seket!I$35</f>
        <v>S01</v>
      </c>
      <c r="J217" s="1" t="str">
        <f>CONCATENATE(tblParish[[#This Row],[DistCode]],"-",tblParish[[#This Row],[sCode]])</f>
        <v>D04-S01</v>
      </c>
      <c r="K217" s="1" t="e">
        <f>VLOOKUP(tblParish[[#This Row],[seketCode]],tblSeket,5,FALSE)</f>
        <v>#NAME?</v>
      </c>
      <c r="L217" s="1" t="s">
        <v>212</v>
      </c>
      <c r="M217" s="1" t="s">
        <v>428</v>
      </c>
    </row>
    <row r="218" spans="6:13" x14ac:dyDescent="0.35">
      <c r="F218" s="1" t="str">
        <f>CONCATENATE(tblParish[[#This Row],[seketCode]],"-",tblParish[[#This Row],[pCode]])</f>
        <v>D04-S01-P06</v>
      </c>
      <c r="G218" s="1" t="str">
        <f>Distrik!F$8</f>
        <v>D04</v>
      </c>
      <c r="H218" s="1" t="str">
        <f>VLOOKUP(tblParish[[#This Row],[DistCode]],tblDistrict[],2,FALSE)</f>
        <v>Karkar</v>
      </c>
      <c r="I218" s="1" t="str">
        <f>Seket!I$35</f>
        <v>S01</v>
      </c>
      <c r="J218" s="1" t="str">
        <f>CONCATENATE(tblParish[[#This Row],[DistCode]],"-",tblParish[[#This Row],[sCode]])</f>
        <v>D04-S01</v>
      </c>
      <c r="K218" s="1" t="e">
        <f>VLOOKUP(tblParish[[#This Row],[seketCode]],tblSeket,5,FALSE)</f>
        <v>#NAME?</v>
      </c>
      <c r="L218" s="1" t="s">
        <v>214</v>
      </c>
      <c r="M218" s="1" t="s">
        <v>429</v>
      </c>
    </row>
    <row r="219" spans="6:13" x14ac:dyDescent="0.35">
      <c r="F219" s="1" t="str">
        <f>CONCATENATE(tblParish[[#This Row],[seketCode]],"-",tblParish[[#This Row],[pCode]])</f>
        <v>D04-S02-P01</v>
      </c>
      <c r="G219" s="1" t="str">
        <f>Distrik!F$8</f>
        <v>D04</v>
      </c>
      <c r="H219" s="1" t="str">
        <f>VLOOKUP(tblParish[[#This Row],[DistCode]],tblDistrict[],2,FALSE)</f>
        <v>Karkar</v>
      </c>
      <c r="I219" s="1" t="str">
        <f>Seket!I$36</f>
        <v>S02</v>
      </c>
      <c r="J219" s="1" t="str">
        <f>CONCATENATE(tblParish[[#This Row],[DistCode]],"-",tblParish[[#This Row],[sCode]])</f>
        <v>D04-S02</v>
      </c>
      <c r="K219" s="1" t="e">
        <f>VLOOKUP(tblParish[[#This Row],[seketCode]],tblSeket,5,FALSE)</f>
        <v>#NAME?</v>
      </c>
      <c r="L219" s="1" t="s">
        <v>204</v>
      </c>
      <c r="M219" s="1" t="s">
        <v>430</v>
      </c>
    </row>
    <row r="220" spans="6:13" x14ac:dyDescent="0.35">
      <c r="F220" s="1" t="str">
        <f>CONCATENATE(tblParish[[#This Row],[seketCode]],"-",tblParish[[#This Row],[pCode]])</f>
        <v>D04-S02-P02</v>
      </c>
      <c r="G220" s="1" t="str">
        <f>Distrik!F$8</f>
        <v>D04</v>
      </c>
      <c r="H220" s="1" t="str">
        <f>VLOOKUP(tblParish[[#This Row],[DistCode]],tblDistrict[],2,FALSE)</f>
        <v>Karkar</v>
      </c>
      <c r="I220" s="1" t="str">
        <f>Seket!I$36</f>
        <v>S02</v>
      </c>
      <c r="J220" s="1" t="str">
        <f>CONCATENATE(tblParish[[#This Row],[DistCode]],"-",tblParish[[#This Row],[sCode]])</f>
        <v>D04-S02</v>
      </c>
      <c r="K220" s="1" t="e">
        <f>VLOOKUP(tblParish[[#This Row],[seketCode]],tblSeket,5,FALSE)</f>
        <v>#NAME?</v>
      </c>
      <c r="L220" s="1" t="s">
        <v>206</v>
      </c>
      <c r="M220" s="1" t="s">
        <v>431</v>
      </c>
    </row>
    <row r="221" spans="6:13" x14ac:dyDescent="0.35">
      <c r="F221" s="1" t="str">
        <f>CONCATENATE(tblParish[[#This Row],[seketCode]],"-",tblParish[[#This Row],[pCode]])</f>
        <v>D04-S02-P03</v>
      </c>
      <c r="G221" s="1" t="str">
        <f>Distrik!F$8</f>
        <v>D04</v>
      </c>
      <c r="H221" s="1" t="str">
        <f>VLOOKUP(tblParish[[#This Row],[DistCode]],tblDistrict[],2,FALSE)</f>
        <v>Karkar</v>
      </c>
      <c r="I221" s="1" t="str">
        <f>Seket!I$36</f>
        <v>S02</v>
      </c>
      <c r="J221" s="1" t="str">
        <f>CONCATENATE(tblParish[[#This Row],[DistCode]],"-",tblParish[[#This Row],[sCode]])</f>
        <v>D04-S02</v>
      </c>
      <c r="K221" s="1" t="e">
        <f>VLOOKUP(tblParish[[#This Row],[seketCode]],tblSeket,5,FALSE)</f>
        <v>#NAME?</v>
      </c>
      <c r="L221" s="1" t="s">
        <v>208</v>
      </c>
      <c r="M221" s="1" t="s">
        <v>432</v>
      </c>
    </row>
    <row r="222" spans="6:13" x14ac:dyDescent="0.35">
      <c r="F222" s="1" t="str">
        <f>CONCATENATE(tblParish[[#This Row],[seketCode]],"-",tblParish[[#This Row],[pCode]])</f>
        <v>D04-S02-P04</v>
      </c>
      <c r="G222" s="1" t="str">
        <f>Distrik!F$8</f>
        <v>D04</v>
      </c>
      <c r="H222" s="1" t="str">
        <f>VLOOKUP(tblParish[[#This Row],[DistCode]],tblDistrict[],2,FALSE)</f>
        <v>Karkar</v>
      </c>
      <c r="I222" s="1" t="str">
        <f>Seket!I$36</f>
        <v>S02</v>
      </c>
      <c r="J222" s="1" t="str">
        <f>CONCATENATE(tblParish[[#This Row],[DistCode]],"-",tblParish[[#This Row],[sCode]])</f>
        <v>D04-S02</v>
      </c>
      <c r="K222" s="1" t="e">
        <f>VLOOKUP(tblParish[[#This Row],[seketCode]],tblSeket,5,FALSE)</f>
        <v>#NAME?</v>
      </c>
      <c r="L222" s="1" t="s">
        <v>210</v>
      </c>
      <c r="M222" s="1" t="s">
        <v>433</v>
      </c>
    </row>
    <row r="223" spans="6:13" x14ac:dyDescent="0.35">
      <c r="F223" s="1" t="str">
        <f>CONCATENATE(tblParish[[#This Row],[seketCode]],"-",tblParish[[#This Row],[pCode]])</f>
        <v>D04-S02-P05</v>
      </c>
      <c r="G223" s="1" t="str">
        <f>Distrik!F$8</f>
        <v>D04</v>
      </c>
      <c r="H223" s="1" t="str">
        <f>VLOOKUP(tblParish[[#This Row],[DistCode]],tblDistrict[],2,FALSE)</f>
        <v>Karkar</v>
      </c>
      <c r="I223" s="1" t="str">
        <f>Seket!I$36</f>
        <v>S02</v>
      </c>
      <c r="J223" s="1" t="str">
        <f>CONCATENATE(tblParish[[#This Row],[DistCode]],"-",tblParish[[#This Row],[sCode]])</f>
        <v>D04-S02</v>
      </c>
      <c r="K223" s="1" t="e">
        <f>VLOOKUP(tblParish[[#This Row],[seketCode]],tblSeket,5,FALSE)</f>
        <v>#NAME?</v>
      </c>
      <c r="L223" s="1" t="s">
        <v>212</v>
      </c>
      <c r="M223" s="1" t="s">
        <v>434</v>
      </c>
    </row>
    <row r="224" spans="6:13" x14ac:dyDescent="0.35">
      <c r="F224" s="1" t="str">
        <f>CONCATENATE(tblParish[[#This Row],[seketCode]],"-",tblParish[[#This Row],[pCode]])</f>
        <v>D04-S02-P06</v>
      </c>
      <c r="G224" s="1" t="str">
        <f>Distrik!F$8</f>
        <v>D04</v>
      </c>
      <c r="H224" s="1" t="str">
        <f>VLOOKUP(tblParish[[#This Row],[DistCode]],tblDistrict[],2,FALSE)</f>
        <v>Karkar</v>
      </c>
      <c r="I224" s="1" t="str">
        <f>Seket!I$36</f>
        <v>S02</v>
      </c>
      <c r="J224" s="1" t="str">
        <f>CONCATENATE(tblParish[[#This Row],[DistCode]],"-",tblParish[[#This Row],[sCode]])</f>
        <v>D04-S02</v>
      </c>
      <c r="K224" s="1" t="e">
        <f>VLOOKUP(tblParish[[#This Row],[seketCode]],tblSeket,5,FALSE)</f>
        <v>#NAME?</v>
      </c>
      <c r="L224" s="1" t="s">
        <v>214</v>
      </c>
      <c r="M224" s="1" t="s">
        <v>435</v>
      </c>
    </row>
    <row r="225" spans="6:13" x14ac:dyDescent="0.35">
      <c r="F225" s="1" t="str">
        <f>CONCATENATE(tblParish[[#This Row],[seketCode]],"-",tblParish[[#This Row],[pCode]])</f>
        <v>D04-S02-P07</v>
      </c>
      <c r="G225" s="1" t="str">
        <f>Distrik!F$8</f>
        <v>D04</v>
      </c>
      <c r="H225" s="1" t="str">
        <f>VLOOKUP(tblParish[[#This Row],[DistCode]],tblDistrict[],2,FALSE)</f>
        <v>Karkar</v>
      </c>
      <c r="I225" s="1" t="str">
        <f>Seket!I$36</f>
        <v>S02</v>
      </c>
      <c r="J225" s="1" t="str">
        <f>CONCATENATE(tblParish[[#This Row],[DistCode]],"-",tblParish[[#This Row],[sCode]])</f>
        <v>D04-S02</v>
      </c>
      <c r="K225" s="1" t="e">
        <f>VLOOKUP(tblParish[[#This Row],[seketCode]],tblSeket,5,FALSE)</f>
        <v>#NAME?</v>
      </c>
      <c r="L225" s="1" t="s">
        <v>216</v>
      </c>
      <c r="M225" s="1" t="s">
        <v>436</v>
      </c>
    </row>
    <row r="226" spans="6:13" x14ac:dyDescent="0.35">
      <c r="F226" s="1" t="str">
        <f>CONCATENATE(tblParish[[#This Row],[seketCode]],"-",tblParish[[#This Row],[pCode]])</f>
        <v>D04-S02-P08</v>
      </c>
      <c r="G226" s="1" t="str">
        <f>Distrik!F$8</f>
        <v>D04</v>
      </c>
      <c r="H226" s="1" t="str">
        <f>VLOOKUP(tblParish[[#This Row],[DistCode]],tblDistrict[],2,FALSE)</f>
        <v>Karkar</v>
      </c>
      <c r="I226" s="1" t="str">
        <f>Seket!I$36</f>
        <v>S02</v>
      </c>
      <c r="J226" s="1" t="str">
        <f>CONCATENATE(tblParish[[#This Row],[DistCode]],"-",tblParish[[#This Row],[sCode]])</f>
        <v>D04-S02</v>
      </c>
      <c r="K226" s="1" t="e">
        <f>VLOOKUP(tblParish[[#This Row],[seketCode]],tblSeket,5,FALSE)</f>
        <v>#NAME?</v>
      </c>
      <c r="L226" s="1" t="s">
        <v>218</v>
      </c>
      <c r="M226" s="1" t="s">
        <v>437</v>
      </c>
    </row>
    <row r="227" spans="6:13" x14ac:dyDescent="0.35">
      <c r="F227" s="1" t="str">
        <f>CONCATENATE(tblParish[[#This Row],[seketCode]],"-",tblParish[[#This Row],[pCode]])</f>
        <v>D04-S03-P01</v>
      </c>
      <c r="G227" s="1" t="str">
        <f>Distrik!F$8</f>
        <v>D04</v>
      </c>
      <c r="H227" s="1" t="str">
        <f>VLOOKUP(tblParish[[#This Row],[DistCode]],tblDistrict[],2,FALSE)</f>
        <v>Karkar</v>
      </c>
      <c r="I227" s="1" t="str">
        <f>Seket!I$37</f>
        <v>S03</v>
      </c>
      <c r="J227" s="1" t="str">
        <f>CONCATENATE(tblParish[[#This Row],[DistCode]],"-",tblParish[[#This Row],[sCode]])</f>
        <v>D04-S03</v>
      </c>
      <c r="K227" s="1" t="e">
        <f>VLOOKUP(tblParish[[#This Row],[seketCode]],tblSeket,5,FALSE)</f>
        <v>#NAME?</v>
      </c>
      <c r="L227" s="1" t="s">
        <v>204</v>
      </c>
      <c r="M227" s="1" t="s">
        <v>438</v>
      </c>
    </row>
    <row r="228" spans="6:13" x14ac:dyDescent="0.35">
      <c r="F228" s="1" t="str">
        <f>CONCATENATE(tblParish[[#This Row],[seketCode]],"-",tblParish[[#This Row],[pCode]])</f>
        <v>D04-S03-P02</v>
      </c>
      <c r="G228" s="1" t="str">
        <f>Distrik!F$8</f>
        <v>D04</v>
      </c>
      <c r="H228" s="1" t="str">
        <f>VLOOKUP(tblParish[[#This Row],[DistCode]],tblDistrict[],2,FALSE)</f>
        <v>Karkar</v>
      </c>
      <c r="I228" s="1" t="str">
        <f>Seket!I$37</f>
        <v>S03</v>
      </c>
      <c r="J228" s="1" t="str">
        <f>CONCATENATE(tblParish[[#This Row],[DistCode]],"-",tblParish[[#This Row],[sCode]])</f>
        <v>D04-S03</v>
      </c>
      <c r="K228" s="1" t="e">
        <f>VLOOKUP(tblParish[[#This Row],[seketCode]],tblSeket,5,FALSE)</f>
        <v>#NAME?</v>
      </c>
      <c r="L228" s="1" t="s">
        <v>206</v>
      </c>
      <c r="M228" s="1" t="s">
        <v>439</v>
      </c>
    </row>
    <row r="229" spans="6:13" x14ac:dyDescent="0.35">
      <c r="F229" s="1" t="str">
        <f>CONCATENATE(tblParish[[#This Row],[seketCode]],"-",tblParish[[#This Row],[pCode]])</f>
        <v>D04-S03-P03</v>
      </c>
      <c r="G229" s="1" t="str">
        <f>Distrik!F$8</f>
        <v>D04</v>
      </c>
      <c r="H229" s="1" t="str">
        <f>VLOOKUP(tblParish[[#This Row],[DistCode]],tblDistrict[],2,FALSE)</f>
        <v>Karkar</v>
      </c>
      <c r="I229" s="1" t="str">
        <f>Seket!I$37</f>
        <v>S03</v>
      </c>
      <c r="J229" s="1" t="str">
        <f>CONCATENATE(tblParish[[#This Row],[DistCode]],"-",tblParish[[#This Row],[sCode]])</f>
        <v>D04-S03</v>
      </c>
      <c r="K229" s="1" t="e">
        <f>VLOOKUP(tblParish[[#This Row],[seketCode]],tblSeket,5,FALSE)</f>
        <v>#NAME?</v>
      </c>
      <c r="L229" s="1" t="s">
        <v>208</v>
      </c>
      <c r="M229" s="1" t="s">
        <v>440</v>
      </c>
    </row>
    <row r="230" spans="6:13" x14ac:dyDescent="0.35">
      <c r="F230" s="1" t="str">
        <f>CONCATENATE(tblParish[[#This Row],[seketCode]],"-",tblParish[[#This Row],[pCode]])</f>
        <v>D04-S03-P04</v>
      </c>
      <c r="G230" s="1" t="str">
        <f>Distrik!F$8</f>
        <v>D04</v>
      </c>
      <c r="H230" s="1" t="str">
        <f>VLOOKUP(tblParish[[#This Row],[DistCode]],tblDistrict[],2,FALSE)</f>
        <v>Karkar</v>
      </c>
      <c r="I230" s="1" t="str">
        <f>Seket!I$37</f>
        <v>S03</v>
      </c>
      <c r="J230" s="1" t="str">
        <f>CONCATENATE(tblParish[[#This Row],[DistCode]],"-",tblParish[[#This Row],[sCode]])</f>
        <v>D04-S03</v>
      </c>
      <c r="K230" s="1" t="e">
        <f>VLOOKUP(tblParish[[#This Row],[seketCode]],tblSeket,5,FALSE)</f>
        <v>#NAME?</v>
      </c>
      <c r="L230" s="1" t="s">
        <v>210</v>
      </c>
      <c r="M230" s="1" t="s">
        <v>441</v>
      </c>
    </row>
    <row r="231" spans="6:13" x14ac:dyDescent="0.35">
      <c r="F231" s="1" t="str">
        <f>CONCATENATE(tblParish[[#This Row],[seketCode]],"-",tblParish[[#This Row],[pCode]])</f>
        <v>D04-S03-P05</v>
      </c>
      <c r="G231" s="1" t="str">
        <f>Distrik!F$8</f>
        <v>D04</v>
      </c>
      <c r="H231" s="1" t="str">
        <f>VLOOKUP(tblParish[[#This Row],[DistCode]],tblDistrict[],2,FALSE)</f>
        <v>Karkar</v>
      </c>
      <c r="I231" s="1" t="str">
        <f>Seket!I$37</f>
        <v>S03</v>
      </c>
      <c r="J231" s="1" t="str">
        <f>CONCATENATE(tblParish[[#This Row],[DistCode]],"-",tblParish[[#This Row],[sCode]])</f>
        <v>D04-S03</v>
      </c>
      <c r="K231" s="1" t="e">
        <f>VLOOKUP(tblParish[[#This Row],[seketCode]],tblSeket,5,FALSE)</f>
        <v>#NAME?</v>
      </c>
      <c r="L231" s="1" t="s">
        <v>212</v>
      </c>
      <c r="M231" s="1" t="s">
        <v>442</v>
      </c>
    </row>
    <row r="232" spans="6:13" x14ac:dyDescent="0.35">
      <c r="F232" s="1" t="str">
        <f>CONCATENATE(tblParish[[#This Row],[seketCode]],"-",tblParish[[#This Row],[pCode]])</f>
        <v>D04-S04-P01</v>
      </c>
      <c r="G232" s="1" t="str">
        <f>Distrik!F$8</f>
        <v>D04</v>
      </c>
      <c r="H232" s="1" t="str">
        <f>VLOOKUP(tblParish[[#This Row],[DistCode]],tblDistrict[],2,FALSE)</f>
        <v>Karkar</v>
      </c>
      <c r="I232" s="1" t="str">
        <f>Seket!I$38</f>
        <v>S04</v>
      </c>
      <c r="J232" s="1" t="str">
        <f>CONCATENATE(tblParish[[#This Row],[DistCode]],"-",tblParish[[#This Row],[sCode]])</f>
        <v>D04-S04</v>
      </c>
      <c r="K232" s="1" t="e">
        <f>VLOOKUP(tblParish[[#This Row],[seketCode]],tblSeket,5,FALSE)</f>
        <v>#NAME?</v>
      </c>
      <c r="L232" s="1" t="s">
        <v>204</v>
      </c>
      <c r="M232" s="1" t="s">
        <v>443</v>
      </c>
    </row>
    <row r="233" spans="6:13" x14ac:dyDescent="0.35">
      <c r="F233" s="1" t="str">
        <f>CONCATENATE(tblParish[[#This Row],[seketCode]],"-",tblParish[[#This Row],[pCode]])</f>
        <v>D04-S04-P02</v>
      </c>
      <c r="G233" s="1" t="str">
        <f>Distrik!F$8</f>
        <v>D04</v>
      </c>
      <c r="H233" s="1" t="str">
        <f>VLOOKUP(tblParish[[#This Row],[DistCode]],tblDistrict[],2,FALSE)</f>
        <v>Karkar</v>
      </c>
      <c r="I233" s="1" t="str">
        <f>Seket!I$38</f>
        <v>S04</v>
      </c>
      <c r="J233" s="1" t="str">
        <f>CONCATENATE(tblParish[[#This Row],[DistCode]],"-",tblParish[[#This Row],[sCode]])</f>
        <v>D04-S04</v>
      </c>
      <c r="K233" s="1" t="e">
        <f>VLOOKUP(tblParish[[#This Row],[seketCode]],tblSeket,5,FALSE)</f>
        <v>#NAME?</v>
      </c>
      <c r="L233" s="1" t="s">
        <v>206</v>
      </c>
      <c r="M233" s="1" t="s">
        <v>444</v>
      </c>
    </row>
    <row r="234" spans="6:13" x14ac:dyDescent="0.35">
      <c r="F234" s="1" t="str">
        <f>CONCATENATE(tblParish[[#This Row],[seketCode]],"-",tblParish[[#This Row],[pCode]])</f>
        <v>D04-S04-P03</v>
      </c>
      <c r="G234" s="1" t="str">
        <f>Distrik!F$8</f>
        <v>D04</v>
      </c>
      <c r="H234" s="1" t="str">
        <f>VLOOKUP(tblParish[[#This Row],[DistCode]],tblDistrict[],2,FALSE)</f>
        <v>Karkar</v>
      </c>
      <c r="I234" s="1" t="str">
        <f>Seket!I$38</f>
        <v>S04</v>
      </c>
      <c r="J234" s="1" t="str">
        <f>CONCATENATE(tblParish[[#This Row],[DistCode]],"-",tblParish[[#This Row],[sCode]])</f>
        <v>D04-S04</v>
      </c>
      <c r="K234" s="1" t="e">
        <f>VLOOKUP(tblParish[[#This Row],[seketCode]],tblSeket,5,FALSE)</f>
        <v>#NAME?</v>
      </c>
      <c r="L234" s="1" t="s">
        <v>208</v>
      </c>
      <c r="M234" s="1" t="s">
        <v>445</v>
      </c>
    </row>
    <row r="235" spans="6:13" x14ac:dyDescent="0.35">
      <c r="F235" s="1" t="str">
        <f>CONCATENATE(tblParish[[#This Row],[seketCode]],"-",tblParish[[#This Row],[pCode]])</f>
        <v>D04-S04-P04</v>
      </c>
      <c r="G235" s="1" t="str">
        <f>Distrik!F$8</f>
        <v>D04</v>
      </c>
      <c r="H235" s="1" t="str">
        <f>VLOOKUP(tblParish[[#This Row],[DistCode]],tblDistrict[],2,FALSE)</f>
        <v>Karkar</v>
      </c>
      <c r="I235" s="1" t="str">
        <f>Seket!I$38</f>
        <v>S04</v>
      </c>
      <c r="J235" s="1" t="str">
        <f>CONCATENATE(tblParish[[#This Row],[DistCode]],"-",tblParish[[#This Row],[sCode]])</f>
        <v>D04-S04</v>
      </c>
      <c r="K235" s="1" t="e">
        <f>VLOOKUP(tblParish[[#This Row],[seketCode]],tblSeket,5,FALSE)</f>
        <v>#NAME?</v>
      </c>
      <c r="L235" s="1" t="s">
        <v>210</v>
      </c>
      <c r="M235" s="1" t="s">
        <v>446</v>
      </c>
    </row>
    <row r="236" spans="6:13" x14ac:dyDescent="0.35">
      <c r="F236" s="1" t="str">
        <f>CONCATENATE(tblParish[[#This Row],[seketCode]],"-",tblParish[[#This Row],[pCode]])</f>
        <v>D04-S05-P01</v>
      </c>
      <c r="G236" s="1" t="str">
        <f>Distrik!F$8</f>
        <v>D04</v>
      </c>
      <c r="H236" s="1" t="str">
        <f>VLOOKUP(tblParish[[#This Row],[DistCode]],tblDistrict[],2,FALSE)</f>
        <v>Karkar</v>
      </c>
      <c r="I236" s="1" t="str">
        <f>Seket!I$39</f>
        <v>S05</v>
      </c>
      <c r="J236" s="1" t="str">
        <f>CONCATENATE(tblParish[[#This Row],[DistCode]],"-",tblParish[[#This Row],[sCode]])</f>
        <v>D04-S05</v>
      </c>
      <c r="K236" s="1" t="e">
        <f>VLOOKUP(tblParish[[#This Row],[seketCode]],tblSeket,5,FALSE)</f>
        <v>#NAME?</v>
      </c>
      <c r="L236" s="1" t="s">
        <v>204</v>
      </c>
      <c r="M236" s="1" t="s">
        <v>447</v>
      </c>
    </row>
    <row r="237" spans="6:13" x14ac:dyDescent="0.35">
      <c r="F237" s="1" t="str">
        <f>CONCATENATE(tblParish[[#This Row],[seketCode]],"-",tblParish[[#This Row],[pCode]])</f>
        <v>D04-S05-P02</v>
      </c>
      <c r="G237" s="1" t="str">
        <f>Distrik!F$8</f>
        <v>D04</v>
      </c>
      <c r="H237" s="1" t="str">
        <f>VLOOKUP(tblParish[[#This Row],[DistCode]],tblDistrict[],2,FALSE)</f>
        <v>Karkar</v>
      </c>
      <c r="I237" s="1" t="str">
        <f>Seket!I$39</f>
        <v>S05</v>
      </c>
      <c r="J237" s="1" t="str">
        <f>CONCATENATE(tblParish[[#This Row],[DistCode]],"-",tblParish[[#This Row],[sCode]])</f>
        <v>D04-S05</v>
      </c>
      <c r="K237" s="1" t="e">
        <f>VLOOKUP(tblParish[[#This Row],[seketCode]],tblSeket,5,FALSE)</f>
        <v>#NAME?</v>
      </c>
      <c r="L237" s="1" t="s">
        <v>206</v>
      </c>
      <c r="M237" s="1" t="s">
        <v>448</v>
      </c>
    </row>
    <row r="238" spans="6:13" x14ac:dyDescent="0.35">
      <c r="F238" s="1" t="str">
        <f>CONCATENATE(tblParish[[#This Row],[seketCode]],"-",tblParish[[#This Row],[pCode]])</f>
        <v>D04-S05-P03</v>
      </c>
      <c r="G238" s="1" t="str">
        <f>Distrik!F$8</f>
        <v>D04</v>
      </c>
      <c r="H238" s="1" t="str">
        <f>VLOOKUP(tblParish[[#This Row],[DistCode]],tblDistrict[],2,FALSE)</f>
        <v>Karkar</v>
      </c>
      <c r="I238" s="1" t="str">
        <f>Seket!I$39</f>
        <v>S05</v>
      </c>
      <c r="J238" s="1" t="str">
        <f>CONCATENATE(tblParish[[#This Row],[DistCode]],"-",tblParish[[#This Row],[sCode]])</f>
        <v>D04-S05</v>
      </c>
      <c r="K238" s="1" t="e">
        <f>VLOOKUP(tblParish[[#This Row],[seketCode]],tblSeket,5,FALSE)</f>
        <v>#NAME?</v>
      </c>
      <c r="L238" s="1" t="s">
        <v>208</v>
      </c>
      <c r="M238" s="1" t="s">
        <v>449</v>
      </c>
    </row>
    <row r="239" spans="6:13" x14ac:dyDescent="0.35">
      <c r="F239" s="1" t="str">
        <f>CONCATENATE(tblParish[[#This Row],[seketCode]],"-",tblParish[[#This Row],[pCode]])</f>
        <v>D04-S05-P04</v>
      </c>
      <c r="G239" s="1" t="str">
        <f>Distrik!F$8</f>
        <v>D04</v>
      </c>
      <c r="H239" s="1" t="str">
        <f>VLOOKUP(tblParish[[#This Row],[DistCode]],tblDistrict[],2,FALSE)</f>
        <v>Karkar</v>
      </c>
      <c r="I239" s="1" t="str">
        <f>Seket!I$39</f>
        <v>S05</v>
      </c>
      <c r="J239" s="1" t="str">
        <f>CONCATENATE(tblParish[[#This Row],[DistCode]],"-",tblParish[[#This Row],[sCode]])</f>
        <v>D04-S05</v>
      </c>
      <c r="K239" s="1" t="e">
        <f>VLOOKUP(tblParish[[#This Row],[seketCode]],tblSeket,5,FALSE)</f>
        <v>#NAME?</v>
      </c>
      <c r="L239" s="1" t="s">
        <v>210</v>
      </c>
      <c r="M239" s="1" t="s">
        <v>450</v>
      </c>
    </row>
    <row r="240" spans="6:13" x14ac:dyDescent="0.35">
      <c r="F240" s="1" t="str">
        <f>CONCATENATE(tblParish[[#This Row],[seketCode]],"-",tblParish[[#This Row],[pCode]])</f>
        <v>D04-S06-P01</v>
      </c>
      <c r="G240" s="1" t="str">
        <f>Distrik!F$8</f>
        <v>D04</v>
      </c>
      <c r="H240" s="1" t="str">
        <f>VLOOKUP(tblParish[[#This Row],[DistCode]],tblDistrict[],2,FALSE)</f>
        <v>Karkar</v>
      </c>
      <c r="I240" s="1" t="str">
        <f>Seket!I$40</f>
        <v>S06</v>
      </c>
      <c r="J240" s="1" t="str">
        <f>CONCATENATE(tblParish[[#This Row],[DistCode]],"-",tblParish[[#This Row],[sCode]])</f>
        <v>D04-S06</v>
      </c>
      <c r="K240" s="1" t="e">
        <f>VLOOKUP(tblParish[[#This Row],[seketCode]],tblSeket,5,FALSE)</f>
        <v>#NAME?</v>
      </c>
      <c r="L240" s="1" t="s">
        <v>204</v>
      </c>
      <c r="M240" s="1" t="s">
        <v>451</v>
      </c>
    </row>
    <row r="241" spans="6:13" x14ac:dyDescent="0.35">
      <c r="F241" s="1" t="str">
        <f>CONCATENATE(tblParish[[#This Row],[seketCode]],"-",tblParish[[#This Row],[pCode]])</f>
        <v>D04-S06-P02</v>
      </c>
      <c r="G241" s="1" t="str">
        <f>Distrik!F$8</f>
        <v>D04</v>
      </c>
      <c r="H241" s="1" t="str">
        <f>VLOOKUP(tblParish[[#This Row],[DistCode]],tblDistrict[],2,FALSE)</f>
        <v>Karkar</v>
      </c>
      <c r="I241" s="1" t="str">
        <f>Seket!I$40</f>
        <v>S06</v>
      </c>
      <c r="J241" s="1" t="str">
        <f>CONCATENATE(tblParish[[#This Row],[DistCode]],"-",tblParish[[#This Row],[sCode]])</f>
        <v>D04-S06</v>
      </c>
      <c r="K241" s="1" t="e">
        <f>VLOOKUP(tblParish[[#This Row],[seketCode]],tblSeket,5,FALSE)</f>
        <v>#NAME?</v>
      </c>
      <c r="L241" s="1" t="s">
        <v>206</v>
      </c>
      <c r="M241" s="1" t="s">
        <v>452</v>
      </c>
    </row>
    <row r="242" spans="6:13" x14ac:dyDescent="0.35">
      <c r="F242" s="1" t="str">
        <f>CONCATENATE(tblParish[[#This Row],[seketCode]],"-",tblParish[[#This Row],[pCode]])</f>
        <v>D04-S06-P03</v>
      </c>
      <c r="G242" s="1" t="str">
        <f>Distrik!F$8</f>
        <v>D04</v>
      </c>
      <c r="H242" s="1" t="str">
        <f>VLOOKUP(tblParish[[#This Row],[DistCode]],tblDistrict[],2,FALSE)</f>
        <v>Karkar</v>
      </c>
      <c r="I242" s="1" t="str">
        <f>Seket!I$40</f>
        <v>S06</v>
      </c>
      <c r="J242" s="1" t="str">
        <f>CONCATENATE(tblParish[[#This Row],[DistCode]],"-",tblParish[[#This Row],[sCode]])</f>
        <v>D04-S06</v>
      </c>
      <c r="K242" s="1" t="e">
        <f>VLOOKUP(tblParish[[#This Row],[seketCode]],tblSeket,5,FALSE)</f>
        <v>#NAME?</v>
      </c>
      <c r="L242" s="1" t="s">
        <v>208</v>
      </c>
      <c r="M242" s="1" t="s">
        <v>453</v>
      </c>
    </row>
    <row r="243" spans="6:13" x14ac:dyDescent="0.35">
      <c r="F243" s="1" t="str">
        <f>CONCATENATE(tblParish[[#This Row],[seketCode]],"-",tblParish[[#This Row],[pCode]])</f>
        <v>D04-S06-P04</v>
      </c>
      <c r="G243" s="1" t="str">
        <f>Distrik!F$8</f>
        <v>D04</v>
      </c>
      <c r="H243" s="1" t="str">
        <f>VLOOKUP(tblParish[[#This Row],[DistCode]],tblDistrict[],2,FALSE)</f>
        <v>Karkar</v>
      </c>
      <c r="I243" s="1" t="str">
        <f>Seket!I$40</f>
        <v>S06</v>
      </c>
      <c r="J243" s="1" t="str">
        <f>CONCATENATE(tblParish[[#This Row],[DistCode]],"-",tblParish[[#This Row],[sCode]])</f>
        <v>D04-S06</v>
      </c>
      <c r="K243" s="1" t="e">
        <f>VLOOKUP(tblParish[[#This Row],[seketCode]],tblSeket,5,FALSE)</f>
        <v>#NAME?</v>
      </c>
      <c r="L243" s="1" t="s">
        <v>210</v>
      </c>
      <c r="M243" s="1" t="s">
        <v>454</v>
      </c>
    </row>
    <row r="244" spans="6:13" x14ac:dyDescent="0.35">
      <c r="F244" s="1" t="str">
        <f>CONCATENATE(tblParish[[#This Row],[seketCode]],"-",tblParish[[#This Row],[pCode]])</f>
        <v>D05-S01-P01</v>
      </c>
      <c r="G244" s="1" t="str">
        <f>Distrik!F$9</f>
        <v>D05</v>
      </c>
      <c r="H244" s="1" t="str">
        <f>VLOOKUP(tblParish[[#This Row],[DistCode]],tblDistrict[],2,FALSE)</f>
        <v>Siassi</v>
      </c>
      <c r="I244" s="1" t="str">
        <f>Seket!I$41</f>
        <v>S01</v>
      </c>
      <c r="J244" s="1" t="str">
        <f>CONCATENATE(tblParish[[#This Row],[DistCode]],"-",tblParish[[#This Row],[sCode]])</f>
        <v>D05-S01</v>
      </c>
      <c r="K244" s="1" t="e">
        <f>VLOOKUP(tblParish[[#This Row],[seketCode]],tblSeket,5,FALSE)</f>
        <v>#NAME?</v>
      </c>
      <c r="L244" s="1" t="s">
        <v>204</v>
      </c>
      <c r="M244" s="1" t="s">
        <v>455</v>
      </c>
    </row>
    <row r="245" spans="6:13" x14ac:dyDescent="0.35">
      <c r="F245" s="1" t="str">
        <f>CONCATENATE(tblParish[[#This Row],[seketCode]],"-",tblParish[[#This Row],[pCode]])</f>
        <v>D05-S01-P02</v>
      </c>
      <c r="G245" s="1" t="str">
        <f>Distrik!F$9</f>
        <v>D05</v>
      </c>
      <c r="H245" s="1" t="str">
        <f>VLOOKUP(tblParish[[#This Row],[DistCode]],tblDistrict[],2,FALSE)</f>
        <v>Siassi</v>
      </c>
      <c r="I245" s="1" t="str">
        <f>Seket!I$41</f>
        <v>S01</v>
      </c>
      <c r="J245" s="1" t="str">
        <f>CONCATENATE(tblParish[[#This Row],[DistCode]],"-",tblParish[[#This Row],[sCode]])</f>
        <v>D05-S01</v>
      </c>
      <c r="K245" s="1" t="e">
        <f>VLOOKUP(tblParish[[#This Row],[seketCode]],tblSeket,5,FALSE)</f>
        <v>#NAME?</v>
      </c>
      <c r="L245" s="1" t="s">
        <v>206</v>
      </c>
      <c r="M245" s="1" t="s">
        <v>456</v>
      </c>
    </row>
    <row r="246" spans="6:13" x14ac:dyDescent="0.35">
      <c r="F246" s="1" t="str">
        <f>CONCATENATE(tblParish[[#This Row],[seketCode]],"-",tblParish[[#This Row],[pCode]])</f>
        <v>D05-S01-P03</v>
      </c>
      <c r="G246" s="1" t="str">
        <f>Distrik!F$9</f>
        <v>D05</v>
      </c>
      <c r="H246" s="1" t="str">
        <f>VLOOKUP(tblParish[[#This Row],[DistCode]],tblDistrict[],2,FALSE)</f>
        <v>Siassi</v>
      </c>
      <c r="I246" s="1" t="str">
        <f>Seket!I$41</f>
        <v>S01</v>
      </c>
      <c r="J246" s="1" t="str">
        <f>CONCATENATE(tblParish[[#This Row],[DistCode]],"-",tblParish[[#This Row],[sCode]])</f>
        <v>D05-S01</v>
      </c>
      <c r="K246" s="1" t="e">
        <f>VLOOKUP(tblParish[[#This Row],[seketCode]],tblSeket,5,FALSE)</f>
        <v>#NAME?</v>
      </c>
      <c r="L246" s="1" t="s">
        <v>208</v>
      </c>
      <c r="M246" s="1" t="s">
        <v>457</v>
      </c>
    </row>
    <row r="247" spans="6:13" x14ac:dyDescent="0.35">
      <c r="F247" s="1" t="str">
        <f>CONCATENATE(tblParish[[#This Row],[seketCode]],"-",tblParish[[#This Row],[pCode]])</f>
        <v>D05-S01-P04</v>
      </c>
      <c r="G247" s="1" t="str">
        <f>Distrik!F$9</f>
        <v>D05</v>
      </c>
      <c r="H247" s="1" t="str">
        <f>VLOOKUP(tblParish[[#This Row],[DistCode]],tblDistrict[],2,FALSE)</f>
        <v>Siassi</v>
      </c>
      <c r="I247" s="1" t="str">
        <f>Seket!I$41</f>
        <v>S01</v>
      </c>
      <c r="J247" s="1" t="str">
        <f>CONCATENATE(tblParish[[#This Row],[DistCode]],"-",tblParish[[#This Row],[sCode]])</f>
        <v>D05-S01</v>
      </c>
      <c r="K247" s="1" t="e">
        <f>VLOOKUP(tblParish[[#This Row],[seketCode]],tblSeket,5,FALSE)</f>
        <v>#NAME?</v>
      </c>
      <c r="L247" s="1" t="s">
        <v>210</v>
      </c>
      <c r="M247" s="1" t="s">
        <v>458</v>
      </c>
    </row>
    <row r="248" spans="6:13" x14ac:dyDescent="0.35">
      <c r="F248" s="1" t="str">
        <f>CONCATENATE(tblParish[[#This Row],[seketCode]],"-",tblParish[[#This Row],[pCode]])</f>
        <v>D05-S01-P05</v>
      </c>
      <c r="G248" s="1" t="str">
        <f>Distrik!F$9</f>
        <v>D05</v>
      </c>
      <c r="H248" s="1" t="str">
        <f>VLOOKUP(tblParish[[#This Row],[DistCode]],tblDistrict[],2,FALSE)</f>
        <v>Siassi</v>
      </c>
      <c r="I248" s="1" t="str">
        <f>Seket!I$41</f>
        <v>S01</v>
      </c>
      <c r="J248" s="1" t="str">
        <f>CONCATENATE(tblParish[[#This Row],[DistCode]],"-",tblParish[[#This Row],[sCode]])</f>
        <v>D05-S01</v>
      </c>
      <c r="K248" s="1" t="e">
        <f>VLOOKUP(tblParish[[#This Row],[seketCode]],tblSeket,5,FALSE)</f>
        <v>#NAME?</v>
      </c>
      <c r="L248" s="1" t="s">
        <v>212</v>
      </c>
      <c r="M248" s="1" t="s">
        <v>459</v>
      </c>
    </row>
    <row r="249" spans="6:13" x14ac:dyDescent="0.35">
      <c r="F249" s="1" t="str">
        <f>CONCATENATE(tblParish[[#This Row],[seketCode]],"-",tblParish[[#This Row],[pCode]])</f>
        <v>D05-S01-P06</v>
      </c>
      <c r="G249" s="1" t="str">
        <f>Distrik!F$9</f>
        <v>D05</v>
      </c>
      <c r="H249" s="1" t="str">
        <f>VLOOKUP(tblParish[[#This Row],[DistCode]],tblDistrict[],2,FALSE)</f>
        <v>Siassi</v>
      </c>
      <c r="I249" s="1" t="str">
        <f>Seket!I$41</f>
        <v>S01</v>
      </c>
      <c r="J249" s="1" t="str">
        <f>CONCATENATE(tblParish[[#This Row],[DistCode]],"-",tblParish[[#This Row],[sCode]])</f>
        <v>D05-S01</v>
      </c>
      <c r="K249" s="1" t="e">
        <f>VLOOKUP(tblParish[[#This Row],[seketCode]],tblSeket,5,FALSE)</f>
        <v>#NAME?</v>
      </c>
      <c r="L249" s="1" t="s">
        <v>214</v>
      </c>
      <c r="M249" s="1" t="s">
        <v>460</v>
      </c>
    </row>
    <row r="250" spans="6:13" x14ac:dyDescent="0.35">
      <c r="F250" s="1" t="str">
        <f>CONCATENATE(tblParish[[#This Row],[seketCode]],"-",tblParish[[#This Row],[pCode]])</f>
        <v>D05-S01-P07</v>
      </c>
      <c r="G250" s="1" t="str">
        <f>Distrik!F$9</f>
        <v>D05</v>
      </c>
      <c r="H250" s="1" t="str">
        <f>VLOOKUP(tblParish[[#This Row],[DistCode]],tblDistrict[],2,FALSE)</f>
        <v>Siassi</v>
      </c>
      <c r="I250" s="1" t="str">
        <f>Seket!I$41</f>
        <v>S01</v>
      </c>
      <c r="J250" s="1" t="str">
        <f>CONCATENATE(tblParish[[#This Row],[DistCode]],"-",tblParish[[#This Row],[sCode]])</f>
        <v>D05-S01</v>
      </c>
      <c r="K250" s="1" t="e">
        <f>VLOOKUP(tblParish[[#This Row],[seketCode]],tblSeket,5,FALSE)</f>
        <v>#NAME?</v>
      </c>
      <c r="L250" s="1" t="s">
        <v>216</v>
      </c>
      <c r="M250" s="1" t="s">
        <v>461</v>
      </c>
    </row>
    <row r="251" spans="6:13" x14ac:dyDescent="0.35">
      <c r="F251" s="1" t="str">
        <f>CONCATENATE(tblParish[[#This Row],[seketCode]],"-",tblParish[[#This Row],[pCode]])</f>
        <v>D05-S01-P08</v>
      </c>
      <c r="G251" s="1" t="str">
        <f>Distrik!F$9</f>
        <v>D05</v>
      </c>
      <c r="H251" s="1" t="str">
        <f>VLOOKUP(tblParish[[#This Row],[DistCode]],tblDistrict[],2,FALSE)</f>
        <v>Siassi</v>
      </c>
      <c r="I251" s="1" t="str">
        <f>Seket!I$41</f>
        <v>S01</v>
      </c>
      <c r="J251" s="1" t="str">
        <f>CONCATENATE(tblParish[[#This Row],[DistCode]],"-",tblParish[[#This Row],[sCode]])</f>
        <v>D05-S01</v>
      </c>
      <c r="K251" s="1" t="e">
        <f>VLOOKUP(tblParish[[#This Row],[seketCode]],tblSeket,5,FALSE)</f>
        <v>#NAME?</v>
      </c>
      <c r="L251" s="1" t="s">
        <v>218</v>
      </c>
      <c r="M251" s="1" t="s">
        <v>462</v>
      </c>
    </row>
    <row r="252" spans="6:13" x14ac:dyDescent="0.35">
      <c r="F252" s="1" t="str">
        <f>CONCATENATE(tblParish[[#This Row],[seketCode]],"-",tblParish[[#This Row],[pCode]])</f>
        <v>D05-S02-P01</v>
      </c>
      <c r="G252" s="1" t="str">
        <f>Distrik!F$9</f>
        <v>D05</v>
      </c>
      <c r="H252" s="1" t="str">
        <f>VLOOKUP(tblParish[[#This Row],[DistCode]],tblDistrict[],2,FALSE)</f>
        <v>Siassi</v>
      </c>
      <c r="I252" s="1" t="str">
        <f>Seket!I$42</f>
        <v>S02</v>
      </c>
      <c r="J252" s="1" t="str">
        <f>CONCATENATE(tblParish[[#This Row],[DistCode]],"-",tblParish[[#This Row],[sCode]])</f>
        <v>D05-S02</v>
      </c>
      <c r="K252" s="1" t="e">
        <f>VLOOKUP(tblParish[[#This Row],[seketCode]],tblSeket,5,FALSE)</f>
        <v>#NAME?</v>
      </c>
      <c r="L252" s="1" t="s">
        <v>204</v>
      </c>
      <c r="M252" s="1" t="s">
        <v>463</v>
      </c>
    </row>
    <row r="253" spans="6:13" x14ac:dyDescent="0.35">
      <c r="F253" s="1" t="str">
        <f>CONCATENATE(tblParish[[#This Row],[seketCode]],"-",tblParish[[#This Row],[pCode]])</f>
        <v>D05-S02-P02</v>
      </c>
      <c r="G253" s="1" t="str">
        <f>Distrik!F$9</f>
        <v>D05</v>
      </c>
      <c r="H253" s="1" t="str">
        <f>VLOOKUP(tblParish[[#This Row],[DistCode]],tblDistrict[],2,FALSE)</f>
        <v>Siassi</v>
      </c>
      <c r="I253" s="1" t="str">
        <f>Seket!I$42</f>
        <v>S02</v>
      </c>
      <c r="J253" s="1" t="str">
        <f>CONCATENATE(tblParish[[#This Row],[DistCode]],"-",tblParish[[#This Row],[sCode]])</f>
        <v>D05-S02</v>
      </c>
      <c r="K253" s="1" t="e">
        <f>VLOOKUP(tblParish[[#This Row],[seketCode]],tblSeket,5,FALSE)</f>
        <v>#NAME?</v>
      </c>
      <c r="L253" s="1" t="s">
        <v>206</v>
      </c>
      <c r="M253" s="1" t="s">
        <v>464</v>
      </c>
    </row>
    <row r="254" spans="6:13" x14ac:dyDescent="0.35">
      <c r="F254" s="1" t="str">
        <f>CONCATENATE(tblParish[[#This Row],[seketCode]],"-",tblParish[[#This Row],[pCode]])</f>
        <v>D05-S02-P03</v>
      </c>
      <c r="G254" s="1" t="str">
        <f>Distrik!F$9</f>
        <v>D05</v>
      </c>
      <c r="H254" s="1" t="str">
        <f>VLOOKUP(tblParish[[#This Row],[DistCode]],tblDistrict[],2,FALSE)</f>
        <v>Siassi</v>
      </c>
      <c r="I254" s="1" t="str">
        <f>Seket!I$42</f>
        <v>S02</v>
      </c>
      <c r="J254" s="1" t="str">
        <f>CONCATENATE(tblParish[[#This Row],[DistCode]],"-",tblParish[[#This Row],[sCode]])</f>
        <v>D05-S02</v>
      </c>
      <c r="K254" s="1" t="e">
        <f>VLOOKUP(tblParish[[#This Row],[seketCode]],tblSeket,5,FALSE)</f>
        <v>#NAME?</v>
      </c>
      <c r="L254" s="1" t="s">
        <v>208</v>
      </c>
      <c r="M254" s="1" t="s">
        <v>465</v>
      </c>
    </row>
    <row r="255" spans="6:13" x14ac:dyDescent="0.35">
      <c r="F255" s="1" t="str">
        <f>CONCATENATE(tblParish[[#This Row],[seketCode]],"-",tblParish[[#This Row],[pCode]])</f>
        <v>D05-S02-P04</v>
      </c>
      <c r="G255" s="1" t="str">
        <f>Distrik!F$9</f>
        <v>D05</v>
      </c>
      <c r="H255" s="1" t="str">
        <f>VLOOKUP(tblParish[[#This Row],[DistCode]],tblDistrict[],2,FALSE)</f>
        <v>Siassi</v>
      </c>
      <c r="I255" s="1" t="str">
        <f>Seket!I$42</f>
        <v>S02</v>
      </c>
      <c r="J255" s="1" t="str">
        <f>CONCATENATE(tblParish[[#This Row],[DistCode]],"-",tblParish[[#This Row],[sCode]])</f>
        <v>D05-S02</v>
      </c>
      <c r="K255" s="1" t="e">
        <f>VLOOKUP(tblParish[[#This Row],[seketCode]],tblSeket,5,FALSE)</f>
        <v>#NAME?</v>
      </c>
      <c r="L255" s="1" t="s">
        <v>210</v>
      </c>
      <c r="M255" s="1" t="s">
        <v>466</v>
      </c>
    </row>
    <row r="256" spans="6:13" x14ac:dyDescent="0.35">
      <c r="F256" s="1" t="str">
        <f>CONCATENATE(tblParish[[#This Row],[seketCode]],"-",tblParish[[#This Row],[pCode]])</f>
        <v>D05-S02-P05</v>
      </c>
      <c r="G256" s="1" t="str">
        <f>Distrik!F$9</f>
        <v>D05</v>
      </c>
      <c r="H256" s="1" t="str">
        <f>VLOOKUP(tblParish[[#This Row],[DistCode]],tblDistrict[],2,FALSE)</f>
        <v>Siassi</v>
      </c>
      <c r="I256" s="1" t="str">
        <f>Seket!I$42</f>
        <v>S02</v>
      </c>
      <c r="J256" s="1" t="str">
        <f>CONCATENATE(tblParish[[#This Row],[DistCode]],"-",tblParish[[#This Row],[sCode]])</f>
        <v>D05-S02</v>
      </c>
      <c r="K256" s="1" t="e">
        <f>VLOOKUP(tblParish[[#This Row],[seketCode]],tblSeket,5,FALSE)</f>
        <v>#NAME?</v>
      </c>
      <c r="L256" s="1" t="s">
        <v>212</v>
      </c>
      <c r="M256" s="1" t="s">
        <v>467</v>
      </c>
    </row>
    <row r="257" spans="6:13" x14ac:dyDescent="0.35">
      <c r="F257" s="1" t="str">
        <f>CONCATENATE(tblParish[[#This Row],[seketCode]],"-",tblParish[[#This Row],[pCode]])</f>
        <v>D05-S02-P06</v>
      </c>
      <c r="G257" s="1" t="str">
        <f>Distrik!F$9</f>
        <v>D05</v>
      </c>
      <c r="H257" s="1" t="str">
        <f>VLOOKUP(tblParish[[#This Row],[DistCode]],tblDistrict[],2,FALSE)</f>
        <v>Siassi</v>
      </c>
      <c r="I257" s="1" t="str">
        <f>Seket!I$42</f>
        <v>S02</v>
      </c>
      <c r="J257" s="1" t="str">
        <f>CONCATENATE(tblParish[[#This Row],[DistCode]],"-",tblParish[[#This Row],[sCode]])</f>
        <v>D05-S02</v>
      </c>
      <c r="K257" s="1" t="e">
        <f>VLOOKUP(tblParish[[#This Row],[seketCode]],tblSeket,5,FALSE)</f>
        <v>#NAME?</v>
      </c>
      <c r="L257" s="1" t="s">
        <v>214</v>
      </c>
      <c r="M257" s="1" t="s">
        <v>468</v>
      </c>
    </row>
    <row r="258" spans="6:13" x14ac:dyDescent="0.35">
      <c r="F258" s="1" t="str">
        <f>CONCATENATE(tblParish[[#This Row],[seketCode]],"-",tblParish[[#This Row],[pCode]])</f>
        <v>D05-S02-P07</v>
      </c>
      <c r="G258" s="1" t="str">
        <f>Distrik!F$9</f>
        <v>D05</v>
      </c>
      <c r="H258" s="1" t="str">
        <f>VLOOKUP(tblParish[[#This Row],[DistCode]],tblDistrict[],2,FALSE)</f>
        <v>Siassi</v>
      </c>
      <c r="I258" s="1" t="str">
        <f>Seket!I$42</f>
        <v>S02</v>
      </c>
      <c r="J258" s="1" t="str">
        <f>CONCATENATE(tblParish[[#This Row],[DistCode]],"-",tblParish[[#This Row],[sCode]])</f>
        <v>D05-S02</v>
      </c>
      <c r="K258" s="1" t="e">
        <f>VLOOKUP(tblParish[[#This Row],[seketCode]],tblSeket,5,FALSE)</f>
        <v>#NAME?</v>
      </c>
      <c r="L258" s="1" t="s">
        <v>216</v>
      </c>
      <c r="M258" s="1" t="s">
        <v>469</v>
      </c>
    </row>
    <row r="259" spans="6:13" x14ac:dyDescent="0.35">
      <c r="F259" s="1" t="str">
        <f>CONCATENATE(tblParish[[#This Row],[seketCode]],"-",tblParish[[#This Row],[pCode]])</f>
        <v>D06-S01-P01</v>
      </c>
      <c r="G259" s="1" t="str">
        <f>Distrik!F$10</f>
        <v>D06</v>
      </c>
      <c r="H259" s="1" t="str">
        <f>VLOOKUP(tblParish[[#This Row],[DistCode]],tblDistrict[],2,FALSE)</f>
        <v>Ukata</v>
      </c>
      <c r="I259" s="1" t="str">
        <f>Seket!I$43</f>
        <v>S01</v>
      </c>
      <c r="J259" s="1" t="str">
        <f>CONCATENATE(tblParish[[#This Row],[DistCode]],"-",tblParish[[#This Row],[sCode]])</f>
        <v>D06-S01</v>
      </c>
      <c r="K259" s="1" t="e">
        <f>VLOOKUP(tblParish[[#This Row],[seketCode]],tblSeket,5,FALSE)</f>
        <v>#NAME?</v>
      </c>
      <c r="L259" s="1" t="s">
        <v>204</v>
      </c>
      <c r="M259" s="1" t="s">
        <v>470</v>
      </c>
    </row>
    <row r="260" spans="6:13" x14ac:dyDescent="0.35">
      <c r="F260" s="1" t="str">
        <f>CONCATENATE(tblParish[[#This Row],[seketCode]],"-",tblParish[[#This Row],[pCode]])</f>
        <v>D06-S01-P02</v>
      </c>
      <c r="G260" s="1" t="str">
        <f>Distrik!F$10</f>
        <v>D06</v>
      </c>
      <c r="H260" s="1" t="str">
        <f>VLOOKUP(tblParish[[#This Row],[DistCode]],tblDistrict[],2,FALSE)</f>
        <v>Ukata</v>
      </c>
      <c r="I260" s="1" t="str">
        <f>Seket!I$43</f>
        <v>S01</v>
      </c>
      <c r="J260" s="1" t="str">
        <f>CONCATENATE(tblParish[[#This Row],[DistCode]],"-",tblParish[[#This Row],[sCode]])</f>
        <v>D06-S01</v>
      </c>
      <c r="K260" s="1" t="e">
        <f>VLOOKUP(tblParish[[#This Row],[seketCode]],tblSeket,5,FALSE)</f>
        <v>#NAME?</v>
      </c>
      <c r="L260" s="1" t="s">
        <v>206</v>
      </c>
      <c r="M260" s="1" t="s">
        <v>471</v>
      </c>
    </row>
    <row r="261" spans="6:13" x14ac:dyDescent="0.35">
      <c r="F261" s="1" t="str">
        <f>CONCATENATE(tblParish[[#This Row],[seketCode]],"-",tblParish[[#This Row],[pCode]])</f>
        <v>D06-S01-P03</v>
      </c>
      <c r="G261" s="1" t="str">
        <f>Distrik!F$10</f>
        <v>D06</v>
      </c>
      <c r="H261" s="1" t="str">
        <f>VLOOKUP(tblParish[[#This Row],[DistCode]],tblDistrict[],2,FALSE)</f>
        <v>Ukata</v>
      </c>
      <c r="I261" s="1" t="str">
        <f>Seket!I$43</f>
        <v>S01</v>
      </c>
      <c r="J261" s="1" t="str">
        <f>CONCATENATE(tblParish[[#This Row],[DistCode]],"-",tblParish[[#This Row],[sCode]])</f>
        <v>D06-S01</v>
      </c>
      <c r="K261" s="1" t="e">
        <f>VLOOKUP(tblParish[[#This Row],[seketCode]],tblSeket,5,FALSE)</f>
        <v>#NAME?</v>
      </c>
      <c r="L261" s="1" t="s">
        <v>208</v>
      </c>
      <c r="M261" s="1" t="s">
        <v>472</v>
      </c>
    </row>
    <row r="262" spans="6:13" x14ac:dyDescent="0.35">
      <c r="F262" s="1" t="str">
        <f>CONCATENATE(tblParish[[#This Row],[seketCode]],"-",tblParish[[#This Row],[pCode]])</f>
        <v>D06-S01-P04</v>
      </c>
      <c r="G262" s="1" t="str">
        <f>Distrik!F$10</f>
        <v>D06</v>
      </c>
      <c r="H262" s="1" t="str">
        <f>VLOOKUP(tblParish[[#This Row],[DistCode]],tblDistrict[],2,FALSE)</f>
        <v>Ukata</v>
      </c>
      <c r="I262" s="1" t="str">
        <f>Seket!I$43</f>
        <v>S01</v>
      </c>
      <c r="J262" s="1" t="str">
        <f>CONCATENATE(tblParish[[#This Row],[DistCode]],"-",tblParish[[#This Row],[sCode]])</f>
        <v>D06-S01</v>
      </c>
      <c r="K262" s="1" t="e">
        <f>VLOOKUP(tblParish[[#This Row],[seketCode]],tblSeket,5,FALSE)</f>
        <v>#NAME?</v>
      </c>
      <c r="L262" s="1" t="s">
        <v>210</v>
      </c>
      <c r="M262" s="1" t="s">
        <v>473</v>
      </c>
    </row>
    <row r="263" spans="6:13" x14ac:dyDescent="0.35">
      <c r="F263" s="1" t="str">
        <f>CONCATENATE(tblParish[[#This Row],[seketCode]],"-",tblParish[[#This Row],[pCode]])</f>
        <v>D06-S01-P05</v>
      </c>
      <c r="G263" s="1" t="str">
        <f>Distrik!F$10</f>
        <v>D06</v>
      </c>
      <c r="H263" s="1" t="str">
        <f>VLOOKUP(tblParish[[#This Row],[DistCode]],tblDistrict[],2,FALSE)</f>
        <v>Ukata</v>
      </c>
      <c r="I263" s="1" t="str">
        <f>Seket!I$43</f>
        <v>S01</v>
      </c>
      <c r="J263" s="1" t="str">
        <f>CONCATENATE(tblParish[[#This Row],[DistCode]],"-",tblParish[[#This Row],[sCode]])</f>
        <v>D06-S01</v>
      </c>
      <c r="K263" s="1" t="e">
        <f>VLOOKUP(tblParish[[#This Row],[seketCode]],tblSeket,5,FALSE)</f>
        <v>#NAME?</v>
      </c>
      <c r="L263" s="1" t="s">
        <v>212</v>
      </c>
      <c r="M263" s="1" t="s">
        <v>474</v>
      </c>
    </row>
    <row r="264" spans="6:13" x14ac:dyDescent="0.35">
      <c r="F264" s="1" t="str">
        <f>CONCATENATE(tblParish[[#This Row],[seketCode]],"-",tblParish[[#This Row],[pCode]])</f>
        <v>D06-S01-P06</v>
      </c>
      <c r="G264" s="1" t="str">
        <f>Distrik!F$10</f>
        <v>D06</v>
      </c>
      <c r="H264" s="1" t="str">
        <f>VLOOKUP(tblParish[[#This Row],[DistCode]],tblDistrict[],2,FALSE)</f>
        <v>Ukata</v>
      </c>
      <c r="I264" s="1" t="str">
        <f>Seket!I$43</f>
        <v>S01</v>
      </c>
      <c r="J264" s="1" t="str">
        <f>CONCATENATE(tblParish[[#This Row],[DistCode]],"-",tblParish[[#This Row],[sCode]])</f>
        <v>D06-S01</v>
      </c>
      <c r="K264" s="1" t="e">
        <f>VLOOKUP(tblParish[[#This Row],[seketCode]],tblSeket,5,FALSE)</f>
        <v>#NAME?</v>
      </c>
      <c r="L264" s="1" t="s">
        <v>214</v>
      </c>
      <c r="M264" s="1" t="s">
        <v>475</v>
      </c>
    </row>
    <row r="265" spans="6:13" x14ac:dyDescent="0.35">
      <c r="F265" s="1" t="str">
        <f>CONCATENATE(tblParish[[#This Row],[seketCode]],"-",tblParish[[#This Row],[pCode]])</f>
        <v>D06-S01-P07</v>
      </c>
      <c r="G265" s="1" t="str">
        <f>Distrik!F$10</f>
        <v>D06</v>
      </c>
      <c r="H265" s="1" t="str">
        <f>VLOOKUP(tblParish[[#This Row],[DistCode]],tblDistrict[],2,FALSE)</f>
        <v>Ukata</v>
      </c>
      <c r="I265" s="1" t="str">
        <f>Seket!I$43</f>
        <v>S01</v>
      </c>
      <c r="J265" s="1" t="str">
        <f>CONCATENATE(tblParish[[#This Row],[DistCode]],"-",tblParish[[#This Row],[sCode]])</f>
        <v>D06-S01</v>
      </c>
      <c r="K265" s="1" t="e">
        <f>VLOOKUP(tblParish[[#This Row],[seketCode]],tblSeket,5,FALSE)</f>
        <v>#NAME?</v>
      </c>
      <c r="L265" s="1" t="s">
        <v>216</v>
      </c>
      <c r="M265" s="1" t="s">
        <v>88</v>
      </c>
    </row>
    <row r="266" spans="6:13" x14ac:dyDescent="0.35">
      <c r="F266" s="1" t="str">
        <f>CONCATENATE(tblParish[[#This Row],[seketCode]],"-",tblParish[[#This Row],[pCode]])</f>
        <v>D06-S01-P08</v>
      </c>
      <c r="G266" s="1" t="str">
        <f>Distrik!F$10</f>
        <v>D06</v>
      </c>
      <c r="H266" s="1" t="str">
        <f>VLOOKUP(tblParish[[#This Row],[DistCode]],tblDistrict[],2,FALSE)</f>
        <v>Ukata</v>
      </c>
      <c r="I266" s="1" t="str">
        <f>Seket!I$43</f>
        <v>S01</v>
      </c>
      <c r="J266" s="1" t="str">
        <f>CONCATENATE(tblParish[[#This Row],[DistCode]],"-",tblParish[[#This Row],[sCode]])</f>
        <v>D06-S01</v>
      </c>
      <c r="K266" s="1" t="e">
        <f>VLOOKUP(tblParish[[#This Row],[seketCode]],tblSeket,5,FALSE)</f>
        <v>#NAME?</v>
      </c>
      <c r="L266" s="1" t="s">
        <v>218</v>
      </c>
      <c r="M266" s="1" t="s">
        <v>476</v>
      </c>
    </row>
    <row r="267" spans="6:13" x14ac:dyDescent="0.35">
      <c r="F267" s="1" t="str">
        <f>CONCATENATE(tblParish[[#This Row],[seketCode]],"-",tblParish[[#This Row],[pCode]])</f>
        <v>D06-S01-P09</v>
      </c>
      <c r="G267" s="1" t="str">
        <f>Distrik!F$10</f>
        <v>D06</v>
      </c>
      <c r="H267" s="1" t="str">
        <f>VLOOKUP(tblParish[[#This Row],[DistCode]],tblDistrict[],2,FALSE)</f>
        <v>Ukata</v>
      </c>
      <c r="I267" s="1" t="str">
        <f>Seket!I$43</f>
        <v>S01</v>
      </c>
      <c r="J267" s="1" t="str">
        <f>CONCATENATE(tblParish[[#This Row],[DistCode]],"-",tblParish[[#This Row],[sCode]])</f>
        <v>D06-S01</v>
      </c>
      <c r="K267" s="1" t="e">
        <f>VLOOKUP(tblParish[[#This Row],[seketCode]],tblSeket,5,FALSE)</f>
        <v>#NAME?</v>
      </c>
      <c r="L267" s="1" t="s">
        <v>235</v>
      </c>
      <c r="M267" s="1" t="s">
        <v>477</v>
      </c>
    </row>
    <row r="268" spans="6:13" x14ac:dyDescent="0.35">
      <c r="F268" s="1" t="str">
        <f>CONCATENATE(tblParish[[#This Row],[seketCode]],"-",tblParish[[#This Row],[pCode]])</f>
        <v>D06-S02-P01</v>
      </c>
      <c r="G268" s="1" t="str">
        <f>Distrik!F$10</f>
        <v>D06</v>
      </c>
      <c r="H268" s="1" t="str">
        <f>VLOOKUP(tblParish[[#This Row],[DistCode]],tblDistrict[],2,FALSE)</f>
        <v>Ukata</v>
      </c>
      <c r="I268" s="1" t="str">
        <f>Seket!I$44</f>
        <v>S02</v>
      </c>
      <c r="J268" s="1" t="str">
        <f>CONCATENATE(tblParish[[#This Row],[DistCode]],"-",tblParish[[#This Row],[sCode]])</f>
        <v>D06-S02</v>
      </c>
      <c r="K268" s="1" t="e">
        <f>VLOOKUP(tblParish[[#This Row],[seketCode]],tblSeket,5,FALSE)</f>
        <v>#NAME?</v>
      </c>
      <c r="L268" s="1" t="s">
        <v>204</v>
      </c>
      <c r="M268" s="1" t="s">
        <v>478</v>
      </c>
    </row>
    <row r="269" spans="6:13" x14ac:dyDescent="0.35">
      <c r="F269" s="1" t="str">
        <f>CONCATENATE(tblParish[[#This Row],[seketCode]],"-",tblParish[[#This Row],[pCode]])</f>
        <v>D06-S02-P02</v>
      </c>
      <c r="G269" s="1" t="str">
        <f>Distrik!F$10</f>
        <v>D06</v>
      </c>
      <c r="H269" s="1" t="str">
        <f>VLOOKUP(tblParish[[#This Row],[DistCode]],tblDistrict[],2,FALSE)</f>
        <v>Ukata</v>
      </c>
      <c r="I269" s="1" t="str">
        <f>Seket!I$44</f>
        <v>S02</v>
      </c>
      <c r="J269" s="1" t="str">
        <f>CONCATENATE(tblParish[[#This Row],[DistCode]],"-",tblParish[[#This Row],[sCode]])</f>
        <v>D06-S02</v>
      </c>
      <c r="K269" s="1" t="e">
        <f>VLOOKUP(tblParish[[#This Row],[seketCode]],tblSeket,5,FALSE)</f>
        <v>#NAME?</v>
      </c>
      <c r="L269" s="1" t="s">
        <v>206</v>
      </c>
      <c r="M269" s="1" t="s">
        <v>479</v>
      </c>
    </row>
    <row r="270" spans="6:13" x14ac:dyDescent="0.35">
      <c r="F270" s="1" t="str">
        <f>CONCATENATE(tblParish[[#This Row],[seketCode]],"-",tblParish[[#This Row],[pCode]])</f>
        <v>D06-S02-P03</v>
      </c>
      <c r="G270" s="1" t="str">
        <f>Distrik!F$10</f>
        <v>D06</v>
      </c>
      <c r="H270" s="1" t="str">
        <f>VLOOKUP(tblParish[[#This Row],[DistCode]],tblDistrict[],2,FALSE)</f>
        <v>Ukata</v>
      </c>
      <c r="I270" s="1" t="str">
        <f>Seket!I$44</f>
        <v>S02</v>
      </c>
      <c r="J270" s="1" t="str">
        <f>CONCATENATE(tblParish[[#This Row],[DistCode]],"-",tblParish[[#This Row],[sCode]])</f>
        <v>D06-S02</v>
      </c>
      <c r="K270" s="1" t="e">
        <f>VLOOKUP(tblParish[[#This Row],[seketCode]],tblSeket,5,FALSE)</f>
        <v>#NAME?</v>
      </c>
      <c r="L270" s="1" t="s">
        <v>208</v>
      </c>
      <c r="M270" s="1" t="s">
        <v>480</v>
      </c>
    </row>
    <row r="271" spans="6:13" x14ac:dyDescent="0.35">
      <c r="F271" s="1" t="str">
        <f>CONCATENATE(tblParish[[#This Row],[seketCode]],"-",tblParish[[#This Row],[pCode]])</f>
        <v>D06-S02-P04</v>
      </c>
      <c r="G271" s="1" t="str">
        <f>Distrik!F$10</f>
        <v>D06</v>
      </c>
      <c r="H271" s="1" t="str">
        <f>VLOOKUP(tblParish[[#This Row],[DistCode]],tblDistrict[],2,FALSE)</f>
        <v>Ukata</v>
      </c>
      <c r="I271" s="1" t="str">
        <f>Seket!I$44</f>
        <v>S02</v>
      </c>
      <c r="J271" s="1" t="str">
        <f>CONCATENATE(tblParish[[#This Row],[DistCode]],"-",tblParish[[#This Row],[sCode]])</f>
        <v>D06-S02</v>
      </c>
      <c r="K271" s="1" t="e">
        <f>VLOOKUP(tblParish[[#This Row],[seketCode]],tblSeket,5,FALSE)</f>
        <v>#NAME?</v>
      </c>
      <c r="L271" s="1" t="s">
        <v>210</v>
      </c>
      <c r="M271" s="1" t="s">
        <v>310</v>
      </c>
    </row>
    <row r="272" spans="6:13" x14ac:dyDescent="0.35">
      <c r="F272" s="1" t="str">
        <f>CONCATENATE(tblParish[[#This Row],[seketCode]],"-",tblParish[[#This Row],[pCode]])</f>
        <v>D06-S02-P05</v>
      </c>
      <c r="G272" s="1" t="str">
        <f>Distrik!F$10</f>
        <v>D06</v>
      </c>
      <c r="H272" s="1" t="str">
        <f>VLOOKUP(tblParish[[#This Row],[DistCode]],tblDistrict[],2,FALSE)</f>
        <v>Ukata</v>
      </c>
      <c r="I272" s="1" t="str">
        <f>Seket!I$44</f>
        <v>S02</v>
      </c>
      <c r="J272" s="1" t="str">
        <f>CONCATENATE(tblParish[[#This Row],[DistCode]],"-",tblParish[[#This Row],[sCode]])</f>
        <v>D06-S02</v>
      </c>
      <c r="K272" s="1" t="e">
        <f>VLOOKUP(tblParish[[#This Row],[seketCode]],tblSeket,5,FALSE)</f>
        <v>#NAME?</v>
      </c>
      <c r="L272" s="1" t="s">
        <v>212</v>
      </c>
      <c r="M272" s="1" t="s">
        <v>481</v>
      </c>
    </row>
    <row r="273" spans="6:13" x14ac:dyDescent="0.35">
      <c r="F273" s="1" t="str">
        <f>CONCATENATE(tblParish[[#This Row],[seketCode]],"-",tblParish[[#This Row],[pCode]])</f>
        <v>D06-S02-P06</v>
      </c>
      <c r="G273" s="1" t="str">
        <f>Distrik!F$10</f>
        <v>D06</v>
      </c>
      <c r="H273" s="1" t="str">
        <f>VLOOKUP(tblParish[[#This Row],[DistCode]],tblDistrict[],2,FALSE)</f>
        <v>Ukata</v>
      </c>
      <c r="I273" s="1" t="str">
        <f>Seket!I$44</f>
        <v>S02</v>
      </c>
      <c r="J273" s="1" t="str">
        <f>CONCATENATE(tblParish[[#This Row],[DistCode]],"-",tblParish[[#This Row],[sCode]])</f>
        <v>D06-S02</v>
      </c>
      <c r="K273" s="1" t="e">
        <f>VLOOKUP(tblParish[[#This Row],[seketCode]],tblSeket,5,FALSE)</f>
        <v>#NAME?</v>
      </c>
      <c r="L273" s="1" t="s">
        <v>214</v>
      </c>
      <c r="M273" s="1" t="s">
        <v>482</v>
      </c>
    </row>
    <row r="274" spans="6:13" x14ac:dyDescent="0.35">
      <c r="F274" s="1" t="str">
        <f>CONCATENATE(tblParish[[#This Row],[seketCode]],"-",tblParish[[#This Row],[pCode]])</f>
        <v>D06-S03-P01</v>
      </c>
      <c r="G274" s="1" t="str">
        <f>Distrik!F$10</f>
        <v>D06</v>
      </c>
      <c r="H274" s="1" t="str">
        <f>VLOOKUP(tblParish[[#This Row],[DistCode]],tblDistrict[],2,FALSE)</f>
        <v>Ukata</v>
      </c>
      <c r="I274" s="1" t="str">
        <f>Seket!I$45</f>
        <v>S03</v>
      </c>
      <c r="J274" s="1" t="str">
        <f>CONCATENATE(tblParish[[#This Row],[DistCode]],"-",tblParish[[#This Row],[sCode]])</f>
        <v>D06-S03</v>
      </c>
      <c r="K274" s="1" t="e">
        <f>VLOOKUP(tblParish[[#This Row],[seketCode]],tblSeket,5,FALSE)</f>
        <v>#NAME?</v>
      </c>
      <c r="L274" s="1" t="s">
        <v>204</v>
      </c>
      <c r="M274" s="1" t="s">
        <v>483</v>
      </c>
    </row>
    <row r="275" spans="6:13" x14ac:dyDescent="0.35">
      <c r="F275" s="1" t="str">
        <f>CONCATENATE(tblParish[[#This Row],[seketCode]],"-",tblParish[[#This Row],[pCode]])</f>
        <v>D06-S03-P02</v>
      </c>
      <c r="G275" s="1" t="str">
        <f>Distrik!F$10</f>
        <v>D06</v>
      </c>
      <c r="H275" s="1" t="str">
        <f>VLOOKUP(tblParish[[#This Row],[DistCode]],tblDistrict[],2,FALSE)</f>
        <v>Ukata</v>
      </c>
      <c r="I275" s="1" t="str">
        <f>Seket!I$45</f>
        <v>S03</v>
      </c>
      <c r="J275" s="1" t="str">
        <f>CONCATENATE(tblParish[[#This Row],[DistCode]],"-",tblParish[[#This Row],[sCode]])</f>
        <v>D06-S03</v>
      </c>
      <c r="K275" s="1" t="e">
        <f>VLOOKUP(tblParish[[#This Row],[seketCode]],tblSeket,5,FALSE)</f>
        <v>#NAME?</v>
      </c>
      <c r="L275" s="1" t="s">
        <v>206</v>
      </c>
      <c r="M275" s="1" t="s">
        <v>484</v>
      </c>
    </row>
    <row r="276" spans="6:13" x14ac:dyDescent="0.35">
      <c r="F276" s="1" t="str">
        <f>CONCATENATE(tblParish[[#This Row],[seketCode]],"-",tblParish[[#This Row],[pCode]])</f>
        <v>D06-S03-P03</v>
      </c>
      <c r="G276" s="1" t="str">
        <f>Distrik!F$10</f>
        <v>D06</v>
      </c>
      <c r="H276" s="1" t="str">
        <f>VLOOKUP(tblParish[[#This Row],[DistCode]],tblDistrict[],2,FALSE)</f>
        <v>Ukata</v>
      </c>
      <c r="I276" s="1" t="str">
        <f>Seket!I$45</f>
        <v>S03</v>
      </c>
      <c r="J276" s="1" t="str">
        <f>CONCATENATE(tblParish[[#This Row],[DistCode]],"-",tblParish[[#This Row],[sCode]])</f>
        <v>D06-S03</v>
      </c>
      <c r="K276" s="1" t="e">
        <f>VLOOKUP(tblParish[[#This Row],[seketCode]],tblSeket,5,FALSE)</f>
        <v>#NAME?</v>
      </c>
      <c r="L276" s="1" t="s">
        <v>208</v>
      </c>
      <c r="M276" s="1" t="s">
        <v>485</v>
      </c>
    </row>
    <row r="277" spans="6:13" x14ac:dyDescent="0.35">
      <c r="F277" s="1" t="str">
        <f>CONCATENATE(tblParish[[#This Row],[seketCode]],"-",tblParish[[#This Row],[pCode]])</f>
        <v>D06-S03-P04</v>
      </c>
      <c r="G277" s="1" t="str">
        <f>Distrik!F$10</f>
        <v>D06</v>
      </c>
      <c r="H277" s="1" t="str">
        <f>VLOOKUP(tblParish[[#This Row],[DistCode]],tblDistrict[],2,FALSE)</f>
        <v>Ukata</v>
      </c>
      <c r="I277" s="1" t="str">
        <f>Seket!I$45</f>
        <v>S03</v>
      </c>
      <c r="J277" s="1" t="str">
        <f>CONCATENATE(tblParish[[#This Row],[DistCode]],"-",tblParish[[#This Row],[sCode]])</f>
        <v>D06-S03</v>
      </c>
      <c r="K277" s="1" t="e">
        <f>VLOOKUP(tblParish[[#This Row],[seketCode]],tblSeket,5,FALSE)</f>
        <v>#NAME?</v>
      </c>
      <c r="L277" s="1" t="s">
        <v>210</v>
      </c>
      <c r="M277" s="1" t="s">
        <v>486</v>
      </c>
    </row>
    <row r="278" spans="6:13" x14ac:dyDescent="0.35">
      <c r="F278" s="1" t="str">
        <f>CONCATENATE(tblParish[[#This Row],[seketCode]],"-",tblParish[[#This Row],[pCode]])</f>
        <v>D06-S03-P05</v>
      </c>
      <c r="G278" s="1" t="str">
        <f>Distrik!F$10</f>
        <v>D06</v>
      </c>
      <c r="H278" s="1" t="str">
        <f>VLOOKUP(tblParish[[#This Row],[DistCode]],tblDistrict[],2,FALSE)</f>
        <v>Ukata</v>
      </c>
      <c r="I278" s="1" t="str">
        <f>Seket!I$45</f>
        <v>S03</v>
      </c>
      <c r="J278" s="1" t="str">
        <f>CONCATENATE(tblParish[[#This Row],[DistCode]],"-",tblParish[[#This Row],[sCode]])</f>
        <v>D06-S03</v>
      </c>
      <c r="K278" s="1" t="e">
        <f>VLOOKUP(tblParish[[#This Row],[seketCode]],tblSeket,5,FALSE)</f>
        <v>#NAME?</v>
      </c>
      <c r="L278" s="1" t="s">
        <v>212</v>
      </c>
      <c r="M278" s="1" t="s">
        <v>487</v>
      </c>
    </row>
    <row r="279" spans="6:13" x14ac:dyDescent="0.35">
      <c r="F279" s="1" t="str">
        <f>CONCATENATE(tblParish[[#This Row],[seketCode]],"-",tblParish[[#This Row],[pCode]])</f>
        <v>D06-S03-P06</v>
      </c>
      <c r="G279" s="1" t="str">
        <f>Distrik!F$10</f>
        <v>D06</v>
      </c>
      <c r="H279" s="1" t="str">
        <f>VLOOKUP(tblParish[[#This Row],[DistCode]],tblDistrict[],2,FALSE)</f>
        <v>Ukata</v>
      </c>
      <c r="I279" s="1" t="str">
        <f>Seket!I$45</f>
        <v>S03</v>
      </c>
      <c r="J279" s="1" t="str">
        <f>CONCATENATE(tblParish[[#This Row],[DistCode]],"-",tblParish[[#This Row],[sCode]])</f>
        <v>D06-S03</v>
      </c>
      <c r="K279" s="1" t="e">
        <f>VLOOKUP(tblParish[[#This Row],[seketCode]],tblSeket,5,FALSE)</f>
        <v>#NAME?</v>
      </c>
      <c r="L279" s="1" t="s">
        <v>214</v>
      </c>
      <c r="M279" s="1" t="s">
        <v>488</v>
      </c>
    </row>
    <row r="280" spans="6:13" x14ac:dyDescent="0.35">
      <c r="F280" s="1" t="str">
        <f>CONCATENATE(tblParish[[#This Row],[seketCode]],"-",tblParish[[#This Row],[pCode]])</f>
        <v>D06-S03-P07</v>
      </c>
      <c r="G280" s="1" t="str">
        <f>Distrik!F$10</f>
        <v>D06</v>
      </c>
      <c r="H280" s="1" t="str">
        <f>VLOOKUP(tblParish[[#This Row],[DistCode]],tblDistrict[],2,FALSE)</f>
        <v>Ukata</v>
      </c>
      <c r="I280" s="1" t="str">
        <f>Seket!I$45</f>
        <v>S03</v>
      </c>
      <c r="J280" s="1" t="str">
        <f>CONCATENATE(tblParish[[#This Row],[DistCode]],"-",tblParish[[#This Row],[sCode]])</f>
        <v>D06-S03</v>
      </c>
      <c r="K280" s="1" t="e">
        <f>VLOOKUP(tblParish[[#This Row],[seketCode]],tblSeket,5,FALSE)</f>
        <v>#NAME?</v>
      </c>
      <c r="L280" s="1" t="s">
        <v>216</v>
      </c>
      <c r="M280" s="1" t="s">
        <v>489</v>
      </c>
    </row>
    <row r="281" spans="6:13" x14ac:dyDescent="0.35">
      <c r="F281" s="1" t="str">
        <f>CONCATENATE(tblParish[[#This Row],[seketCode]],"-",tblParish[[#This Row],[pCode]])</f>
        <v>D06-S03-P08</v>
      </c>
      <c r="G281" s="1" t="str">
        <f>Distrik!F$10</f>
        <v>D06</v>
      </c>
      <c r="H281" s="1" t="str">
        <f>VLOOKUP(tblParish[[#This Row],[DistCode]],tblDistrict[],2,FALSE)</f>
        <v>Ukata</v>
      </c>
      <c r="I281" s="1" t="str">
        <f>Seket!I$45</f>
        <v>S03</v>
      </c>
      <c r="J281" s="1" t="str">
        <f>CONCATENATE(tblParish[[#This Row],[DistCode]],"-",tblParish[[#This Row],[sCode]])</f>
        <v>D06-S03</v>
      </c>
      <c r="K281" s="1" t="e">
        <f>VLOOKUP(tblParish[[#This Row],[seketCode]],tblSeket,5,FALSE)</f>
        <v>#NAME?</v>
      </c>
      <c r="L281" s="1" t="s">
        <v>218</v>
      </c>
      <c r="M281" s="1" t="s">
        <v>490</v>
      </c>
    </row>
    <row r="282" spans="6:13" x14ac:dyDescent="0.35">
      <c r="F282" s="1" t="str">
        <f>CONCATENATE(tblParish[[#This Row],[seketCode]],"-",tblParish[[#This Row],[pCode]])</f>
        <v>D06-S08-P01</v>
      </c>
      <c r="G282" s="1" t="str">
        <f>Distrik!F$10</f>
        <v>D06</v>
      </c>
      <c r="H282" s="1" t="str">
        <f>VLOOKUP(tblParish[[#This Row],[DistCode]],tblDistrict[],2,FALSE)</f>
        <v>Ukata</v>
      </c>
      <c r="I282" s="1" t="str">
        <f>Seket!I$50</f>
        <v>S08</v>
      </c>
      <c r="J282" s="1" t="str">
        <f>CONCATENATE(tblParish[[#This Row],[DistCode]],"-",tblParish[[#This Row],[sCode]])</f>
        <v>D06-S08</v>
      </c>
      <c r="K282" s="1" t="e">
        <f>VLOOKUP(tblParish[[#This Row],[seketCode]],tblSeket,5,FALSE)</f>
        <v>#NAME?</v>
      </c>
      <c r="L282" s="1" t="s">
        <v>204</v>
      </c>
      <c r="M282" s="1" t="s">
        <v>491</v>
      </c>
    </row>
    <row r="283" spans="6:13" x14ac:dyDescent="0.35">
      <c r="F283" s="1" t="str">
        <f>CONCATENATE(tblParish[[#This Row],[seketCode]],"-",tblParish[[#This Row],[pCode]])</f>
        <v>D06-S08-P02</v>
      </c>
      <c r="G283" s="1" t="str">
        <f>Distrik!F$10</f>
        <v>D06</v>
      </c>
      <c r="H283" s="1" t="str">
        <f>VLOOKUP(tblParish[[#This Row],[DistCode]],tblDistrict[],2,FALSE)</f>
        <v>Ukata</v>
      </c>
      <c r="I283" s="1" t="str">
        <f>Seket!I$50</f>
        <v>S08</v>
      </c>
      <c r="J283" s="1" t="str">
        <f>CONCATENATE(tblParish[[#This Row],[DistCode]],"-",tblParish[[#This Row],[sCode]])</f>
        <v>D06-S08</v>
      </c>
      <c r="K283" s="1" t="e">
        <f>VLOOKUP(tblParish[[#This Row],[seketCode]],tblSeket,5,FALSE)</f>
        <v>#NAME?</v>
      </c>
      <c r="L283" s="1" t="s">
        <v>206</v>
      </c>
      <c r="M283" s="1" t="s">
        <v>492</v>
      </c>
    </row>
    <row r="284" spans="6:13" x14ac:dyDescent="0.35">
      <c r="F284" s="1" t="str">
        <f>CONCATENATE(tblParish[[#This Row],[seketCode]],"-",tblParish[[#This Row],[pCode]])</f>
        <v>D06-S08-P03</v>
      </c>
      <c r="G284" s="1" t="str">
        <f>Distrik!F$10</f>
        <v>D06</v>
      </c>
      <c r="H284" s="1" t="str">
        <f>VLOOKUP(tblParish[[#This Row],[DistCode]],tblDistrict[],2,FALSE)</f>
        <v>Ukata</v>
      </c>
      <c r="I284" s="1" t="str">
        <f>Seket!I$50</f>
        <v>S08</v>
      </c>
      <c r="J284" s="1" t="str">
        <f>CONCATENATE(tblParish[[#This Row],[DistCode]],"-",tblParish[[#This Row],[sCode]])</f>
        <v>D06-S08</v>
      </c>
      <c r="K284" s="1" t="e">
        <f>VLOOKUP(tblParish[[#This Row],[seketCode]],tblSeket,5,FALSE)</f>
        <v>#NAME?</v>
      </c>
      <c r="L284" s="1" t="s">
        <v>208</v>
      </c>
      <c r="M284" s="1" t="s">
        <v>493</v>
      </c>
    </row>
    <row r="285" spans="6:13" x14ac:dyDescent="0.35">
      <c r="F285" s="1" t="str">
        <f>CONCATENATE(tblParish[[#This Row],[seketCode]],"-",tblParish[[#This Row],[pCode]])</f>
        <v>D06-S08-P04</v>
      </c>
      <c r="G285" s="1" t="str">
        <f>Distrik!F$10</f>
        <v>D06</v>
      </c>
      <c r="H285" s="1" t="str">
        <f>VLOOKUP(tblParish[[#This Row],[DistCode]],tblDistrict[],2,FALSE)</f>
        <v>Ukata</v>
      </c>
      <c r="I285" s="1" t="str">
        <f>Seket!I$50</f>
        <v>S08</v>
      </c>
      <c r="J285" s="1" t="str">
        <f>CONCATENATE(tblParish[[#This Row],[DistCode]],"-",tblParish[[#This Row],[sCode]])</f>
        <v>D06-S08</v>
      </c>
      <c r="K285" s="1" t="e">
        <f>VLOOKUP(tblParish[[#This Row],[seketCode]],tblSeket,5,FALSE)</f>
        <v>#NAME?</v>
      </c>
      <c r="L285" s="1" t="s">
        <v>210</v>
      </c>
      <c r="M285" s="1" t="s">
        <v>494</v>
      </c>
    </row>
    <row r="286" spans="6:13" x14ac:dyDescent="0.35">
      <c r="F286" s="1" t="str">
        <f>CONCATENATE(tblParish[[#This Row],[seketCode]],"-",tblParish[[#This Row],[pCode]])</f>
        <v>D06-S09-P01</v>
      </c>
      <c r="G286" s="1" t="str">
        <f>Distrik!F$10</f>
        <v>D06</v>
      </c>
      <c r="H286" s="1" t="str">
        <f>VLOOKUP(tblParish[[#This Row],[DistCode]],tblDistrict[],2,FALSE)</f>
        <v>Ukata</v>
      </c>
      <c r="I286" s="1" t="str">
        <f>Seket!I$51</f>
        <v>S09</v>
      </c>
      <c r="J286" s="1" t="str">
        <f>CONCATENATE(tblParish[[#This Row],[DistCode]],"-",tblParish[[#This Row],[sCode]])</f>
        <v>D06-S09</v>
      </c>
      <c r="K286" s="1" t="e">
        <f>VLOOKUP(tblParish[[#This Row],[seketCode]],tblSeket,5,FALSE)</f>
        <v>#NAME?</v>
      </c>
      <c r="L286" s="1" t="s">
        <v>204</v>
      </c>
      <c r="M286" s="1" t="s">
        <v>495</v>
      </c>
    </row>
    <row r="287" spans="6:13" x14ac:dyDescent="0.35">
      <c r="F287" s="1" t="str">
        <f>CONCATENATE(tblParish[[#This Row],[seketCode]],"-",tblParish[[#This Row],[pCode]])</f>
        <v>D06-S09-P02</v>
      </c>
      <c r="G287" s="1" t="str">
        <f>Distrik!F$10</f>
        <v>D06</v>
      </c>
      <c r="H287" s="1" t="str">
        <f>VLOOKUP(tblParish[[#This Row],[DistCode]],tblDistrict[],2,FALSE)</f>
        <v>Ukata</v>
      </c>
      <c r="I287" s="1" t="str">
        <f>Seket!I$51</f>
        <v>S09</v>
      </c>
      <c r="J287" s="1" t="str">
        <f>CONCATENATE(tblParish[[#This Row],[DistCode]],"-",tblParish[[#This Row],[sCode]])</f>
        <v>D06-S09</v>
      </c>
      <c r="K287" s="1" t="e">
        <f>VLOOKUP(tblParish[[#This Row],[seketCode]],tblSeket,5,FALSE)</f>
        <v>#NAME?</v>
      </c>
      <c r="L287" s="1" t="s">
        <v>206</v>
      </c>
      <c r="M287" s="1" t="s">
        <v>496</v>
      </c>
    </row>
    <row r="288" spans="6:13" x14ac:dyDescent="0.35">
      <c r="F288" s="1" t="str">
        <f>CONCATENATE(tblParish[[#This Row],[seketCode]],"-",tblParish[[#This Row],[pCode]])</f>
        <v>D06-S09-P03</v>
      </c>
      <c r="G288" s="1" t="str">
        <f>Distrik!F$10</f>
        <v>D06</v>
      </c>
      <c r="H288" s="1" t="str">
        <f>VLOOKUP(tblParish[[#This Row],[DistCode]],tblDistrict[],2,FALSE)</f>
        <v>Ukata</v>
      </c>
      <c r="I288" s="1" t="str">
        <f>Seket!I$51</f>
        <v>S09</v>
      </c>
      <c r="J288" s="1" t="str">
        <f>CONCATENATE(tblParish[[#This Row],[DistCode]],"-",tblParish[[#This Row],[sCode]])</f>
        <v>D06-S09</v>
      </c>
      <c r="K288" s="1" t="e">
        <f>VLOOKUP(tblParish[[#This Row],[seketCode]],tblSeket,5,FALSE)</f>
        <v>#NAME?</v>
      </c>
      <c r="L288" s="1" t="s">
        <v>208</v>
      </c>
      <c r="M288" s="1" t="s">
        <v>497</v>
      </c>
    </row>
    <row r="289" spans="6:13" x14ac:dyDescent="0.35">
      <c r="F289" s="1" t="str">
        <f>CONCATENATE(tblParish[[#This Row],[seketCode]],"-",tblParish[[#This Row],[pCode]])</f>
        <v>D06-S09-P04</v>
      </c>
      <c r="G289" s="1" t="str">
        <f>Distrik!F$10</f>
        <v>D06</v>
      </c>
      <c r="H289" s="1" t="str">
        <f>VLOOKUP(tblParish[[#This Row],[DistCode]],tblDistrict[],2,FALSE)</f>
        <v>Ukata</v>
      </c>
      <c r="I289" s="1" t="str">
        <f>Seket!I$51</f>
        <v>S09</v>
      </c>
      <c r="J289" s="1" t="str">
        <f>CONCATENATE(tblParish[[#This Row],[DistCode]],"-",tblParish[[#This Row],[sCode]])</f>
        <v>D06-S09</v>
      </c>
      <c r="K289" s="1" t="e">
        <f>VLOOKUP(tblParish[[#This Row],[seketCode]],tblSeket,5,FALSE)</f>
        <v>#NAME?</v>
      </c>
      <c r="L289" s="1" t="s">
        <v>210</v>
      </c>
      <c r="M289" s="1" t="s">
        <v>498</v>
      </c>
    </row>
    <row r="290" spans="6:13" x14ac:dyDescent="0.35">
      <c r="F290" s="1" t="str">
        <f>CONCATENATE(tblParish[[#This Row],[seketCode]],"-",tblParish[[#This Row],[pCode]])</f>
        <v>D06-S09-P05</v>
      </c>
      <c r="G290" s="1" t="str">
        <f>Distrik!F$10</f>
        <v>D06</v>
      </c>
      <c r="H290" s="1" t="str">
        <f>VLOOKUP(tblParish[[#This Row],[DistCode]],tblDistrict[],2,FALSE)</f>
        <v>Ukata</v>
      </c>
      <c r="I290" s="1" t="str">
        <f>Seket!I$51</f>
        <v>S09</v>
      </c>
      <c r="J290" s="1" t="str">
        <f>CONCATENATE(tblParish[[#This Row],[DistCode]],"-",tblParish[[#This Row],[sCode]])</f>
        <v>D06-S09</v>
      </c>
      <c r="K290" s="1" t="e">
        <f>VLOOKUP(tblParish[[#This Row],[seketCode]],tblSeket,5,FALSE)</f>
        <v>#NAME?</v>
      </c>
      <c r="L290" s="1" t="s">
        <v>212</v>
      </c>
      <c r="M290" s="1" t="s">
        <v>499</v>
      </c>
    </row>
    <row r="291" spans="6:13" x14ac:dyDescent="0.35">
      <c r="F291" s="1" t="str">
        <f>CONCATENATE(tblParish[[#This Row],[seketCode]],"-",tblParish[[#This Row],[pCode]])</f>
        <v>D06-S09-P06</v>
      </c>
      <c r="G291" s="1" t="str">
        <f>Distrik!F$10</f>
        <v>D06</v>
      </c>
      <c r="H291" s="1" t="str">
        <f>VLOOKUP(tblParish[[#This Row],[DistCode]],tblDistrict[],2,FALSE)</f>
        <v>Ukata</v>
      </c>
      <c r="I291" s="1" t="str">
        <f>Seket!I$51</f>
        <v>S09</v>
      </c>
      <c r="J291" s="1" t="str">
        <f>CONCATENATE(tblParish[[#This Row],[DistCode]],"-",tblParish[[#This Row],[sCode]])</f>
        <v>D06-S09</v>
      </c>
      <c r="K291" s="1" t="e">
        <f>VLOOKUP(tblParish[[#This Row],[seketCode]],tblSeket,5,FALSE)</f>
        <v>#NAME?</v>
      </c>
      <c r="L291" s="1" t="s">
        <v>214</v>
      </c>
      <c r="M291" s="1" t="s">
        <v>500</v>
      </c>
    </row>
    <row r="292" spans="6:13" x14ac:dyDescent="0.35">
      <c r="F292" s="1" t="str">
        <f>CONCATENATE(tblParish[[#This Row],[seketCode]],"-",tblParish[[#This Row],[pCode]])</f>
        <v>D06-S09-P07</v>
      </c>
      <c r="G292" s="1" t="str">
        <f>Distrik!F$10</f>
        <v>D06</v>
      </c>
      <c r="H292" s="1" t="str">
        <f>VLOOKUP(tblParish[[#This Row],[DistCode]],tblDistrict[],2,FALSE)</f>
        <v>Ukata</v>
      </c>
      <c r="I292" s="1" t="str">
        <f>Seket!I$51</f>
        <v>S09</v>
      </c>
      <c r="J292" s="1" t="str">
        <f>CONCATENATE(tblParish[[#This Row],[DistCode]],"-",tblParish[[#This Row],[sCode]])</f>
        <v>D06-S09</v>
      </c>
      <c r="K292" s="1" t="e">
        <f>VLOOKUP(tblParish[[#This Row],[seketCode]],tblSeket,5,FALSE)</f>
        <v>#NAME?</v>
      </c>
      <c r="L292" s="1" t="s">
        <v>216</v>
      </c>
      <c r="M292" s="1" t="s">
        <v>501</v>
      </c>
    </row>
    <row r="293" spans="6:13" x14ac:dyDescent="0.35">
      <c r="F293" s="1" t="str">
        <f>CONCATENATE(tblParish[[#This Row],[seketCode]],"-",tblParish[[#This Row],[pCode]])</f>
        <v>D06-S09-P08</v>
      </c>
      <c r="G293" s="1" t="str">
        <f>Distrik!F$10</f>
        <v>D06</v>
      </c>
      <c r="H293" s="1" t="str">
        <f>VLOOKUP(tblParish[[#This Row],[DistCode]],tblDistrict[],2,FALSE)</f>
        <v>Ukata</v>
      </c>
      <c r="I293" s="1" t="str">
        <f>Seket!I$51</f>
        <v>S09</v>
      </c>
      <c r="J293" s="1" t="str">
        <f>CONCATENATE(tblParish[[#This Row],[DistCode]],"-",tblParish[[#This Row],[sCode]])</f>
        <v>D06-S09</v>
      </c>
      <c r="K293" s="1" t="e">
        <f>VLOOKUP(tblParish[[#This Row],[seketCode]],tblSeket,5,FALSE)</f>
        <v>#NAME?</v>
      </c>
      <c r="L293" s="1" t="s">
        <v>218</v>
      </c>
      <c r="M293" s="1" t="s">
        <v>451</v>
      </c>
    </row>
    <row r="294" spans="6:13" x14ac:dyDescent="0.35">
      <c r="F294" s="1" t="str">
        <f>CONCATENATE(tblParish[[#This Row],[seketCode]],"-",tblParish[[#This Row],[pCode]])</f>
        <v>D06-S10-P01</v>
      </c>
      <c r="G294" s="1" t="str">
        <f>Distrik!F$10</f>
        <v>D06</v>
      </c>
      <c r="H294" s="1" t="str">
        <f>VLOOKUP(tblParish[[#This Row],[DistCode]],tblDistrict[],2,FALSE)</f>
        <v>Ukata</v>
      </c>
      <c r="I294" s="1" t="str">
        <f>Seket!I$52</f>
        <v>S10</v>
      </c>
      <c r="J294" s="1" t="str">
        <f>CONCATENATE(tblParish[[#This Row],[DistCode]],"-",tblParish[[#This Row],[sCode]])</f>
        <v>D06-S10</v>
      </c>
      <c r="K294" s="1" t="e">
        <f>VLOOKUP(tblParish[[#This Row],[seketCode]],tblSeket,5,FALSE)</f>
        <v>#NAME?</v>
      </c>
      <c r="L294" s="1" t="s">
        <v>204</v>
      </c>
      <c r="M294" s="1" t="s">
        <v>502</v>
      </c>
    </row>
    <row r="295" spans="6:13" x14ac:dyDescent="0.35">
      <c r="F295" s="1" t="str">
        <f>CONCATENATE(tblParish[[#This Row],[seketCode]],"-",tblParish[[#This Row],[pCode]])</f>
        <v>D06-S10-P02</v>
      </c>
      <c r="G295" s="1" t="str">
        <f>Distrik!F$10</f>
        <v>D06</v>
      </c>
      <c r="H295" s="1" t="str">
        <f>VLOOKUP(tblParish[[#This Row],[DistCode]],tblDistrict[],2,FALSE)</f>
        <v>Ukata</v>
      </c>
      <c r="I295" s="1" t="str">
        <f>Seket!I$52</f>
        <v>S10</v>
      </c>
      <c r="J295" s="1" t="str">
        <f>CONCATENATE(tblParish[[#This Row],[DistCode]],"-",tblParish[[#This Row],[sCode]])</f>
        <v>D06-S10</v>
      </c>
      <c r="K295" s="1" t="e">
        <f>VLOOKUP(tblParish[[#This Row],[seketCode]],tblSeket,5,FALSE)</f>
        <v>#NAME?</v>
      </c>
      <c r="L295" s="1" t="s">
        <v>206</v>
      </c>
      <c r="M295" s="1" t="s">
        <v>503</v>
      </c>
    </row>
    <row r="296" spans="6:13" x14ac:dyDescent="0.35">
      <c r="F296" s="1" t="str">
        <f>CONCATENATE(tblParish[[#This Row],[seketCode]],"-",tblParish[[#This Row],[pCode]])</f>
        <v>D06-S10-P03</v>
      </c>
      <c r="G296" s="1" t="str">
        <f>Distrik!F$10</f>
        <v>D06</v>
      </c>
      <c r="H296" s="1" t="str">
        <f>VLOOKUP(tblParish[[#This Row],[DistCode]],tblDistrict[],2,FALSE)</f>
        <v>Ukata</v>
      </c>
      <c r="I296" s="1" t="str">
        <f>Seket!I$52</f>
        <v>S10</v>
      </c>
      <c r="J296" s="1" t="str">
        <f>CONCATENATE(tblParish[[#This Row],[DistCode]],"-",tblParish[[#This Row],[sCode]])</f>
        <v>D06-S10</v>
      </c>
      <c r="K296" s="1" t="e">
        <f>VLOOKUP(tblParish[[#This Row],[seketCode]],tblSeket,5,FALSE)</f>
        <v>#NAME?</v>
      </c>
      <c r="L296" s="1" t="s">
        <v>208</v>
      </c>
      <c r="M296" s="1" t="s">
        <v>504</v>
      </c>
    </row>
    <row r="297" spans="6:13" x14ac:dyDescent="0.35">
      <c r="F297" s="1" t="str">
        <f>CONCATENATE(tblParish[[#This Row],[seketCode]],"-",tblParish[[#This Row],[pCode]])</f>
        <v>D06-S10-P04</v>
      </c>
      <c r="G297" s="1" t="str">
        <f>Distrik!F$10</f>
        <v>D06</v>
      </c>
      <c r="H297" s="1" t="str">
        <f>VLOOKUP(tblParish[[#This Row],[DistCode]],tblDistrict[],2,FALSE)</f>
        <v>Ukata</v>
      </c>
      <c r="I297" s="1" t="str">
        <f>Seket!I$52</f>
        <v>S10</v>
      </c>
      <c r="J297" s="1" t="str">
        <f>CONCATENATE(tblParish[[#This Row],[DistCode]],"-",tblParish[[#This Row],[sCode]])</f>
        <v>D06-S10</v>
      </c>
      <c r="K297" s="1" t="e">
        <f>VLOOKUP(tblParish[[#This Row],[seketCode]],tblSeket,5,FALSE)</f>
        <v>#NAME?</v>
      </c>
      <c r="L297" s="1" t="s">
        <v>210</v>
      </c>
      <c r="M297" s="1" t="s">
        <v>505</v>
      </c>
    </row>
    <row r="298" spans="6:13" x14ac:dyDescent="0.35">
      <c r="F298" s="1" t="str">
        <f>CONCATENATE(tblParish[[#This Row],[seketCode]],"-",tblParish[[#This Row],[pCode]])</f>
        <v>D06-S10-P05</v>
      </c>
      <c r="G298" s="1" t="str">
        <f>Distrik!F$10</f>
        <v>D06</v>
      </c>
      <c r="H298" s="1" t="str">
        <f>VLOOKUP(tblParish[[#This Row],[DistCode]],tblDistrict[],2,FALSE)</f>
        <v>Ukata</v>
      </c>
      <c r="I298" s="1" t="str">
        <f>Seket!I$52</f>
        <v>S10</v>
      </c>
      <c r="J298" s="1" t="str">
        <f>CONCATENATE(tblParish[[#This Row],[DistCode]],"-",tblParish[[#This Row],[sCode]])</f>
        <v>D06-S10</v>
      </c>
      <c r="K298" s="1" t="e">
        <f>VLOOKUP(tblParish[[#This Row],[seketCode]],tblSeket,5,FALSE)</f>
        <v>#NAME?</v>
      </c>
      <c r="L298" s="1" t="s">
        <v>212</v>
      </c>
      <c r="M298" s="1" t="s">
        <v>506</v>
      </c>
    </row>
    <row r="299" spans="6:13" x14ac:dyDescent="0.35">
      <c r="F299" s="1" t="str">
        <f>CONCATENATE(tblParish[[#This Row],[seketCode]],"-",tblParish[[#This Row],[pCode]])</f>
        <v>D07-S01-P01</v>
      </c>
      <c r="G299" s="1" t="str">
        <f>Distrik!F$11</f>
        <v>D07</v>
      </c>
      <c r="H299" s="1" t="str">
        <f>VLOOKUP(tblParish[[#This Row],[DistCode]],tblDistrict[],2,FALSE)</f>
        <v>Boana</v>
      </c>
      <c r="I299" s="1" t="str">
        <f>Seket!I$53</f>
        <v>S01</v>
      </c>
      <c r="J299" s="1" t="str">
        <f>CONCATENATE(tblParish[[#This Row],[DistCode]],"-",tblParish[[#This Row],[sCode]])</f>
        <v>D07-S01</v>
      </c>
      <c r="K299" s="1" t="e">
        <f>VLOOKUP(tblParish[[#This Row],[seketCode]],tblSeket,5,FALSE)</f>
        <v>#NAME?</v>
      </c>
      <c r="L299" s="1" t="s">
        <v>204</v>
      </c>
      <c r="M299" s="1" t="s">
        <v>507</v>
      </c>
    </row>
    <row r="300" spans="6:13" x14ac:dyDescent="0.35">
      <c r="F300" s="1" t="str">
        <f>CONCATENATE(tblParish[[#This Row],[seketCode]],"-",tblParish[[#This Row],[pCode]])</f>
        <v>D07-S01-P02</v>
      </c>
      <c r="G300" s="1" t="str">
        <f>Distrik!F$11</f>
        <v>D07</v>
      </c>
      <c r="H300" s="1" t="str">
        <f>VLOOKUP(tblParish[[#This Row],[DistCode]],tblDistrict[],2,FALSE)</f>
        <v>Boana</v>
      </c>
      <c r="I300" s="1" t="str">
        <f>Seket!I$53</f>
        <v>S01</v>
      </c>
      <c r="J300" s="1" t="str">
        <f>CONCATENATE(tblParish[[#This Row],[DistCode]],"-",tblParish[[#This Row],[sCode]])</f>
        <v>D07-S01</v>
      </c>
      <c r="K300" s="1" t="e">
        <f>VLOOKUP(tblParish[[#This Row],[seketCode]],tblSeket,5,FALSE)</f>
        <v>#NAME?</v>
      </c>
      <c r="L300" s="1" t="s">
        <v>206</v>
      </c>
      <c r="M300" s="1" t="s">
        <v>508</v>
      </c>
    </row>
    <row r="301" spans="6:13" x14ac:dyDescent="0.35">
      <c r="F301" s="1" t="str">
        <f>CONCATENATE(tblParish[[#This Row],[seketCode]],"-",tblParish[[#This Row],[pCode]])</f>
        <v>D07-S01-P03</v>
      </c>
      <c r="G301" s="1" t="str">
        <f>Distrik!F$11</f>
        <v>D07</v>
      </c>
      <c r="H301" s="1" t="str">
        <f>VLOOKUP(tblParish[[#This Row],[DistCode]],tblDistrict[],2,FALSE)</f>
        <v>Boana</v>
      </c>
      <c r="I301" s="1" t="str">
        <f>Seket!I$53</f>
        <v>S01</v>
      </c>
      <c r="J301" s="1" t="str">
        <f>CONCATENATE(tblParish[[#This Row],[DistCode]],"-",tblParish[[#This Row],[sCode]])</f>
        <v>D07-S01</v>
      </c>
      <c r="K301" s="1" t="e">
        <f>VLOOKUP(tblParish[[#This Row],[seketCode]],tblSeket,5,FALSE)</f>
        <v>#NAME?</v>
      </c>
      <c r="L301" s="1" t="s">
        <v>208</v>
      </c>
      <c r="M301" s="1" t="s">
        <v>509</v>
      </c>
    </row>
    <row r="302" spans="6:13" x14ac:dyDescent="0.35">
      <c r="F302" s="1" t="str">
        <f>CONCATENATE(tblParish[[#This Row],[seketCode]],"-",tblParish[[#This Row],[pCode]])</f>
        <v>D07-S01-P04</v>
      </c>
      <c r="G302" s="1" t="str">
        <f>Distrik!F$11</f>
        <v>D07</v>
      </c>
      <c r="H302" s="1" t="str">
        <f>VLOOKUP(tblParish[[#This Row],[DistCode]],tblDistrict[],2,FALSE)</f>
        <v>Boana</v>
      </c>
      <c r="I302" s="1" t="str">
        <f>Seket!I$53</f>
        <v>S01</v>
      </c>
      <c r="J302" s="1" t="str">
        <f>CONCATENATE(tblParish[[#This Row],[DistCode]],"-",tblParish[[#This Row],[sCode]])</f>
        <v>D07-S01</v>
      </c>
      <c r="K302" s="1" t="e">
        <f>VLOOKUP(tblParish[[#This Row],[seketCode]],tblSeket,5,FALSE)</f>
        <v>#NAME?</v>
      </c>
      <c r="L302" s="1" t="s">
        <v>210</v>
      </c>
      <c r="M302" s="1" t="s">
        <v>510</v>
      </c>
    </row>
    <row r="303" spans="6:13" x14ac:dyDescent="0.35">
      <c r="F303" s="1" t="str">
        <f>CONCATENATE(tblParish[[#This Row],[seketCode]],"-",tblParish[[#This Row],[pCode]])</f>
        <v>D07-S01-P05</v>
      </c>
      <c r="G303" s="1" t="str">
        <f>Distrik!F$11</f>
        <v>D07</v>
      </c>
      <c r="H303" s="1" t="str">
        <f>VLOOKUP(tblParish[[#This Row],[DistCode]],tblDistrict[],2,FALSE)</f>
        <v>Boana</v>
      </c>
      <c r="I303" s="1" t="str">
        <f>Seket!I$53</f>
        <v>S01</v>
      </c>
      <c r="J303" s="1" t="str">
        <f>CONCATENATE(tblParish[[#This Row],[DistCode]],"-",tblParish[[#This Row],[sCode]])</f>
        <v>D07-S01</v>
      </c>
      <c r="K303" s="1" t="e">
        <f>VLOOKUP(tblParish[[#This Row],[seketCode]],tblSeket,5,FALSE)</f>
        <v>#NAME?</v>
      </c>
      <c r="L303" s="1" t="s">
        <v>212</v>
      </c>
      <c r="M303" s="1" t="s">
        <v>511</v>
      </c>
    </row>
    <row r="304" spans="6:13" x14ac:dyDescent="0.35">
      <c r="F304" s="1" t="str">
        <f>CONCATENATE(tblParish[[#This Row],[seketCode]],"-",tblParish[[#This Row],[pCode]])</f>
        <v>D07-S01-P06</v>
      </c>
      <c r="G304" s="1" t="str">
        <f>Distrik!F$11</f>
        <v>D07</v>
      </c>
      <c r="H304" s="1" t="str">
        <f>VLOOKUP(tblParish[[#This Row],[DistCode]],tblDistrict[],2,FALSE)</f>
        <v>Boana</v>
      </c>
      <c r="I304" s="1" t="str">
        <f>Seket!I$53</f>
        <v>S01</v>
      </c>
      <c r="J304" s="1" t="str">
        <f>CONCATENATE(tblParish[[#This Row],[DistCode]],"-",tblParish[[#This Row],[sCode]])</f>
        <v>D07-S01</v>
      </c>
      <c r="K304" s="1" t="e">
        <f>VLOOKUP(tblParish[[#This Row],[seketCode]],tblSeket,5,FALSE)</f>
        <v>#NAME?</v>
      </c>
      <c r="L304" s="1" t="s">
        <v>214</v>
      </c>
      <c r="M304" s="1" t="s">
        <v>512</v>
      </c>
    </row>
    <row r="305" spans="6:13" x14ac:dyDescent="0.35">
      <c r="F305" s="1" t="str">
        <f>CONCATENATE(tblParish[[#This Row],[seketCode]],"-",tblParish[[#This Row],[pCode]])</f>
        <v>D07-S02-P01</v>
      </c>
      <c r="G305" s="1" t="str">
        <f>Distrik!F$11</f>
        <v>D07</v>
      </c>
      <c r="H305" s="1" t="str">
        <f>VLOOKUP(tblParish[[#This Row],[DistCode]],tblDistrict[],2,FALSE)</f>
        <v>Boana</v>
      </c>
      <c r="I305" s="1" t="str">
        <f>Seket!I$54</f>
        <v>S02</v>
      </c>
      <c r="J305" s="1" t="str">
        <f>CONCATENATE(tblParish[[#This Row],[DistCode]],"-",tblParish[[#This Row],[sCode]])</f>
        <v>D07-S02</v>
      </c>
      <c r="K305" s="1" t="e">
        <f>VLOOKUP(tblParish[[#This Row],[seketCode]],tblSeket,5,FALSE)</f>
        <v>#NAME?</v>
      </c>
      <c r="L305" s="1" t="s">
        <v>204</v>
      </c>
      <c r="M305" s="1" t="s">
        <v>513</v>
      </c>
    </row>
    <row r="306" spans="6:13" x14ac:dyDescent="0.35">
      <c r="F306" s="1" t="str">
        <f>CONCATENATE(tblParish[[#This Row],[seketCode]],"-",tblParish[[#This Row],[pCode]])</f>
        <v>D07-S02-P02</v>
      </c>
      <c r="G306" s="1" t="str">
        <f>Distrik!F$11</f>
        <v>D07</v>
      </c>
      <c r="H306" s="1" t="str">
        <f>VLOOKUP(tblParish[[#This Row],[DistCode]],tblDistrict[],2,FALSE)</f>
        <v>Boana</v>
      </c>
      <c r="I306" s="1" t="str">
        <f>Seket!I$54</f>
        <v>S02</v>
      </c>
      <c r="J306" s="1" t="str">
        <f>CONCATENATE(tblParish[[#This Row],[DistCode]],"-",tblParish[[#This Row],[sCode]])</f>
        <v>D07-S02</v>
      </c>
      <c r="K306" s="1" t="e">
        <f>VLOOKUP(tblParish[[#This Row],[seketCode]],tblSeket,5,FALSE)</f>
        <v>#NAME?</v>
      </c>
      <c r="L306" s="1" t="s">
        <v>206</v>
      </c>
      <c r="M306" s="1" t="s">
        <v>514</v>
      </c>
    </row>
    <row r="307" spans="6:13" x14ac:dyDescent="0.35">
      <c r="F307" s="1" t="str">
        <f>CONCATENATE(tblParish[[#This Row],[seketCode]],"-",tblParish[[#This Row],[pCode]])</f>
        <v>D07-S02-P03</v>
      </c>
      <c r="G307" s="1" t="str">
        <f>Distrik!F$11</f>
        <v>D07</v>
      </c>
      <c r="H307" s="1" t="str">
        <f>VLOOKUP(tblParish[[#This Row],[DistCode]],tblDistrict[],2,FALSE)</f>
        <v>Boana</v>
      </c>
      <c r="I307" s="1" t="str">
        <f>Seket!I$54</f>
        <v>S02</v>
      </c>
      <c r="J307" s="1" t="str">
        <f>CONCATENATE(tblParish[[#This Row],[DistCode]],"-",tblParish[[#This Row],[sCode]])</f>
        <v>D07-S02</v>
      </c>
      <c r="K307" s="1" t="e">
        <f>VLOOKUP(tblParish[[#This Row],[seketCode]],tblSeket,5,FALSE)</f>
        <v>#NAME?</v>
      </c>
      <c r="L307" s="1" t="s">
        <v>208</v>
      </c>
      <c r="M307" s="1" t="s">
        <v>515</v>
      </c>
    </row>
    <row r="308" spans="6:13" x14ac:dyDescent="0.35">
      <c r="F308" s="1" t="str">
        <f>CONCATENATE(tblParish[[#This Row],[seketCode]],"-",tblParish[[#This Row],[pCode]])</f>
        <v>D07-S02-P04</v>
      </c>
      <c r="G308" s="1" t="str">
        <f>Distrik!F$11</f>
        <v>D07</v>
      </c>
      <c r="H308" s="1" t="str">
        <f>VLOOKUP(tblParish[[#This Row],[DistCode]],tblDistrict[],2,FALSE)</f>
        <v>Boana</v>
      </c>
      <c r="I308" s="1" t="str">
        <f>Seket!I$54</f>
        <v>S02</v>
      </c>
      <c r="J308" s="1" t="str">
        <f>CONCATENATE(tblParish[[#This Row],[DistCode]],"-",tblParish[[#This Row],[sCode]])</f>
        <v>D07-S02</v>
      </c>
      <c r="K308" s="1" t="e">
        <f>VLOOKUP(tblParish[[#This Row],[seketCode]],tblSeket,5,FALSE)</f>
        <v>#NAME?</v>
      </c>
      <c r="L308" s="1" t="s">
        <v>210</v>
      </c>
      <c r="M308" s="1" t="s">
        <v>516</v>
      </c>
    </row>
    <row r="309" spans="6:13" x14ac:dyDescent="0.35">
      <c r="F309" s="1" t="str">
        <f>CONCATENATE(tblParish[[#This Row],[seketCode]],"-",tblParish[[#This Row],[pCode]])</f>
        <v>D07-S02-P05</v>
      </c>
      <c r="G309" s="1" t="str">
        <f>Distrik!F$11</f>
        <v>D07</v>
      </c>
      <c r="H309" s="1" t="str">
        <f>VLOOKUP(tblParish[[#This Row],[DistCode]],tblDistrict[],2,FALSE)</f>
        <v>Boana</v>
      </c>
      <c r="I309" s="1" t="str">
        <f>Seket!I$54</f>
        <v>S02</v>
      </c>
      <c r="J309" s="1" t="str">
        <f>CONCATENATE(tblParish[[#This Row],[DistCode]],"-",tblParish[[#This Row],[sCode]])</f>
        <v>D07-S02</v>
      </c>
      <c r="K309" s="1" t="e">
        <f>VLOOKUP(tblParish[[#This Row],[seketCode]],tblSeket,5,FALSE)</f>
        <v>#NAME?</v>
      </c>
      <c r="L309" s="1" t="s">
        <v>212</v>
      </c>
      <c r="M309" s="1" t="s">
        <v>517</v>
      </c>
    </row>
    <row r="310" spans="6:13" x14ac:dyDescent="0.35">
      <c r="F310" s="1" t="str">
        <f>CONCATENATE(tblParish[[#This Row],[seketCode]],"-",tblParish[[#This Row],[pCode]])</f>
        <v>D07-S02-P06</v>
      </c>
      <c r="G310" s="1" t="str">
        <f>Distrik!F$11</f>
        <v>D07</v>
      </c>
      <c r="H310" s="1" t="str">
        <f>VLOOKUP(tblParish[[#This Row],[DistCode]],tblDistrict[],2,FALSE)</f>
        <v>Boana</v>
      </c>
      <c r="I310" s="1" t="str">
        <f>Seket!I$54</f>
        <v>S02</v>
      </c>
      <c r="J310" s="1" t="str">
        <f>CONCATENATE(tblParish[[#This Row],[DistCode]],"-",tblParish[[#This Row],[sCode]])</f>
        <v>D07-S02</v>
      </c>
      <c r="K310" s="1" t="e">
        <f>VLOOKUP(tblParish[[#This Row],[seketCode]],tblSeket,5,FALSE)</f>
        <v>#NAME?</v>
      </c>
      <c r="L310" s="1" t="s">
        <v>214</v>
      </c>
      <c r="M310" s="1" t="s">
        <v>518</v>
      </c>
    </row>
    <row r="311" spans="6:13" x14ac:dyDescent="0.35">
      <c r="F311" s="1" t="str">
        <f>CONCATENATE(tblParish[[#This Row],[seketCode]],"-",tblParish[[#This Row],[pCode]])</f>
        <v>D07-S03-P01</v>
      </c>
      <c r="G311" s="1" t="str">
        <f>Distrik!F$11</f>
        <v>D07</v>
      </c>
      <c r="H311" s="1" t="str">
        <f>VLOOKUP(tblParish[[#This Row],[DistCode]],tblDistrict[],2,FALSE)</f>
        <v>Boana</v>
      </c>
      <c r="I311" s="1" t="str">
        <f>Seket!I$55</f>
        <v>S03</v>
      </c>
      <c r="J311" s="1" t="str">
        <f>CONCATENATE(tblParish[[#This Row],[DistCode]],"-",tblParish[[#This Row],[sCode]])</f>
        <v>D07-S03</v>
      </c>
      <c r="K311" s="1" t="e">
        <f>VLOOKUP(tblParish[[#This Row],[seketCode]],tblSeket,5,FALSE)</f>
        <v>#NAME?</v>
      </c>
      <c r="L311" s="1" t="s">
        <v>204</v>
      </c>
      <c r="M311" s="1" t="s">
        <v>519</v>
      </c>
    </row>
    <row r="312" spans="6:13" x14ac:dyDescent="0.35">
      <c r="F312" s="1" t="str">
        <f>CONCATENATE(tblParish[[#This Row],[seketCode]],"-",tblParish[[#This Row],[pCode]])</f>
        <v>D07-S03-P02</v>
      </c>
      <c r="G312" s="1" t="str">
        <f>Distrik!F$11</f>
        <v>D07</v>
      </c>
      <c r="H312" s="1" t="str">
        <f>VLOOKUP(tblParish[[#This Row],[DistCode]],tblDistrict[],2,FALSE)</f>
        <v>Boana</v>
      </c>
      <c r="I312" s="1" t="str">
        <f>Seket!I$55</f>
        <v>S03</v>
      </c>
      <c r="J312" s="1" t="str">
        <f>CONCATENATE(tblParish[[#This Row],[DistCode]],"-",tblParish[[#This Row],[sCode]])</f>
        <v>D07-S03</v>
      </c>
      <c r="K312" s="1" t="e">
        <f>VLOOKUP(tblParish[[#This Row],[seketCode]],tblSeket,5,FALSE)</f>
        <v>#NAME?</v>
      </c>
      <c r="L312" s="1" t="s">
        <v>206</v>
      </c>
      <c r="M312" s="1" t="s">
        <v>520</v>
      </c>
    </row>
    <row r="313" spans="6:13" x14ac:dyDescent="0.35">
      <c r="F313" s="1" t="str">
        <f>CONCATENATE(tblParish[[#This Row],[seketCode]],"-",tblParish[[#This Row],[pCode]])</f>
        <v>D07-S03-P03</v>
      </c>
      <c r="G313" s="1" t="str">
        <f>Distrik!F$11</f>
        <v>D07</v>
      </c>
      <c r="H313" s="1" t="str">
        <f>VLOOKUP(tblParish[[#This Row],[DistCode]],tblDistrict[],2,FALSE)</f>
        <v>Boana</v>
      </c>
      <c r="I313" s="1" t="str">
        <f>Seket!I$55</f>
        <v>S03</v>
      </c>
      <c r="J313" s="1" t="str">
        <f>CONCATENATE(tblParish[[#This Row],[DistCode]],"-",tblParish[[#This Row],[sCode]])</f>
        <v>D07-S03</v>
      </c>
      <c r="K313" s="1" t="e">
        <f>VLOOKUP(tblParish[[#This Row],[seketCode]],tblSeket,5,FALSE)</f>
        <v>#NAME?</v>
      </c>
      <c r="L313" s="1" t="s">
        <v>208</v>
      </c>
      <c r="M313" s="1" t="s">
        <v>521</v>
      </c>
    </row>
    <row r="314" spans="6:13" x14ac:dyDescent="0.35">
      <c r="F314" s="1" t="str">
        <f>CONCATENATE(tblParish[[#This Row],[seketCode]],"-",tblParish[[#This Row],[pCode]])</f>
        <v>D07-S03-P04</v>
      </c>
      <c r="G314" s="1" t="str">
        <f>Distrik!F$11</f>
        <v>D07</v>
      </c>
      <c r="H314" s="1" t="str">
        <f>VLOOKUP(tblParish[[#This Row],[DistCode]],tblDistrict[],2,FALSE)</f>
        <v>Boana</v>
      </c>
      <c r="I314" s="1" t="str">
        <f>Seket!I$55</f>
        <v>S03</v>
      </c>
      <c r="J314" s="1" t="str">
        <f>CONCATENATE(tblParish[[#This Row],[DistCode]],"-",tblParish[[#This Row],[sCode]])</f>
        <v>D07-S03</v>
      </c>
      <c r="K314" s="1" t="e">
        <f>VLOOKUP(tblParish[[#This Row],[seketCode]],tblSeket,5,FALSE)</f>
        <v>#NAME?</v>
      </c>
      <c r="L314" s="1" t="s">
        <v>210</v>
      </c>
      <c r="M314" s="1" t="s">
        <v>522</v>
      </c>
    </row>
    <row r="315" spans="6:13" x14ac:dyDescent="0.35">
      <c r="F315" s="1" t="str">
        <f>CONCATENATE(tblParish[[#This Row],[seketCode]],"-",tblParish[[#This Row],[pCode]])</f>
        <v>D07-S03-P05</v>
      </c>
      <c r="G315" s="1" t="str">
        <f>Distrik!F$11</f>
        <v>D07</v>
      </c>
      <c r="H315" s="1" t="str">
        <f>VLOOKUP(tblParish[[#This Row],[DistCode]],tblDistrict[],2,FALSE)</f>
        <v>Boana</v>
      </c>
      <c r="I315" s="1" t="str">
        <f>Seket!I$55</f>
        <v>S03</v>
      </c>
      <c r="J315" s="1" t="str">
        <f>CONCATENATE(tblParish[[#This Row],[DistCode]],"-",tblParish[[#This Row],[sCode]])</f>
        <v>D07-S03</v>
      </c>
      <c r="K315" s="1" t="e">
        <f>VLOOKUP(tblParish[[#This Row],[seketCode]],tblSeket,5,FALSE)</f>
        <v>#NAME?</v>
      </c>
      <c r="L315" s="1" t="s">
        <v>212</v>
      </c>
      <c r="M315" s="1" t="s">
        <v>523</v>
      </c>
    </row>
    <row r="316" spans="6:13" x14ac:dyDescent="0.35">
      <c r="F316" s="1" t="str">
        <f>CONCATENATE(tblParish[[#This Row],[seketCode]],"-",tblParish[[#This Row],[pCode]])</f>
        <v>D07-S03-P06</v>
      </c>
      <c r="G316" s="1" t="str">
        <f>Distrik!F$11</f>
        <v>D07</v>
      </c>
      <c r="H316" s="1" t="str">
        <f>VLOOKUP(tblParish[[#This Row],[DistCode]],tblDistrict[],2,FALSE)</f>
        <v>Boana</v>
      </c>
      <c r="I316" s="1" t="str">
        <f>Seket!I$55</f>
        <v>S03</v>
      </c>
      <c r="J316" s="1" t="str">
        <f>CONCATENATE(tblParish[[#This Row],[DistCode]],"-",tblParish[[#This Row],[sCode]])</f>
        <v>D07-S03</v>
      </c>
      <c r="K316" s="1" t="e">
        <f>VLOOKUP(tblParish[[#This Row],[seketCode]],tblSeket,5,FALSE)</f>
        <v>#NAME?</v>
      </c>
      <c r="L316" s="1" t="s">
        <v>214</v>
      </c>
      <c r="M316" s="1" t="s">
        <v>524</v>
      </c>
    </row>
    <row r="317" spans="6:13" x14ac:dyDescent="0.35">
      <c r="F317" s="1" t="str">
        <f>CONCATENATE(tblParish[[#This Row],[seketCode]],"-",tblParish[[#This Row],[pCode]])</f>
        <v>D08-S01-P01</v>
      </c>
      <c r="G317" s="1" t="str">
        <f>Distrik!F$12</f>
        <v>D08</v>
      </c>
      <c r="H317" s="1" t="str">
        <f>VLOOKUP(tblParish[[#This Row],[DistCode]],tblDistrict[],2,FALSE)</f>
        <v>Mumeng</v>
      </c>
      <c r="I317" s="1" t="str">
        <f>Seket!I$56</f>
        <v>S01</v>
      </c>
      <c r="J317" s="1" t="str">
        <f>CONCATENATE(tblParish[[#This Row],[DistCode]],"-",tblParish[[#This Row],[sCode]])</f>
        <v>D08-S01</v>
      </c>
      <c r="K317" s="1" t="e">
        <f>VLOOKUP(tblParish[[#This Row],[seketCode]],tblSeket,5,FALSE)</f>
        <v>#NAME?</v>
      </c>
      <c r="L317" s="1" t="s">
        <v>204</v>
      </c>
      <c r="M317" s="1" t="s">
        <v>525</v>
      </c>
    </row>
    <row r="318" spans="6:13" x14ac:dyDescent="0.35">
      <c r="F318" s="1" t="str">
        <f>CONCATENATE(tblParish[[#This Row],[seketCode]],"-",tblParish[[#This Row],[pCode]])</f>
        <v>D08-S01-P02</v>
      </c>
      <c r="G318" s="1" t="str">
        <f>Distrik!F$12</f>
        <v>D08</v>
      </c>
      <c r="H318" s="1" t="str">
        <f>VLOOKUP(tblParish[[#This Row],[DistCode]],tblDistrict[],2,FALSE)</f>
        <v>Mumeng</v>
      </c>
      <c r="I318" s="1" t="str">
        <f>Seket!I$56</f>
        <v>S01</v>
      </c>
      <c r="J318" s="1" t="str">
        <f>CONCATENATE(tblParish[[#This Row],[DistCode]],"-",tblParish[[#This Row],[sCode]])</f>
        <v>D08-S01</v>
      </c>
      <c r="K318" s="1" t="e">
        <f>VLOOKUP(tblParish[[#This Row],[seketCode]],tblSeket,5,FALSE)</f>
        <v>#NAME?</v>
      </c>
      <c r="L318" s="1" t="s">
        <v>206</v>
      </c>
      <c r="M318" s="1" t="s">
        <v>526</v>
      </c>
    </row>
    <row r="319" spans="6:13" x14ac:dyDescent="0.35">
      <c r="F319" s="1" t="str">
        <f>CONCATENATE(tblParish[[#This Row],[seketCode]],"-",tblParish[[#This Row],[pCode]])</f>
        <v>D08-S01-P03</v>
      </c>
      <c r="G319" s="1" t="str">
        <f>Distrik!F$12</f>
        <v>D08</v>
      </c>
      <c r="H319" s="1" t="str">
        <f>VLOOKUP(tblParish[[#This Row],[DistCode]],tblDistrict[],2,FALSE)</f>
        <v>Mumeng</v>
      </c>
      <c r="I319" s="1" t="str">
        <f>Seket!I$56</f>
        <v>S01</v>
      </c>
      <c r="J319" s="1" t="str">
        <f>CONCATENATE(tblParish[[#This Row],[DistCode]],"-",tblParish[[#This Row],[sCode]])</f>
        <v>D08-S01</v>
      </c>
      <c r="K319" s="1" t="e">
        <f>VLOOKUP(tblParish[[#This Row],[seketCode]],tblSeket,5,FALSE)</f>
        <v>#NAME?</v>
      </c>
      <c r="L319" s="1" t="s">
        <v>208</v>
      </c>
      <c r="M319" s="1" t="s">
        <v>527</v>
      </c>
    </row>
    <row r="320" spans="6:13" x14ac:dyDescent="0.35">
      <c r="F320" s="1" t="str">
        <f>CONCATENATE(tblParish[[#This Row],[seketCode]],"-",tblParish[[#This Row],[pCode]])</f>
        <v>D08-S01-P04</v>
      </c>
      <c r="G320" s="1" t="str">
        <f>Distrik!F$12</f>
        <v>D08</v>
      </c>
      <c r="H320" s="1" t="str">
        <f>VLOOKUP(tblParish[[#This Row],[DistCode]],tblDistrict[],2,FALSE)</f>
        <v>Mumeng</v>
      </c>
      <c r="I320" s="1" t="str">
        <f>Seket!I$56</f>
        <v>S01</v>
      </c>
      <c r="J320" s="1" t="str">
        <f>CONCATENATE(tblParish[[#This Row],[DistCode]],"-",tblParish[[#This Row],[sCode]])</f>
        <v>D08-S01</v>
      </c>
      <c r="K320" s="1" t="e">
        <f>VLOOKUP(tblParish[[#This Row],[seketCode]],tblSeket,5,FALSE)</f>
        <v>#NAME?</v>
      </c>
      <c r="L320" s="1" t="s">
        <v>210</v>
      </c>
      <c r="M320" s="1" t="s">
        <v>528</v>
      </c>
    </row>
    <row r="321" spans="6:13" x14ac:dyDescent="0.35">
      <c r="F321" s="1" t="str">
        <f>CONCATENATE(tblParish[[#This Row],[seketCode]],"-",tblParish[[#This Row],[pCode]])</f>
        <v>D08-S01-P05</v>
      </c>
      <c r="G321" s="1" t="str">
        <f>Distrik!F$12</f>
        <v>D08</v>
      </c>
      <c r="H321" s="1" t="str">
        <f>VLOOKUP(tblParish[[#This Row],[DistCode]],tblDistrict[],2,FALSE)</f>
        <v>Mumeng</v>
      </c>
      <c r="I321" s="1" t="str">
        <f>Seket!I$56</f>
        <v>S01</v>
      </c>
      <c r="J321" s="1" t="str">
        <f>CONCATENATE(tblParish[[#This Row],[DistCode]],"-",tblParish[[#This Row],[sCode]])</f>
        <v>D08-S01</v>
      </c>
      <c r="K321" s="1" t="e">
        <f>VLOOKUP(tblParish[[#This Row],[seketCode]],tblSeket,5,FALSE)</f>
        <v>#NAME?</v>
      </c>
      <c r="L321" s="1" t="s">
        <v>212</v>
      </c>
      <c r="M321" s="1" t="s">
        <v>529</v>
      </c>
    </row>
    <row r="322" spans="6:13" x14ac:dyDescent="0.35">
      <c r="F322" s="1" t="str">
        <f>CONCATENATE(tblParish[[#This Row],[seketCode]],"-",tblParish[[#This Row],[pCode]])</f>
        <v>D08-S02-P01</v>
      </c>
      <c r="G322" s="1" t="str">
        <f>Distrik!F$12</f>
        <v>D08</v>
      </c>
      <c r="H322" s="1" t="str">
        <f>VLOOKUP(tblParish[[#This Row],[DistCode]],tblDistrict[],2,FALSE)</f>
        <v>Mumeng</v>
      </c>
      <c r="I322" s="1" t="str">
        <f>Seket!I$57</f>
        <v>S02</v>
      </c>
      <c r="J322" s="1" t="str">
        <f>CONCATENATE(tblParish[[#This Row],[DistCode]],"-",tblParish[[#This Row],[sCode]])</f>
        <v>D08-S02</v>
      </c>
      <c r="K322" s="1" t="e">
        <f>VLOOKUP(tblParish[[#This Row],[seketCode]],tblSeket,5,FALSE)</f>
        <v>#NAME?</v>
      </c>
      <c r="L322" s="1" t="s">
        <v>204</v>
      </c>
      <c r="M322" s="1" t="s">
        <v>530</v>
      </c>
    </row>
    <row r="323" spans="6:13" x14ac:dyDescent="0.35">
      <c r="F323" s="1" t="str">
        <f>CONCATENATE(tblParish[[#This Row],[seketCode]],"-",tblParish[[#This Row],[pCode]])</f>
        <v>D08-S02-P02</v>
      </c>
      <c r="G323" s="1" t="str">
        <f>Distrik!F$12</f>
        <v>D08</v>
      </c>
      <c r="H323" s="1" t="str">
        <f>VLOOKUP(tblParish[[#This Row],[DistCode]],tblDistrict[],2,FALSE)</f>
        <v>Mumeng</v>
      </c>
      <c r="I323" s="1" t="str">
        <f>Seket!I$57</f>
        <v>S02</v>
      </c>
      <c r="J323" s="1" t="str">
        <f>CONCATENATE(tblParish[[#This Row],[DistCode]],"-",tblParish[[#This Row],[sCode]])</f>
        <v>D08-S02</v>
      </c>
      <c r="K323" s="1" t="e">
        <f>VLOOKUP(tblParish[[#This Row],[seketCode]],tblSeket,5,FALSE)</f>
        <v>#NAME?</v>
      </c>
      <c r="L323" s="1" t="s">
        <v>206</v>
      </c>
      <c r="M323" s="1" t="s">
        <v>328</v>
      </c>
    </row>
    <row r="324" spans="6:13" x14ac:dyDescent="0.35">
      <c r="F324" s="1" t="str">
        <f>CONCATENATE(tblParish[[#This Row],[seketCode]],"-",tblParish[[#This Row],[pCode]])</f>
        <v>D08-S02-P03</v>
      </c>
      <c r="G324" s="1" t="str">
        <f>Distrik!F$12</f>
        <v>D08</v>
      </c>
      <c r="H324" s="1" t="str">
        <f>VLOOKUP(tblParish[[#This Row],[DistCode]],tblDistrict[],2,FALSE)</f>
        <v>Mumeng</v>
      </c>
      <c r="I324" s="1" t="str">
        <f>Seket!I$57</f>
        <v>S02</v>
      </c>
      <c r="J324" s="1" t="str">
        <f>CONCATENATE(tblParish[[#This Row],[DistCode]],"-",tblParish[[#This Row],[sCode]])</f>
        <v>D08-S02</v>
      </c>
      <c r="K324" s="1" t="e">
        <f>VLOOKUP(tblParish[[#This Row],[seketCode]],tblSeket,5,FALSE)</f>
        <v>#NAME?</v>
      </c>
      <c r="L324" s="1" t="s">
        <v>208</v>
      </c>
      <c r="M324" s="1" t="s">
        <v>531</v>
      </c>
    </row>
    <row r="325" spans="6:13" x14ac:dyDescent="0.35">
      <c r="F325" s="1" t="str">
        <f>CONCATENATE(tblParish[[#This Row],[seketCode]],"-",tblParish[[#This Row],[pCode]])</f>
        <v>D08-S02-P04</v>
      </c>
      <c r="G325" s="1" t="str">
        <f>Distrik!F$12</f>
        <v>D08</v>
      </c>
      <c r="H325" s="1" t="str">
        <f>VLOOKUP(tblParish[[#This Row],[DistCode]],tblDistrict[],2,FALSE)</f>
        <v>Mumeng</v>
      </c>
      <c r="I325" s="1" t="str">
        <f>Seket!I$57</f>
        <v>S02</v>
      </c>
      <c r="J325" s="1" t="str">
        <f>CONCATENATE(tblParish[[#This Row],[DistCode]],"-",tblParish[[#This Row],[sCode]])</f>
        <v>D08-S02</v>
      </c>
      <c r="K325" s="1" t="e">
        <f>VLOOKUP(tblParish[[#This Row],[seketCode]],tblSeket,5,FALSE)</f>
        <v>#NAME?</v>
      </c>
      <c r="L325" s="1" t="s">
        <v>210</v>
      </c>
      <c r="M325" s="1" t="s">
        <v>532</v>
      </c>
    </row>
    <row r="326" spans="6:13" x14ac:dyDescent="0.35">
      <c r="F326" s="1" t="str">
        <f>CONCATENATE(tblParish[[#This Row],[seketCode]],"-",tblParish[[#This Row],[pCode]])</f>
        <v>D08-S03-P01</v>
      </c>
      <c r="G326" s="1" t="str">
        <f>Distrik!F$12</f>
        <v>D08</v>
      </c>
      <c r="H326" s="1" t="str">
        <f>VLOOKUP(tblParish[[#This Row],[DistCode]],tblDistrict[],2,FALSE)</f>
        <v>Mumeng</v>
      </c>
      <c r="I326" s="1" t="str">
        <f>Seket!I$58</f>
        <v>S03</v>
      </c>
      <c r="J326" s="1" t="str">
        <f>CONCATENATE(tblParish[[#This Row],[DistCode]],"-",tblParish[[#This Row],[sCode]])</f>
        <v>D08-S03</v>
      </c>
      <c r="K326" s="1" t="e">
        <f>VLOOKUP(tblParish[[#This Row],[seketCode]],tblSeket,5,FALSE)</f>
        <v>#NAME?</v>
      </c>
      <c r="L326" s="1" t="s">
        <v>204</v>
      </c>
      <c r="M326" s="1" t="s">
        <v>361</v>
      </c>
    </row>
    <row r="327" spans="6:13" x14ac:dyDescent="0.35">
      <c r="F327" s="1" t="str">
        <f>CONCATENATE(tblParish[[#This Row],[seketCode]],"-",tblParish[[#This Row],[pCode]])</f>
        <v>D08-S03-P02</v>
      </c>
      <c r="G327" s="1" t="str">
        <f>Distrik!F$12</f>
        <v>D08</v>
      </c>
      <c r="H327" s="1" t="str">
        <f>VLOOKUP(tblParish[[#This Row],[DistCode]],tblDistrict[],2,FALSE)</f>
        <v>Mumeng</v>
      </c>
      <c r="I327" s="1" t="str">
        <f>Seket!I$58</f>
        <v>S03</v>
      </c>
      <c r="J327" s="1" t="str">
        <f>CONCATENATE(tblParish[[#This Row],[DistCode]],"-",tblParish[[#This Row],[sCode]])</f>
        <v>D08-S03</v>
      </c>
      <c r="K327" s="1" t="e">
        <f>VLOOKUP(tblParish[[#This Row],[seketCode]],tblSeket,5,FALSE)</f>
        <v>#NAME?</v>
      </c>
      <c r="L327" s="1" t="s">
        <v>206</v>
      </c>
      <c r="M327" s="1" t="s">
        <v>533</v>
      </c>
    </row>
    <row r="328" spans="6:13" x14ac:dyDescent="0.35">
      <c r="F328" s="1" t="str">
        <f>CONCATENATE(tblParish[[#This Row],[seketCode]],"-",tblParish[[#This Row],[pCode]])</f>
        <v>D08-S03-P03</v>
      </c>
      <c r="G328" s="1" t="str">
        <f>Distrik!F$12</f>
        <v>D08</v>
      </c>
      <c r="H328" s="1" t="str">
        <f>VLOOKUP(tblParish[[#This Row],[DistCode]],tblDistrict[],2,FALSE)</f>
        <v>Mumeng</v>
      </c>
      <c r="I328" s="1" t="str">
        <f>Seket!I$58</f>
        <v>S03</v>
      </c>
      <c r="J328" s="1" t="str">
        <f>CONCATENATE(tblParish[[#This Row],[DistCode]],"-",tblParish[[#This Row],[sCode]])</f>
        <v>D08-S03</v>
      </c>
      <c r="K328" s="1" t="e">
        <f>VLOOKUP(tblParish[[#This Row],[seketCode]],tblSeket,5,FALSE)</f>
        <v>#NAME?</v>
      </c>
      <c r="L328" s="1" t="s">
        <v>208</v>
      </c>
      <c r="M328" s="1" t="s">
        <v>534</v>
      </c>
    </row>
    <row r="329" spans="6:13" x14ac:dyDescent="0.35">
      <c r="F329" s="1" t="str">
        <f>CONCATENATE(tblParish[[#This Row],[seketCode]],"-",tblParish[[#This Row],[pCode]])</f>
        <v>D08-S03-P04</v>
      </c>
      <c r="G329" s="1" t="str">
        <f>Distrik!F$12</f>
        <v>D08</v>
      </c>
      <c r="H329" s="1" t="str">
        <f>VLOOKUP(tblParish[[#This Row],[DistCode]],tblDistrict[],2,FALSE)</f>
        <v>Mumeng</v>
      </c>
      <c r="I329" s="1" t="str">
        <f>Seket!I$58</f>
        <v>S03</v>
      </c>
      <c r="J329" s="1" t="str">
        <f>CONCATENATE(tblParish[[#This Row],[DistCode]],"-",tblParish[[#This Row],[sCode]])</f>
        <v>D08-S03</v>
      </c>
      <c r="K329" s="1" t="e">
        <f>VLOOKUP(tblParish[[#This Row],[seketCode]],tblSeket,5,FALSE)</f>
        <v>#NAME?</v>
      </c>
      <c r="L329" s="1" t="s">
        <v>210</v>
      </c>
      <c r="M329" s="1" t="s">
        <v>535</v>
      </c>
    </row>
    <row r="330" spans="6:13" x14ac:dyDescent="0.35">
      <c r="F330" s="1" t="str">
        <f>CONCATENATE(tblParish[[#This Row],[seketCode]],"-",tblParish[[#This Row],[pCode]])</f>
        <v>D08-S03-P05</v>
      </c>
      <c r="G330" s="1" t="str">
        <f>Distrik!F$12</f>
        <v>D08</v>
      </c>
      <c r="H330" s="1" t="str">
        <f>VLOOKUP(tblParish[[#This Row],[DistCode]],tblDistrict[],2,FALSE)</f>
        <v>Mumeng</v>
      </c>
      <c r="I330" s="1" t="str">
        <f>Seket!I$58</f>
        <v>S03</v>
      </c>
      <c r="J330" s="1" t="str">
        <f>CONCATENATE(tblParish[[#This Row],[DistCode]],"-",tblParish[[#This Row],[sCode]])</f>
        <v>D08-S03</v>
      </c>
      <c r="K330" s="1" t="e">
        <f>VLOOKUP(tblParish[[#This Row],[seketCode]],tblSeket,5,FALSE)</f>
        <v>#NAME?</v>
      </c>
      <c r="L330" s="1" t="s">
        <v>212</v>
      </c>
      <c r="M330" s="1" t="s">
        <v>536</v>
      </c>
    </row>
    <row r="331" spans="6:13" x14ac:dyDescent="0.35">
      <c r="F331" s="1" t="str">
        <f>CONCATENATE(tblParish[[#This Row],[seketCode]],"-",tblParish[[#This Row],[pCode]])</f>
        <v>D08-S04-P01</v>
      </c>
      <c r="G331" s="1" t="str">
        <f>Distrik!F$12</f>
        <v>D08</v>
      </c>
      <c r="H331" s="1" t="str">
        <f>VLOOKUP(tblParish[[#This Row],[DistCode]],tblDistrict[],2,FALSE)</f>
        <v>Mumeng</v>
      </c>
      <c r="I331" s="1" t="str">
        <f>Seket!I$59</f>
        <v>S04</v>
      </c>
      <c r="J331" s="1" t="str">
        <f>CONCATENATE(tblParish[[#This Row],[DistCode]],"-",tblParish[[#This Row],[sCode]])</f>
        <v>D08-S04</v>
      </c>
      <c r="K331" s="1" t="e">
        <f>VLOOKUP(tblParish[[#This Row],[seketCode]],tblSeket,5,FALSE)</f>
        <v>#NAME?</v>
      </c>
      <c r="L331" s="1" t="s">
        <v>204</v>
      </c>
      <c r="M331" s="1" t="s">
        <v>537</v>
      </c>
    </row>
    <row r="332" spans="6:13" x14ac:dyDescent="0.35">
      <c r="F332" s="1" t="str">
        <f>CONCATENATE(tblParish[[#This Row],[seketCode]],"-",tblParish[[#This Row],[pCode]])</f>
        <v>D08-S04-P02</v>
      </c>
      <c r="G332" s="1" t="str">
        <f>Distrik!F$12</f>
        <v>D08</v>
      </c>
      <c r="H332" s="1" t="str">
        <f>VLOOKUP(tblParish[[#This Row],[DistCode]],tblDistrict[],2,FALSE)</f>
        <v>Mumeng</v>
      </c>
      <c r="I332" s="1" t="str">
        <f>Seket!I$59</f>
        <v>S04</v>
      </c>
      <c r="J332" s="1" t="str">
        <f>CONCATENATE(tblParish[[#This Row],[DistCode]],"-",tblParish[[#This Row],[sCode]])</f>
        <v>D08-S04</v>
      </c>
      <c r="K332" s="1" t="e">
        <f>VLOOKUP(tblParish[[#This Row],[seketCode]],tblSeket,5,FALSE)</f>
        <v>#NAME?</v>
      </c>
      <c r="L332" s="1" t="s">
        <v>206</v>
      </c>
      <c r="M332" s="1" t="s">
        <v>538</v>
      </c>
    </row>
    <row r="333" spans="6:13" x14ac:dyDescent="0.35">
      <c r="F333" s="1" t="str">
        <f>CONCATENATE(tblParish[[#This Row],[seketCode]],"-",tblParish[[#This Row],[pCode]])</f>
        <v>D08-S05-P01</v>
      </c>
      <c r="G333" s="1" t="str">
        <f>Distrik!F$12</f>
        <v>D08</v>
      </c>
      <c r="H333" s="1" t="str">
        <f>VLOOKUP(tblParish[[#This Row],[DistCode]],tblDistrict[],2,FALSE)</f>
        <v>Mumeng</v>
      </c>
      <c r="I333" s="1" t="str">
        <f>Seket!I$60</f>
        <v>S05</v>
      </c>
      <c r="J333" s="1" t="str">
        <f>CONCATENATE(tblParish[[#This Row],[DistCode]],"-",tblParish[[#This Row],[sCode]])</f>
        <v>D08-S05</v>
      </c>
      <c r="K333" s="1" t="e">
        <f>VLOOKUP(tblParish[[#This Row],[seketCode]],tblSeket,5,FALSE)</f>
        <v>#NAME?</v>
      </c>
      <c r="L333" s="1" t="s">
        <v>204</v>
      </c>
      <c r="M333" s="1" t="s">
        <v>539</v>
      </c>
    </row>
    <row r="334" spans="6:13" x14ac:dyDescent="0.35">
      <c r="F334" s="1" t="str">
        <f>CONCATENATE(tblParish[[#This Row],[seketCode]],"-",tblParish[[#This Row],[pCode]])</f>
        <v>D08-S05-P02</v>
      </c>
      <c r="G334" s="1" t="str">
        <f>Distrik!F$12</f>
        <v>D08</v>
      </c>
      <c r="H334" s="1" t="str">
        <f>VLOOKUP(tblParish[[#This Row],[DistCode]],tblDistrict[],2,FALSE)</f>
        <v>Mumeng</v>
      </c>
      <c r="I334" s="1" t="str">
        <f>Seket!I$60</f>
        <v>S05</v>
      </c>
      <c r="J334" s="1" t="str">
        <f>CONCATENATE(tblParish[[#This Row],[DistCode]],"-",tblParish[[#This Row],[sCode]])</f>
        <v>D08-S05</v>
      </c>
      <c r="K334" s="1" t="e">
        <f>VLOOKUP(tblParish[[#This Row],[seketCode]],tblSeket,5,FALSE)</f>
        <v>#NAME?</v>
      </c>
      <c r="L334" s="1" t="s">
        <v>206</v>
      </c>
      <c r="M334" s="1" t="s">
        <v>540</v>
      </c>
    </row>
    <row r="335" spans="6:13" x14ac:dyDescent="0.35">
      <c r="F335" s="1" t="str">
        <f>CONCATENATE(tblParish[[#This Row],[seketCode]],"-",tblParish[[#This Row],[pCode]])</f>
        <v>D08-S05-P03</v>
      </c>
      <c r="G335" s="1" t="str">
        <f>Distrik!F$12</f>
        <v>D08</v>
      </c>
      <c r="H335" s="1" t="str">
        <f>VLOOKUP(tblParish[[#This Row],[DistCode]],tblDistrict[],2,FALSE)</f>
        <v>Mumeng</v>
      </c>
      <c r="I335" s="1" t="str">
        <f>Seket!I$60</f>
        <v>S05</v>
      </c>
      <c r="J335" s="1" t="str">
        <f>CONCATENATE(tblParish[[#This Row],[DistCode]],"-",tblParish[[#This Row],[sCode]])</f>
        <v>D08-S05</v>
      </c>
      <c r="K335" s="1" t="e">
        <f>VLOOKUP(tblParish[[#This Row],[seketCode]],tblSeket,5,FALSE)</f>
        <v>#NAME?</v>
      </c>
      <c r="L335" s="1" t="s">
        <v>208</v>
      </c>
      <c r="M335" s="1" t="s">
        <v>541</v>
      </c>
    </row>
    <row r="336" spans="6:13" x14ac:dyDescent="0.35">
      <c r="F336" s="1" t="str">
        <f>CONCATENATE(tblParish[[#This Row],[seketCode]],"-",tblParish[[#This Row],[pCode]])</f>
        <v>D09-S01-P01</v>
      </c>
      <c r="G336" s="1" t="str">
        <f>Distrik!F$13</f>
        <v>D09</v>
      </c>
      <c r="H336" s="1" t="str">
        <f>VLOOKUP(tblParish[[#This Row],[DistCode]],tblDistrict[],2,FALSE)</f>
        <v>NGI</v>
      </c>
      <c r="I336" s="1" t="str">
        <f>Seket!I$61</f>
        <v>S01</v>
      </c>
      <c r="J336" s="1" t="str">
        <f>CONCATENATE(tblParish[[#This Row],[DistCode]],"-",tblParish[[#This Row],[sCode]])</f>
        <v>D09-S01</v>
      </c>
      <c r="K336" s="1" t="e">
        <f>VLOOKUP(tblParish[[#This Row],[seketCode]],tblSeket,5,FALSE)</f>
        <v>#NAME?</v>
      </c>
      <c r="L336" s="1" t="s">
        <v>204</v>
      </c>
      <c r="M336" s="1" t="s">
        <v>542</v>
      </c>
    </row>
    <row r="337" spans="6:13" x14ac:dyDescent="0.35">
      <c r="F337" s="1" t="str">
        <f>CONCATENATE(tblParish[[#This Row],[seketCode]],"-",tblParish[[#This Row],[pCode]])</f>
        <v>D09-S01-P02</v>
      </c>
      <c r="G337" s="1" t="str">
        <f>Distrik!F$13</f>
        <v>D09</v>
      </c>
      <c r="H337" s="1" t="str">
        <f>VLOOKUP(tblParish[[#This Row],[DistCode]],tblDistrict[],2,FALSE)</f>
        <v>NGI</v>
      </c>
      <c r="I337" s="1" t="str">
        <f>Seket!I$61</f>
        <v>S01</v>
      </c>
      <c r="J337" s="1" t="str">
        <f>CONCATENATE(tblParish[[#This Row],[DistCode]],"-",tblParish[[#This Row],[sCode]])</f>
        <v>D09-S01</v>
      </c>
      <c r="K337" s="1" t="e">
        <f>VLOOKUP(tblParish[[#This Row],[seketCode]],tblSeket,5,FALSE)</f>
        <v>#NAME?</v>
      </c>
      <c r="L337" s="1" t="s">
        <v>206</v>
      </c>
      <c r="M337" s="1" t="s">
        <v>543</v>
      </c>
    </row>
    <row r="338" spans="6:13" x14ac:dyDescent="0.35">
      <c r="F338" s="1" t="str">
        <f>CONCATENATE(tblParish[[#This Row],[seketCode]],"-",tblParish[[#This Row],[pCode]])</f>
        <v>D09-S01-P03</v>
      </c>
      <c r="G338" s="1" t="str">
        <f>Distrik!F$13</f>
        <v>D09</v>
      </c>
      <c r="H338" s="1" t="str">
        <f>VLOOKUP(tblParish[[#This Row],[DistCode]],tblDistrict[],2,FALSE)</f>
        <v>NGI</v>
      </c>
      <c r="I338" s="1" t="str">
        <f>Seket!I$61</f>
        <v>S01</v>
      </c>
      <c r="J338" s="1" t="str">
        <f>CONCATENATE(tblParish[[#This Row],[DistCode]],"-",tblParish[[#This Row],[sCode]])</f>
        <v>D09-S01</v>
      </c>
      <c r="K338" s="1" t="e">
        <f>VLOOKUP(tblParish[[#This Row],[seketCode]],tblSeket,5,FALSE)</f>
        <v>#NAME?</v>
      </c>
      <c r="L338" s="1" t="s">
        <v>208</v>
      </c>
      <c r="M338" s="1" t="s">
        <v>544</v>
      </c>
    </row>
    <row r="339" spans="6:13" x14ac:dyDescent="0.35">
      <c r="F339" s="1" t="str">
        <f>CONCATENATE(tblParish[[#This Row],[seketCode]],"-",tblParish[[#This Row],[pCode]])</f>
        <v>D09-S01-P04</v>
      </c>
      <c r="G339" s="1" t="str">
        <f>Distrik!F$13</f>
        <v>D09</v>
      </c>
      <c r="H339" s="1" t="str">
        <f>VLOOKUP(tblParish[[#This Row],[DistCode]],tblDistrict[],2,FALSE)</f>
        <v>NGI</v>
      </c>
      <c r="I339" s="1" t="str">
        <f>Seket!I$61</f>
        <v>S01</v>
      </c>
      <c r="J339" s="1" t="str">
        <f>CONCATENATE(tblParish[[#This Row],[DistCode]],"-",tblParish[[#This Row],[sCode]])</f>
        <v>D09-S01</v>
      </c>
      <c r="K339" s="1" t="e">
        <f>VLOOKUP(tblParish[[#This Row],[seketCode]],tblSeket,5,FALSE)</f>
        <v>#NAME?</v>
      </c>
      <c r="L339" s="1" t="s">
        <v>210</v>
      </c>
      <c r="M339" s="1" t="s">
        <v>545</v>
      </c>
    </row>
    <row r="340" spans="6:13" x14ac:dyDescent="0.35">
      <c r="F340" s="1" t="str">
        <f>CONCATENATE(tblParish[[#This Row],[seketCode]],"-",tblParish[[#This Row],[pCode]])</f>
        <v>D09-S01-P05</v>
      </c>
      <c r="G340" s="1" t="str">
        <f>Distrik!F$13</f>
        <v>D09</v>
      </c>
      <c r="H340" s="1" t="str">
        <f>VLOOKUP(tblParish[[#This Row],[DistCode]],tblDistrict[],2,FALSE)</f>
        <v>NGI</v>
      </c>
      <c r="I340" s="1" t="str">
        <f>Seket!I$61</f>
        <v>S01</v>
      </c>
      <c r="J340" s="1" t="str">
        <f>CONCATENATE(tblParish[[#This Row],[DistCode]],"-",tblParish[[#This Row],[sCode]])</f>
        <v>D09-S01</v>
      </c>
      <c r="K340" s="1" t="e">
        <f>VLOOKUP(tblParish[[#This Row],[seketCode]],tblSeket,5,FALSE)</f>
        <v>#NAME?</v>
      </c>
      <c r="L340" s="1" t="s">
        <v>212</v>
      </c>
      <c r="M340" s="1" t="s">
        <v>546</v>
      </c>
    </row>
    <row r="342" spans="6:13" x14ac:dyDescent="0.35">
      <c r="F342" s="1" t="str">
        <f>CONCATENATE(tblParish[[#This Row],[seketCode]],"-",tblParish[[#This Row],[pCode]])</f>
        <v>D12-S03-P01</v>
      </c>
      <c r="G342" s="1" t="str">
        <f>Distrik!F$16</f>
        <v>D12</v>
      </c>
      <c r="H342" s="1" t="str">
        <f>VLOOKUP(tblParish[[#This Row],[DistCode]],tblDistrict[],2,FALSE)</f>
        <v>Goroka</v>
      </c>
      <c r="I342" s="1" t="str">
        <f>Seket!I$67</f>
        <v>S03</v>
      </c>
      <c r="J342" s="1" t="str">
        <f>CONCATENATE(tblParish[[#This Row],[DistCode]],"-",tblParish[[#This Row],[sCode]])</f>
        <v>D12-S03</v>
      </c>
      <c r="K342" s="1" t="e">
        <f>VLOOKUP(tblParish[[#This Row],[seketCode]],tblSeket,5,FALSE)</f>
        <v>#NAME?</v>
      </c>
      <c r="L342" s="1" t="s">
        <v>204</v>
      </c>
      <c r="M342" s="1" t="s">
        <v>547</v>
      </c>
    </row>
    <row r="343" spans="6:13" x14ac:dyDescent="0.35">
      <c r="F343" s="1" t="str">
        <f>CONCATENATE(tblParish[[#This Row],[seketCode]],"-",tblParish[[#This Row],[pCode]])</f>
        <v>D12-S03-P02</v>
      </c>
      <c r="G343" s="1" t="str">
        <f>Distrik!F$16</f>
        <v>D12</v>
      </c>
      <c r="H343" s="1" t="str">
        <f>VLOOKUP(tblParish[[#This Row],[DistCode]],tblDistrict[],2,FALSE)</f>
        <v>Goroka</v>
      </c>
      <c r="I343" s="1" t="str">
        <f>Seket!I$67</f>
        <v>S03</v>
      </c>
      <c r="J343" s="1" t="str">
        <f>CONCATENATE(tblParish[[#This Row],[DistCode]],"-",tblParish[[#This Row],[sCode]])</f>
        <v>D12-S03</v>
      </c>
      <c r="K343" s="1" t="e">
        <f>VLOOKUP(tblParish[[#This Row],[seketCode]],tblSeket,5,FALSE)</f>
        <v>#NAME?</v>
      </c>
      <c r="L343" s="1" t="s">
        <v>206</v>
      </c>
      <c r="M343" s="1" t="s">
        <v>548</v>
      </c>
    </row>
    <row r="344" spans="6:13" x14ac:dyDescent="0.35">
      <c r="F344" s="1" t="str">
        <f>CONCATENATE(tblParish[[#This Row],[seketCode]],"-",tblParish[[#This Row],[pCode]])</f>
        <v>D12-S03-P03</v>
      </c>
      <c r="G344" s="1" t="str">
        <f>Distrik!F$16</f>
        <v>D12</v>
      </c>
      <c r="H344" s="1" t="str">
        <f>VLOOKUP(tblParish[[#This Row],[DistCode]],tblDistrict[],2,FALSE)</f>
        <v>Goroka</v>
      </c>
      <c r="I344" s="1" t="str">
        <f>Seket!I$67</f>
        <v>S03</v>
      </c>
      <c r="J344" s="1" t="str">
        <f>CONCATENATE(tblParish[[#This Row],[DistCode]],"-",tblParish[[#This Row],[sCode]])</f>
        <v>D12-S03</v>
      </c>
      <c r="K344" s="1" t="e">
        <f>VLOOKUP(tblParish[[#This Row],[seketCode]],tblSeket,5,FALSE)</f>
        <v>#NAME?</v>
      </c>
      <c r="L344" s="1" t="s">
        <v>208</v>
      </c>
      <c r="M344" s="1" t="s">
        <v>549</v>
      </c>
    </row>
    <row r="345" spans="6:13" x14ac:dyDescent="0.35">
      <c r="F345" s="1" t="str">
        <f>CONCATENATE(tblParish[[#This Row],[seketCode]],"-",tblParish[[#This Row],[pCode]])</f>
        <v>D12-S03-P04</v>
      </c>
      <c r="G345" s="1" t="str">
        <f>Distrik!F$16</f>
        <v>D12</v>
      </c>
      <c r="H345" s="1" t="str">
        <f>VLOOKUP(tblParish[[#This Row],[DistCode]],tblDistrict[],2,FALSE)</f>
        <v>Goroka</v>
      </c>
      <c r="I345" s="1" t="str">
        <f>Seket!I$67</f>
        <v>S03</v>
      </c>
      <c r="J345" s="1" t="str">
        <f>CONCATENATE(tblParish[[#This Row],[DistCode]],"-",tblParish[[#This Row],[sCode]])</f>
        <v>D12-S03</v>
      </c>
      <c r="K345" s="1" t="e">
        <f>VLOOKUP(tblParish[[#This Row],[seketCode]],tblSeket,5,FALSE)</f>
        <v>#NAME?</v>
      </c>
      <c r="L345" s="1" t="s">
        <v>210</v>
      </c>
      <c r="M345" s="1" t="s">
        <v>550</v>
      </c>
    </row>
    <row r="346" spans="6:13" x14ac:dyDescent="0.35">
      <c r="F346" s="1" t="str">
        <f>CONCATENATE(tblParish[[#This Row],[seketCode]],"-",tblParish[[#This Row],[pCode]])</f>
        <v>D12-S03-P05</v>
      </c>
      <c r="G346" s="1" t="str">
        <f>Distrik!F$16</f>
        <v>D12</v>
      </c>
      <c r="H346" s="1" t="str">
        <f>VLOOKUP(tblParish[[#This Row],[DistCode]],tblDistrict[],2,FALSE)</f>
        <v>Goroka</v>
      </c>
      <c r="I346" s="1" t="str">
        <f>Seket!I$67</f>
        <v>S03</v>
      </c>
      <c r="J346" s="1" t="str">
        <f>CONCATENATE(tblParish[[#This Row],[DistCode]],"-",tblParish[[#This Row],[sCode]])</f>
        <v>D12-S03</v>
      </c>
      <c r="K346" s="1" t="e">
        <f>VLOOKUP(tblParish[[#This Row],[seketCode]],tblSeket,5,FALSE)</f>
        <v>#NAME?</v>
      </c>
      <c r="L346" s="1" t="s">
        <v>212</v>
      </c>
      <c r="M346" s="1" t="s">
        <v>551</v>
      </c>
    </row>
    <row r="347" spans="6:13" x14ac:dyDescent="0.35">
      <c r="F347" s="1" t="str">
        <f>CONCATENATE(tblParish[[#This Row],[seketCode]],"-",tblParish[[#This Row],[pCode]])</f>
        <v>D12-S03-P06</v>
      </c>
      <c r="G347" s="1" t="str">
        <f>Distrik!F$16</f>
        <v>D12</v>
      </c>
      <c r="H347" s="1" t="str">
        <f>VLOOKUP(tblParish[[#This Row],[DistCode]],tblDistrict[],2,FALSE)</f>
        <v>Goroka</v>
      </c>
      <c r="I347" s="1" t="str">
        <f>Seket!I$67</f>
        <v>S03</v>
      </c>
      <c r="J347" s="1" t="str">
        <f>CONCATENATE(tblParish[[#This Row],[DistCode]],"-",tblParish[[#This Row],[sCode]])</f>
        <v>D12-S03</v>
      </c>
      <c r="K347" s="1" t="e">
        <f>VLOOKUP(tblParish[[#This Row],[seketCode]],tblSeket,5,FALSE)</f>
        <v>#NAME?</v>
      </c>
      <c r="L347" s="1" t="s">
        <v>214</v>
      </c>
      <c r="M347" s="1" t="s">
        <v>552</v>
      </c>
    </row>
    <row r="348" spans="6:13" x14ac:dyDescent="0.35">
      <c r="F348" s="1" t="str">
        <f>CONCATENATE(tblParish[[#This Row],[seketCode]],"-",tblParish[[#This Row],[pCode]])</f>
        <v>D12-S04-P01</v>
      </c>
      <c r="G348" s="1" t="str">
        <f>Distrik!F$16</f>
        <v>D12</v>
      </c>
      <c r="H348" s="1" t="str">
        <f>VLOOKUP(tblParish[[#This Row],[DistCode]],tblDistrict[],2,FALSE)</f>
        <v>Goroka</v>
      </c>
      <c r="I348" s="1" t="str">
        <f>Seket!I$68</f>
        <v>S04</v>
      </c>
      <c r="J348" s="1" t="str">
        <f>CONCATENATE(tblParish[[#This Row],[DistCode]],"-",tblParish[[#This Row],[sCode]])</f>
        <v>D12-S04</v>
      </c>
      <c r="K348" s="1" t="e">
        <f>VLOOKUP(tblParish[[#This Row],[seketCode]],tblSeket,5,FALSE)</f>
        <v>#NAME?</v>
      </c>
      <c r="L348" s="1" t="s">
        <v>204</v>
      </c>
      <c r="M348" s="1" t="s">
        <v>553</v>
      </c>
    </row>
    <row r="349" spans="6:13" x14ac:dyDescent="0.35">
      <c r="F349" s="1" t="str">
        <f>CONCATENATE(tblParish[[#This Row],[seketCode]],"-",tblParish[[#This Row],[pCode]])</f>
        <v>D12-S04-P02</v>
      </c>
      <c r="G349" s="1" t="str">
        <f>Distrik!F$16</f>
        <v>D12</v>
      </c>
      <c r="H349" s="1" t="str">
        <f>VLOOKUP(tblParish[[#This Row],[DistCode]],tblDistrict[],2,FALSE)</f>
        <v>Goroka</v>
      </c>
      <c r="I349" s="1" t="str">
        <f>Seket!I$68</f>
        <v>S04</v>
      </c>
      <c r="J349" s="1" t="str">
        <f>CONCATENATE(tblParish[[#This Row],[DistCode]],"-",tblParish[[#This Row],[sCode]])</f>
        <v>D12-S04</v>
      </c>
      <c r="K349" s="1" t="e">
        <f>VLOOKUP(tblParish[[#This Row],[seketCode]],tblSeket,5,FALSE)</f>
        <v>#NAME?</v>
      </c>
      <c r="L349" s="1" t="s">
        <v>206</v>
      </c>
      <c r="M349" s="1" t="s">
        <v>301</v>
      </c>
    </row>
    <row r="350" spans="6:13" x14ac:dyDescent="0.35">
      <c r="F350" s="1" t="str">
        <f>CONCATENATE(tblParish[[#This Row],[seketCode]],"-",tblParish[[#This Row],[pCode]])</f>
        <v>D12-S04-P03</v>
      </c>
      <c r="G350" s="1" t="str">
        <f>Distrik!F$16</f>
        <v>D12</v>
      </c>
      <c r="H350" s="1" t="str">
        <f>VLOOKUP(tblParish[[#This Row],[DistCode]],tblDistrict[],2,FALSE)</f>
        <v>Goroka</v>
      </c>
      <c r="I350" s="1" t="str">
        <f>Seket!I$68</f>
        <v>S04</v>
      </c>
      <c r="J350" s="1" t="str">
        <f>CONCATENATE(tblParish[[#This Row],[DistCode]],"-",tblParish[[#This Row],[sCode]])</f>
        <v>D12-S04</v>
      </c>
      <c r="K350" s="1" t="e">
        <f>VLOOKUP(tblParish[[#This Row],[seketCode]],tblSeket,5,FALSE)</f>
        <v>#NAME?</v>
      </c>
      <c r="L350" s="1" t="s">
        <v>208</v>
      </c>
      <c r="M350" s="1" t="s">
        <v>554</v>
      </c>
    </row>
    <row r="351" spans="6:13" x14ac:dyDescent="0.35">
      <c r="F351" s="1" t="str">
        <f>CONCATENATE(tblParish[[#This Row],[seketCode]],"-",tblParish[[#This Row],[pCode]])</f>
        <v>D12-S04-P04</v>
      </c>
      <c r="G351" s="1" t="str">
        <f>Distrik!F$16</f>
        <v>D12</v>
      </c>
      <c r="H351" s="1" t="str">
        <f>VLOOKUP(tblParish[[#This Row],[DistCode]],tblDistrict[],2,FALSE)</f>
        <v>Goroka</v>
      </c>
      <c r="I351" s="1" t="str">
        <f>Seket!I$68</f>
        <v>S04</v>
      </c>
      <c r="J351" s="1" t="str">
        <f>CONCATENATE(tblParish[[#This Row],[DistCode]],"-",tblParish[[#This Row],[sCode]])</f>
        <v>D12-S04</v>
      </c>
      <c r="K351" s="1" t="e">
        <f>VLOOKUP(tblParish[[#This Row],[seketCode]],tblSeket,5,FALSE)</f>
        <v>#NAME?</v>
      </c>
      <c r="L351" s="1" t="s">
        <v>210</v>
      </c>
      <c r="M351" s="1" t="s">
        <v>555</v>
      </c>
    </row>
    <row r="352" spans="6:13" x14ac:dyDescent="0.35">
      <c r="F352" s="1" t="str">
        <f>CONCATENATE(tblParish[[#This Row],[seketCode]],"-",tblParish[[#This Row],[pCode]])</f>
        <v>D12-S04-P05</v>
      </c>
      <c r="G352" s="1" t="str">
        <f>Distrik!F$16</f>
        <v>D12</v>
      </c>
      <c r="H352" s="1" t="str">
        <f>VLOOKUP(tblParish[[#This Row],[DistCode]],tblDistrict[],2,FALSE)</f>
        <v>Goroka</v>
      </c>
      <c r="I352" s="1" t="str">
        <f>Seket!I$68</f>
        <v>S04</v>
      </c>
      <c r="J352" s="1" t="str">
        <f>CONCATENATE(tblParish[[#This Row],[DistCode]],"-",tblParish[[#This Row],[sCode]])</f>
        <v>D12-S04</v>
      </c>
      <c r="K352" s="1" t="e">
        <f>VLOOKUP(tblParish[[#This Row],[seketCode]],tblSeket,5,FALSE)</f>
        <v>#NAME?</v>
      </c>
      <c r="L352" s="1" t="s">
        <v>212</v>
      </c>
      <c r="M352" s="1" t="s">
        <v>556</v>
      </c>
    </row>
    <row r="353" spans="6:13" x14ac:dyDescent="0.35">
      <c r="F353" s="1" t="str">
        <f>CONCATENATE(tblParish[[#This Row],[seketCode]],"-",tblParish[[#This Row],[pCode]])</f>
        <v>D12-S04-P06</v>
      </c>
      <c r="G353" s="1" t="str">
        <f>Distrik!F$16</f>
        <v>D12</v>
      </c>
      <c r="H353" s="1" t="str">
        <f>VLOOKUP(tblParish[[#This Row],[DistCode]],tblDistrict[],2,FALSE)</f>
        <v>Goroka</v>
      </c>
      <c r="I353" s="1" t="str">
        <f>Seket!I$68</f>
        <v>S04</v>
      </c>
      <c r="J353" s="1" t="str">
        <f>CONCATENATE(tblParish[[#This Row],[DistCode]],"-",tblParish[[#This Row],[sCode]])</f>
        <v>D12-S04</v>
      </c>
      <c r="K353" s="1" t="e">
        <f>VLOOKUP(tblParish[[#This Row],[seketCode]],tblSeket,5,FALSE)</f>
        <v>#NAME?</v>
      </c>
      <c r="L353" s="1" t="s">
        <v>214</v>
      </c>
      <c r="M353" s="1" t="s">
        <v>557</v>
      </c>
    </row>
    <row r="354" spans="6:13" x14ac:dyDescent="0.35">
      <c r="F354" s="1" t="str">
        <f>CONCATENATE(tblParish[[#This Row],[seketCode]],"-",tblParish[[#This Row],[pCode]])</f>
        <v>D12-S04-P07</v>
      </c>
      <c r="G354" s="1" t="str">
        <f>Distrik!F$16</f>
        <v>D12</v>
      </c>
      <c r="H354" s="1" t="str">
        <f>VLOOKUP(tblParish[[#This Row],[DistCode]],tblDistrict[],2,FALSE)</f>
        <v>Goroka</v>
      </c>
      <c r="I354" s="1" t="str">
        <f>Seket!I$68</f>
        <v>S04</v>
      </c>
      <c r="J354" s="1" t="str">
        <f>CONCATENATE(tblParish[[#This Row],[DistCode]],"-",tblParish[[#This Row],[sCode]])</f>
        <v>D12-S04</v>
      </c>
      <c r="K354" s="1" t="e">
        <f>VLOOKUP(tblParish[[#This Row],[seketCode]],tblSeket,5,FALSE)</f>
        <v>#NAME?</v>
      </c>
      <c r="L354" s="1" t="s">
        <v>216</v>
      </c>
      <c r="M354" s="1" t="s">
        <v>558</v>
      </c>
    </row>
    <row r="355" spans="6:13" x14ac:dyDescent="0.35">
      <c r="F355" s="1" t="str">
        <f>CONCATENATE(tblParish[[#This Row],[seketCode]],"-",tblParish[[#This Row],[pCode]])</f>
        <v>D12-S04-P08</v>
      </c>
      <c r="G355" s="1" t="str">
        <f>Distrik!F$16</f>
        <v>D12</v>
      </c>
      <c r="H355" s="1" t="str">
        <f>VLOOKUP(tblParish[[#This Row],[DistCode]],tblDistrict[],2,FALSE)</f>
        <v>Goroka</v>
      </c>
      <c r="I355" s="1" t="str">
        <f>Seket!I$68</f>
        <v>S04</v>
      </c>
      <c r="J355" s="1" t="str">
        <f>CONCATENATE(tblParish[[#This Row],[DistCode]],"-",tblParish[[#This Row],[sCode]])</f>
        <v>D12-S04</v>
      </c>
      <c r="K355" s="1" t="e">
        <f>VLOOKUP(tblParish[[#This Row],[seketCode]],tblSeket,5,FALSE)</f>
        <v>#NAME?</v>
      </c>
      <c r="L355" s="1" t="s">
        <v>218</v>
      </c>
      <c r="M355" s="1" t="s">
        <v>559</v>
      </c>
    </row>
    <row r="356" spans="6:13" x14ac:dyDescent="0.35">
      <c r="F356" s="1" t="str">
        <f>CONCATENATE(tblParish[[#This Row],[seketCode]],"-",tblParish[[#This Row],[pCode]])</f>
        <v>D12-S04-P09</v>
      </c>
      <c r="G356" s="1" t="str">
        <f>Distrik!F$16</f>
        <v>D12</v>
      </c>
      <c r="H356" s="1" t="str">
        <f>VLOOKUP(tblParish[[#This Row],[DistCode]],tblDistrict[],2,FALSE)</f>
        <v>Goroka</v>
      </c>
      <c r="I356" s="1" t="str">
        <f>Seket!I$68</f>
        <v>S04</v>
      </c>
      <c r="J356" s="1" t="str">
        <f>CONCATENATE(tblParish[[#This Row],[DistCode]],"-",tblParish[[#This Row],[sCode]])</f>
        <v>D12-S04</v>
      </c>
      <c r="K356" s="1" t="e">
        <f>VLOOKUP(tblParish[[#This Row],[seketCode]],tblSeket,5,FALSE)</f>
        <v>#NAME?</v>
      </c>
      <c r="L356" s="1" t="s">
        <v>235</v>
      </c>
      <c r="M356" s="1" t="s">
        <v>560</v>
      </c>
    </row>
    <row r="357" spans="6:13" x14ac:dyDescent="0.35">
      <c r="F357" s="1" t="str">
        <f>CONCATENATE(tblParish[[#This Row],[seketCode]],"-",tblParish[[#This Row],[pCode]])</f>
        <v>D12-S06-P01</v>
      </c>
      <c r="G357" s="1" t="str">
        <f>Distrik!F$16</f>
        <v>D12</v>
      </c>
      <c r="H357" s="1" t="str">
        <f>VLOOKUP(tblParish[[#This Row],[DistCode]],tblDistrict[],2,FALSE)</f>
        <v>Goroka</v>
      </c>
      <c r="I357" s="1" t="str">
        <f>Seket!I$70</f>
        <v>S06</v>
      </c>
      <c r="J357" s="1" t="str">
        <f>CONCATENATE(tblParish[[#This Row],[DistCode]],"-",tblParish[[#This Row],[sCode]])</f>
        <v>D12-S06</v>
      </c>
      <c r="K357" s="1" t="e">
        <f>VLOOKUP(tblParish[[#This Row],[seketCode]],tblSeket,5,FALSE)</f>
        <v>#NAME?</v>
      </c>
      <c r="L357" s="1" t="s">
        <v>204</v>
      </c>
      <c r="M357" s="1" t="s">
        <v>561</v>
      </c>
    </row>
    <row r="358" spans="6:13" x14ac:dyDescent="0.35">
      <c r="F358" s="1" t="str">
        <f>CONCATENATE(tblParish[[#This Row],[seketCode]],"-",tblParish[[#This Row],[pCode]])</f>
        <v>D12-S06-P02</v>
      </c>
      <c r="G358" s="1" t="str">
        <f>Distrik!F$16</f>
        <v>D12</v>
      </c>
      <c r="H358" s="1" t="str">
        <f>VLOOKUP(tblParish[[#This Row],[DistCode]],tblDistrict[],2,FALSE)</f>
        <v>Goroka</v>
      </c>
      <c r="I358" s="1" t="str">
        <f>Seket!I$70</f>
        <v>S06</v>
      </c>
      <c r="J358" s="1" t="str">
        <f>CONCATENATE(tblParish[[#This Row],[DistCode]],"-",tblParish[[#This Row],[sCode]])</f>
        <v>D12-S06</v>
      </c>
      <c r="K358" s="1" t="e">
        <f>VLOOKUP(tblParish[[#This Row],[seketCode]],tblSeket,5,FALSE)</f>
        <v>#NAME?</v>
      </c>
      <c r="L358" s="1" t="s">
        <v>206</v>
      </c>
      <c r="M358" s="1" t="s">
        <v>329</v>
      </c>
    </row>
    <row r="359" spans="6:13" x14ac:dyDescent="0.35">
      <c r="F359" s="1" t="str">
        <f>CONCATENATE(tblParish[[#This Row],[seketCode]],"-",tblParish[[#This Row],[pCode]])</f>
        <v>D12-S06-P03</v>
      </c>
      <c r="G359" s="1" t="str">
        <f>Distrik!F$16</f>
        <v>D12</v>
      </c>
      <c r="H359" s="1" t="str">
        <f>VLOOKUP(tblParish[[#This Row],[DistCode]],tblDistrict[],2,FALSE)</f>
        <v>Goroka</v>
      </c>
      <c r="I359" s="1" t="str">
        <f>Seket!I$70</f>
        <v>S06</v>
      </c>
      <c r="J359" s="1" t="str">
        <f>CONCATENATE(tblParish[[#This Row],[DistCode]],"-",tblParish[[#This Row],[sCode]])</f>
        <v>D12-S06</v>
      </c>
      <c r="K359" s="1" t="e">
        <f>VLOOKUP(tblParish[[#This Row],[seketCode]],tblSeket,5,FALSE)</f>
        <v>#NAME?</v>
      </c>
      <c r="L359" s="1" t="s">
        <v>208</v>
      </c>
      <c r="M359" s="1" t="s">
        <v>370</v>
      </c>
    </row>
  </sheetData>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sheetPr>
  <dimension ref="A1:P1399"/>
  <sheetViews>
    <sheetView topLeftCell="D1382" workbookViewId="0">
      <selection activeCell="H5" sqref="H5:H1399"/>
    </sheetView>
  </sheetViews>
  <sheetFormatPr defaultColWidth="8.7265625" defaultRowHeight="14.5" x14ac:dyDescent="0.35"/>
  <cols>
    <col min="1" max="1" width="3.1796875" style="46" customWidth="1"/>
    <col min="2" max="2" width="11.1796875" style="46" customWidth="1"/>
    <col min="3" max="3" width="12.26953125" style="46" customWidth="1"/>
    <col min="4" max="4" width="4.1796875" style="46" customWidth="1"/>
    <col min="5" max="5" width="4.1796875" style="31" customWidth="1"/>
    <col min="6" max="6" width="15.81640625" style="1" bestFit="1" customWidth="1"/>
    <col min="7" max="7" width="11.1796875" style="1" bestFit="1" customWidth="1"/>
    <col min="8" max="8" width="11.81640625" style="1" bestFit="1" customWidth="1"/>
    <col min="9" max="9" width="8.7265625" style="1" bestFit="1" customWidth="1"/>
    <col min="10" max="10" width="12.7265625" style="1" customWidth="1"/>
    <col min="11" max="11" width="13.54296875" style="1" bestFit="1" customWidth="1"/>
    <col min="12" max="12" width="9" style="1" bestFit="1" customWidth="1"/>
    <col min="13" max="13" width="13.26953125" style="1" bestFit="1" customWidth="1"/>
    <col min="14" max="14" width="16.26953125" style="1" customWidth="1"/>
    <col min="15" max="15" width="9" style="1" customWidth="1"/>
    <col min="16" max="16" width="12.453125" style="1" customWidth="1"/>
    <col min="17" max="16384" width="8.7265625" style="1"/>
  </cols>
  <sheetData>
    <row r="1" spans="1:16" s="46" customFormat="1" x14ac:dyDescent="0.35"/>
    <row r="2" spans="1:16" s="46" customFormat="1" ht="28.5" x14ac:dyDescent="0.65">
      <c r="B2" s="3"/>
      <c r="C2" s="4"/>
      <c r="E2" s="47" t="s">
        <v>562</v>
      </c>
    </row>
    <row r="3" spans="1:16" ht="18.5" x14ac:dyDescent="0.45">
      <c r="B3" s="7"/>
      <c r="C3" s="8"/>
      <c r="G3" s="33"/>
      <c r="H3" s="33"/>
      <c r="O3" s="1" t="s">
        <v>196</v>
      </c>
      <c r="P3" s="1">
        <f>SUBTOTAL(3,tblCong[congCode])</f>
        <v>1395</v>
      </c>
    </row>
    <row r="4" spans="1:16" x14ac:dyDescent="0.35">
      <c r="B4" s="7"/>
      <c r="C4" s="8"/>
      <c r="F4" s="1" t="s">
        <v>563</v>
      </c>
      <c r="G4" s="1" t="s">
        <v>564</v>
      </c>
      <c r="H4" s="1" t="s">
        <v>93</v>
      </c>
      <c r="I4" s="1" t="s">
        <v>199</v>
      </c>
      <c r="J4" s="1" t="s">
        <v>200</v>
      </c>
      <c r="K4" s="1" t="s">
        <v>201</v>
      </c>
      <c r="L4" s="1" t="s">
        <v>202</v>
      </c>
      <c r="M4" s="1" t="s">
        <v>197</v>
      </c>
      <c r="N4" s="1" t="s">
        <v>203</v>
      </c>
      <c r="O4" s="1" t="s">
        <v>565</v>
      </c>
      <c r="P4" s="1" t="s">
        <v>566</v>
      </c>
    </row>
    <row r="5" spans="1:16" x14ac:dyDescent="0.35">
      <c r="B5" s="7"/>
      <c r="C5" s="8"/>
      <c r="F5" s="1" t="str">
        <f>CONCATENATE(tblCong[[#This Row],[parishCode]],"-",tblCong[[#This Row],[kCode]])</f>
        <v>D01-S01-P01-K01</v>
      </c>
      <c r="G5" s="1" t="str">
        <f>Distrik!F$5</f>
        <v>D01</v>
      </c>
      <c r="H5" s="1" t="str">
        <f>VLOOKUP(tblCong[[#This Row],[distCode]],tblDistrict[#All],2)</f>
        <v>Kâte</v>
      </c>
      <c r="I5" s="1" t="str">
        <f>Seket!I$5</f>
        <v>S01</v>
      </c>
      <c r="J5" s="1" t="str">
        <f>CONCATENATE(tblCong[[#This Row],[distCode]],"-",tblCong[[#This Row],[sCode]])</f>
        <v>D01-S01</v>
      </c>
      <c r="K5" s="1" t="str">
        <f>VLOOKUP(tblCong[[#This Row],[seketCode]],tblSeket[#All],5,FALSE)</f>
        <v>Kalasa</v>
      </c>
      <c r="L5" s="1" t="str">
        <f>Paris!L$5</f>
        <v>P01</v>
      </c>
      <c r="M5" s="1" t="str">
        <f>CONCATENATE(tblCong[[#This Row],[seketCode]],"-",tblCong[[#This Row],[pCode]])</f>
        <v>D01-S01-P01</v>
      </c>
      <c r="N5" s="1" t="str">
        <f>Paris!M$5</f>
        <v>Amugen</v>
      </c>
      <c r="O5" s="1" t="s">
        <v>567</v>
      </c>
      <c r="P5" s="1" t="s">
        <v>568</v>
      </c>
    </row>
    <row r="6" spans="1:16" x14ac:dyDescent="0.35">
      <c r="A6" s="48"/>
      <c r="B6" s="10"/>
      <c r="C6" s="11"/>
      <c r="D6" s="48"/>
      <c r="E6" s="36"/>
      <c r="F6" s="1" t="str">
        <f>CONCATENATE(tblCong[[#This Row],[parishCode]],"-",tblCong[[#This Row],[kCode]])</f>
        <v>D01-S01-P01-K02</v>
      </c>
      <c r="G6" s="1" t="str">
        <f>Distrik!F$5</f>
        <v>D01</v>
      </c>
      <c r="H6" s="1" t="str">
        <f>VLOOKUP(tblCong[[#This Row],[distCode]],tblDistrict[#All],2)</f>
        <v>Kâte</v>
      </c>
      <c r="I6" s="1" t="str">
        <f>Seket!I$5</f>
        <v>S01</v>
      </c>
      <c r="J6" s="1" t="str">
        <f>CONCATENATE(tblCong[[#This Row],[distCode]],"-",tblCong[[#This Row],[sCode]])</f>
        <v>D01-S01</v>
      </c>
      <c r="K6" s="1" t="str">
        <f>VLOOKUP(tblCong[[#This Row],[seketCode]],tblSeket[#All],5,FALSE)</f>
        <v>Kalasa</v>
      </c>
      <c r="L6" s="1" t="str">
        <f>Paris!L$5</f>
        <v>P01</v>
      </c>
      <c r="M6" s="1" t="str">
        <f>CONCATENATE(tblCong[[#This Row],[seketCode]],"-",tblCong[[#This Row],[pCode]])</f>
        <v>D01-S01-P01</v>
      </c>
      <c r="N6" s="1" t="str">
        <f>Paris!M$5</f>
        <v>Amugen</v>
      </c>
      <c r="O6" s="1" t="s">
        <v>569</v>
      </c>
      <c r="P6" s="1" t="s">
        <v>570</v>
      </c>
    </row>
    <row r="7" spans="1:16" x14ac:dyDescent="0.35">
      <c r="B7" s="7"/>
      <c r="C7" s="8"/>
      <c r="F7" s="1" t="str">
        <f>CONCATENATE(tblCong[[#This Row],[parishCode]],"-",tblCong[[#This Row],[kCode]])</f>
        <v>D01-S01-P01-K03</v>
      </c>
      <c r="G7" s="1" t="str">
        <f>Distrik!F$5</f>
        <v>D01</v>
      </c>
      <c r="H7" s="1" t="str">
        <f>VLOOKUP(tblCong[[#This Row],[distCode]],tblDistrict[#All],2)</f>
        <v>Kâte</v>
      </c>
      <c r="I7" s="1" t="str">
        <f>Seket!I$5</f>
        <v>S01</v>
      </c>
      <c r="J7" s="1" t="str">
        <f>CONCATENATE(tblCong[[#This Row],[distCode]],"-",tblCong[[#This Row],[sCode]])</f>
        <v>D01-S01</v>
      </c>
      <c r="K7" s="1" t="str">
        <f>VLOOKUP(tblCong[[#This Row],[seketCode]],tblSeket[#All],5,FALSE)</f>
        <v>Kalasa</v>
      </c>
      <c r="L7" s="1" t="str">
        <f>Paris!L$5</f>
        <v>P01</v>
      </c>
      <c r="M7" s="1" t="str">
        <f>CONCATENATE(tblCong[[#This Row],[seketCode]],"-",tblCong[[#This Row],[pCode]])</f>
        <v>D01-S01-P01</v>
      </c>
      <c r="N7" s="1" t="str">
        <f>Paris!M$5</f>
        <v>Amugen</v>
      </c>
      <c r="O7" s="1" t="s">
        <v>571</v>
      </c>
      <c r="P7" s="1" t="s">
        <v>572</v>
      </c>
    </row>
    <row r="8" spans="1:16" ht="15.5" x14ac:dyDescent="0.35">
      <c r="B8" s="51" t="str">
        <f>Dashboard!B8</f>
        <v>District Code Records</v>
      </c>
      <c r="C8" s="52"/>
      <c r="F8" s="1" t="str">
        <f>CONCATENATE(tblCong[[#This Row],[parishCode]],"-",tblCong[[#This Row],[kCode]])</f>
        <v>D01-S01-P01-K04</v>
      </c>
      <c r="G8" s="1" t="str">
        <f>Distrik!F$5</f>
        <v>D01</v>
      </c>
      <c r="H8" s="1" t="str">
        <f>VLOOKUP(tblCong[[#This Row],[distCode]],tblDistrict[#All],2)</f>
        <v>Kâte</v>
      </c>
      <c r="I8" s="1" t="str">
        <f>Seket!I$5</f>
        <v>S01</v>
      </c>
      <c r="J8" s="1" t="str">
        <f>CONCATENATE(tblCong[[#This Row],[distCode]],"-",tblCong[[#This Row],[sCode]])</f>
        <v>D01-S01</v>
      </c>
      <c r="K8" s="1" t="str">
        <f>VLOOKUP(tblCong[[#This Row],[seketCode]],tblSeket[#All],5,FALSE)</f>
        <v>Kalasa</v>
      </c>
      <c r="L8" s="1" t="str">
        <f>Paris!L$5</f>
        <v>P01</v>
      </c>
      <c r="M8" s="1" t="str">
        <f>CONCATENATE(tblCong[[#This Row],[seketCode]],"-",tblCong[[#This Row],[pCode]])</f>
        <v>D01-S01-P01</v>
      </c>
      <c r="N8" s="1" t="str">
        <f>Paris!M$5</f>
        <v>Amugen</v>
      </c>
      <c r="O8" s="1" t="s">
        <v>573</v>
      </c>
      <c r="P8" s="1" t="s">
        <v>574</v>
      </c>
    </row>
    <row r="9" spans="1:16" ht="15" customHeight="1" x14ac:dyDescent="0.35">
      <c r="B9" s="53" t="str">
        <f>Dashboard!B9</f>
        <v>as of March 2023</v>
      </c>
      <c r="C9" s="54"/>
      <c r="F9" s="1" t="str">
        <f>CONCATENATE(tblCong[[#This Row],[parishCode]],"-",tblCong[[#This Row],[kCode]])</f>
        <v>D01-S01-P01-K05</v>
      </c>
      <c r="G9" s="1" t="str">
        <f>Distrik!F$5</f>
        <v>D01</v>
      </c>
      <c r="H9" s="1" t="str">
        <f>VLOOKUP(tblCong[[#This Row],[distCode]],tblDistrict[#All],2)</f>
        <v>Kâte</v>
      </c>
      <c r="I9" s="1" t="str">
        <f>Seket!I$5</f>
        <v>S01</v>
      </c>
      <c r="J9" s="1" t="str">
        <f>CONCATENATE(tblCong[[#This Row],[distCode]],"-",tblCong[[#This Row],[sCode]])</f>
        <v>D01-S01</v>
      </c>
      <c r="K9" s="1" t="str">
        <f>VLOOKUP(tblCong[[#This Row],[seketCode]],tblSeket[#All],5,FALSE)</f>
        <v>Kalasa</v>
      </c>
      <c r="L9" s="1" t="str">
        <f>Paris!L$5</f>
        <v>P01</v>
      </c>
      <c r="M9" s="1" t="str">
        <f>CONCATENATE(tblCong[[#This Row],[seketCode]],"-",tblCong[[#This Row],[pCode]])</f>
        <v>D01-S01-P01</v>
      </c>
      <c r="N9" s="1" t="str">
        <f>Paris!M$5</f>
        <v>Amugen</v>
      </c>
      <c r="O9" s="1" t="s">
        <v>575</v>
      </c>
      <c r="P9" s="1" t="s">
        <v>97</v>
      </c>
    </row>
    <row r="10" spans="1:16" x14ac:dyDescent="0.35">
      <c r="B10" s="15"/>
      <c r="C10" s="16"/>
      <c r="F10" s="1" t="str">
        <f>CONCATENATE(tblCong[[#This Row],[parishCode]],"-",tblCong[[#This Row],[kCode]])</f>
        <v>D01-S01-P01-K06</v>
      </c>
      <c r="G10" s="1" t="str">
        <f>Distrik!F$5</f>
        <v>D01</v>
      </c>
      <c r="H10" s="1" t="str">
        <f>VLOOKUP(tblCong[[#This Row],[distCode]],tblDistrict[#All],2)</f>
        <v>Kâte</v>
      </c>
      <c r="I10" s="1" t="str">
        <f>Seket!I$5</f>
        <v>S01</v>
      </c>
      <c r="J10" s="1" t="str">
        <f>CONCATENATE(tblCong[[#This Row],[distCode]],"-",tblCong[[#This Row],[sCode]])</f>
        <v>D01-S01</v>
      </c>
      <c r="K10" s="1" t="str">
        <f>VLOOKUP(tblCong[[#This Row],[seketCode]],tblSeket[#All],5,FALSE)</f>
        <v>Kalasa</v>
      </c>
      <c r="L10" s="1" t="str">
        <f>Paris!L$5</f>
        <v>P01</v>
      </c>
      <c r="M10" s="1" t="str">
        <f>CONCATENATE(tblCong[[#This Row],[seketCode]],"-",tblCong[[#This Row],[pCode]])</f>
        <v>D01-S01-P01</v>
      </c>
      <c r="N10" s="1" t="str">
        <f>Paris!M$5</f>
        <v>Amugen</v>
      </c>
      <c r="O10" s="1" t="s">
        <v>576</v>
      </c>
      <c r="P10" s="1" t="s">
        <v>577</v>
      </c>
    </row>
    <row r="11" spans="1:16" x14ac:dyDescent="0.35">
      <c r="F11" s="1" t="str">
        <f>CONCATENATE(tblCong[[#This Row],[parishCode]],"-",tblCong[[#This Row],[kCode]])</f>
        <v>D01-S01-P01-K07</v>
      </c>
      <c r="G11" s="1" t="str">
        <f>Distrik!F$5</f>
        <v>D01</v>
      </c>
      <c r="H11" s="1" t="str">
        <f>VLOOKUP(tblCong[[#This Row],[distCode]],tblDistrict[#All],2)</f>
        <v>Kâte</v>
      </c>
      <c r="I11" s="1" t="str">
        <f>Seket!I$5</f>
        <v>S01</v>
      </c>
      <c r="J11" s="1" t="str">
        <f>CONCATENATE(tblCong[[#This Row],[distCode]],"-",tblCong[[#This Row],[sCode]])</f>
        <v>D01-S01</v>
      </c>
      <c r="K11" s="1" t="str">
        <f>VLOOKUP(tblCong[[#This Row],[seketCode]],tblSeket[#All],5,FALSE)</f>
        <v>Kalasa</v>
      </c>
      <c r="L11" s="1" t="str">
        <f>Paris!L$5</f>
        <v>P01</v>
      </c>
      <c r="M11" s="1" t="str">
        <f>CONCATENATE(tblCong[[#This Row],[seketCode]],"-",tblCong[[#This Row],[pCode]])</f>
        <v>D01-S01-P01</v>
      </c>
      <c r="N11" s="1" t="str">
        <f>Paris!M$5</f>
        <v>Amugen</v>
      </c>
      <c r="O11" s="1" t="s">
        <v>578</v>
      </c>
      <c r="P11" s="1" t="s">
        <v>299</v>
      </c>
    </row>
    <row r="12" spans="1:16" ht="15" customHeight="1" x14ac:dyDescent="0.35">
      <c r="B12" s="91" t="s">
        <v>13</v>
      </c>
      <c r="C12" s="92"/>
      <c r="F12" s="1" t="str">
        <f>CONCATENATE(tblCong[[#This Row],[parishCode]],"-",tblCong[[#This Row],[kCode]])</f>
        <v>D01-S01-P02-K01</v>
      </c>
      <c r="G12" s="1" t="str">
        <f>Distrik!F$5</f>
        <v>D01</v>
      </c>
      <c r="H12" s="1" t="str">
        <f>VLOOKUP(tblCong[[#This Row],[distCode]],tblDistrict[#All],2)</f>
        <v>Kâte</v>
      </c>
      <c r="I12" s="1" t="str">
        <f>Seket!I$5</f>
        <v>S01</v>
      </c>
      <c r="J12" s="1" t="str">
        <f>CONCATENATE(tblCong[[#This Row],[distCode]],"-",tblCong[[#This Row],[sCode]])</f>
        <v>D01-S01</v>
      </c>
      <c r="K12" s="1" t="str">
        <f>VLOOKUP(tblCong[[#This Row],[seketCode]],tblSeket[#All],5,FALSE)</f>
        <v>Kalasa</v>
      </c>
      <c r="L12" s="1" t="str">
        <f>Paris!L$6</f>
        <v>P02</v>
      </c>
      <c r="M12" s="1" t="str">
        <f>CONCATENATE(tblCong[[#This Row],[seketCode]],"-",tblCong[[#This Row],[pCode]])</f>
        <v>D01-S01-P02</v>
      </c>
      <c r="N12" s="1" t="str">
        <f>Paris!M$6</f>
        <v>Tigasu</v>
      </c>
      <c r="O12" s="1" t="s">
        <v>567</v>
      </c>
      <c r="P12" s="1" t="s">
        <v>579</v>
      </c>
    </row>
    <row r="13" spans="1:16" ht="15" customHeight="1" x14ac:dyDescent="0.35">
      <c r="B13" s="93"/>
      <c r="C13" s="94"/>
      <c r="F13" s="1" t="str">
        <f>CONCATENATE(tblCong[[#This Row],[parishCode]],"-",tblCong[[#This Row],[kCode]])</f>
        <v>D01-S01-P02-K02</v>
      </c>
      <c r="G13" s="1" t="str">
        <f>Distrik!F$5</f>
        <v>D01</v>
      </c>
      <c r="H13" s="1" t="str">
        <f>VLOOKUP(tblCong[[#This Row],[distCode]],tblDistrict[#All],2)</f>
        <v>Kâte</v>
      </c>
      <c r="I13" s="1" t="str">
        <f>Seket!I$5</f>
        <v>S01</v>
      </c>
      <c r="J13" s="1" t="str">
        <f>CONCATENATE(tblCong[[#This Row],[distCode]],"-",tblCong[[#This Row],[sCode]])</f>
        <v>D01-S01</v>
      </c>
      <c r="K13" s="1" t="str">
        <f>VLOOKUP(tblCong[[#This Row],[seketCode]],tblSeket[#All],5,FALSE)</f>
        <v>Kalasa</v>
      </c>
      <c r="L13" s="1" t="str">
        <f>Paris!L$6</f>
        <v>P02</v>
      </c>
      <c r="M13" s="1" t="str">
        <f>CONCATENATE(tblCong[[#This Row],[seketCode]],"-",tblCong[[#This Row],[pCode]])</f>
        <v>D01-S01-P02</v>
      </c>
      <c r="N13" s="1" t="str">
        <f>Paris!M$6</f>
        <v>Tigasu</v>
      </c>
      <c r="O13" s="1" t="s">
        <v>569</v>
      </c>
      <c r="P13" s="1" t="s">
        <v>580</v>
      </c>
    </row>
    <row r="14" spans="1:16" x14ac:dyDescent="0.35">
      <c r="F14" s="1" t="str">
        <f>CONCATENATE(tblCong[[#This Row],[parishCode]],"-",tblCong[[#This Row],[kCode]])</f>
        <v>D01-S01-P02-K03</v>
      </c>
      <c r="G14" s="1" t="str">
        <f>Distrik!F$5</f>
        <v>D01</v>
      </c>
      <c r="H14" s="1" t="str">
        <f>VLOOKUP(tblCong[[#This Row],[distCode]],tblDistrict[#All],2)</f>
        <v>Kâte</v>
      </c>
      <c r="I14" s="1" t="str">
        <f>Seket!I$5</f>
        <v>S01</v>
      </c>
      <c r="J14" s="1" t="str">
        <f>CONCATENATE(tblCong[[#This Row],[distCode]],"-",tblCong[[#This Row],[sCode]])</f>
        <v>D01-S01</v>
      </c>
      <c r="K14" s="1" t="str">
        <f>VLOOKUP(tblCong[[#This Row],[seketCode]],tblSeket[#All],5,FALSE)</f>
        <v>Kalasa</v>
      </c>
      <c r="L14" s="1" t="str">
        <f>Paris!L$6</f>
        <v>P02</v>
      </c>
      <c r="M14" s="1" t="str">
        <f>CONCATENATE(tblCong[[#This Row],[seketCode]],"-",tblCong[[#This Row],[pCode]])</f>
        <v>D01-S01-P02</v>
      </c>
      <c r="N14" s="1" t="str">
        <f>Paris!M$6</f>
        <v>Tigasu</v>
      </c>
      <c r="O14" s="1" t="s">
        <v>571</v>
      </c>
      <c r="P14" s="1" t="s">
        <v>581</v>
      </c>
    </row>
    <row r="15" spans="1:16" ht="15" customHeight="1" x14ac:dyDescent="0.35">
      <c r="B15" s="81" t="s">
        <v>21</v>
      </c>
      <c r="C15" s="82"/>
      <c r="F15" s="1" t="str">
        <f>CONCATENATE(tblCong[[#This Row],[parishCode]],"-",tblCong[[#This Row],[kCode]])</f>
        <v>D01-S01-P02-K04</v>
      </c>
      <c r="G15" s="1" t="str">
        <f>Distrik!F$5</f>
        <v>D01</v>
      </c>
      <c r="H15" s="1" t="str">
        <f>VLOOKUP(tblCong[[#This Row],[distCode]],tblDistrict[#All],2)</f>
        <v>Kâte</v>
      </c>
      <c r="I15" s="1" t="str">
        <f>Seket!I$5</f>
        <v>S01</v>
      </c>
      <c r="J15" s="1" t="str">
        <f>CONCATENATE(tblCong[[#This Row],[distCode]],"-",tblCong[[#This Row],[sCode]])</f>
        <v>D01-S01</v>
      </c>
      <c r="K15" s="1" t="str">
        <f>VLOOKUP(tblCong[[#This Row],[seketCode]],tblSeket[#All],5,FALSE)</f>
        <v>Kalasa</v>
      </c>
      <c r="L15" s="1" t="str">
        <f>Paris!L$6</f>
        <v>P02</v>
      </c>
      <c r="M15" s="1" t="str">
        <f>CONCATENATE(tblCong[[#This Row],[seketCode]],"-",tblCong[[#This Row],[pCode]])</f>
        <v>D01-S01-P02</v>
      </c>
      <c r="N15" s="1" t="str">
        <f>Paris!M$6</f>
        <v>Tigasu</v>
      </c>
      <c r="O15" s="1" t="s">
        <v>573</v>
      </c>
      <c r="P15" s="1" t="s">
        <v>582</v>
      </c>
    </row>
    <row r="16" spans="1:16" ht="15" customHeight="1" x14ac:dyDescent="0.35">
      <c r="B16" s="83"/>
      <c r="C16" s="84"/>
      <c r="F16" s="1" t="str">
        <f>CONCATENATE(tblCong[[#This Row],[parishCode]],"-",tblCong[[#This Row],[kCode]])</f>
        <v>D01-S01-P02-K05</v>
      </c>
      <c r="G16" s="1" t="str">
        <f>Distrik!F$5</f>
        <v>D01</v>
      </c>
      <c r="H16" s="1" t="str">
        <f>VLOOKUP(tblCong[[#This Row],[distCode]],tblDistrict[#All],2)</f>
        <v>Kâte</v>
      </c>
      <c r="I16" s="1" t="str">
        <f>Seket!I$5</f>
        <v>S01</v>
      </c>
      <c r="J16" s="1" t="str">
        <f>CONCATENATE(tblCong[[#This Row],[distCode]],"-",tblCong[[#This Row],[sCode]])</f>
        <v>D01-S01</v>
      </c>
      <c r="K16" s="1" t="str">
        <f>VLOOKUP(tblCong[[#This Row],[seketCode]],tblSeket[#All],5,FALSE)</f>
        <v>Kalasa</v>
      </c>
      <c r="L16" s="1" t="str">
        <f>Paris!L$6</f>
        <v>P02</v>
      </c>
      <c r="M16" s="1" t="str">
        <f>CONCATENATE(tblCong[[#This Row],[seketCode]],"-",tblCong[[#This Row],[pCode]])</f>
        <v>D01-S01-P02</v>
      </c>
      <c r="N16" s="1" t="str">
        <f>Paris!M$6</f>
        <v>Tigasu</v>
      </c>
      <c r="O16" s="1" t="s">
        <v>575</v>
      </c>
      <c r="P16" s="1" t="s">
        <v>583</v>
      </c>
    </row>
    <row r="17" spans="2:16" x14ac:dyDescent="0.35">
      <c r="F17" s="1" t="str">
        <f>CONCATENATE(tblCong[[#This Row],[parishCode]],"-",tblCong[[#This Row],[kCode]])</f>
        <v>D01-S01-P03-K01</v>
      </c>
      <c r="G17" s="1" t="str">
        <f>Distrik!F$5</f>
        <v>D01</v>
      </c>
      <c r="H17" s="1" t="str">
        <f>VLOOKUP(tblCong[[#This Row],[distCode]],tblDistrict[#All],2)</f>
        <v>Kâte</v>
      </c>
      <c r="I17" s="1" t="str">
        <f>Seket!I$5</f>
        <v>S01</v>
      </c>
      <c r="J17" s="1" t="str">
        <f>CONCATENATE(tblCong[[#This Row],[distCode]],"-",tblCong[[#This Row],[sCode]])</f>
        <v>D01-S01</v>
      </c>
      <c r="K17" s="1" t="str">
        <f>VLOOKUP(tblCong[[#This Row],[seketCode]],tblSeket[#All],5,FALSE)</f>
        <v>Kalasa</v>
      </c>
      <c r="L17" s="1" t="str">
        <f>Paris!L$7</f>
        <v>P03</v>
      </c>
      <c r="M17" s="1" t="str">
        <f>CONCATENATE(tblCong[[#This Row],[seketCode]],"-",tblCong[[#This Row],[pCode]])</f>
        <v>D01-S01-P03</v>
      </c>
      <c r="N17" s="1" t="str">
        <f>Paris!M$7</f>
        <v>Kanome</v>
      </c>
      <c r="O17" s="1" t="s">
        <v>567</v>
      </c>
      <c r="P17" s="1" t="s">
        <v>209</v>
      </c>
    </row>
    <row r="18" spans="2:16" ht="15" customHeight="1" x14ac:dyDescent="0.35">
      <c r="B18" s="61" t="s">
        <v>26</v>
      </c>
      <c r="C18" s="62"/>
      <c r="F18" s="1" t="str">
        <f>CONCATENATE(tblCong[[#This Row],[parishCode]],"-",tblCong[[#This Row],[kCode]])</f>
        <v>D01-S01-P03-K02</v>
      </c>
      <c r="G18" s="1" t="str">
        <f>Distrik!F$5</f>
        <v>D01</v>
      </c>
      <c r="H18" s="1" t="str">
        <f>VLOOKUP(tblCong[[#This Row],[distCode]],tblDistrict[#All],2)</f>
        <v>Kâte</v>
      </c>
      <c r="I18" s="1" t="str">
        <f>Seket!I$5</f>
        <v>S01</v>
      </c>
      <c r="J18" s="1" t="str">
        <f>CONCATENATE(tblCong[[#This Row],[distCode]],"-",tblCong[[#This Row],[sCode]])</f>
        <v>D01-S01</v>
      </c>
      <c r="K18" s="1" t="str">
        <f>VLOOKUP(tblCong[[#This Row],[seketCode]],tblSeket[#All],5,FALSE)</f>
        <v>Kalasa</v>
      </c>
      <c r="L18" s="1" t="str">
        <f>Paris!L$7</f>
        <v>P03</v>
      </c>
      <c r="M18" s="1" t="str">
        <f>CONCATENATE(tblCong[[#This Row],[seketCode]],"-",tblCong[[#This Row],[pCode]])</f>
        <v>D01-S01-P03</v>
      </c>
      <c r="N18" s="1" t="str">
        <f>Paris!M$7</f>
        <v>Kanome</v>
      </c>
      <c r="O18" s="1" t="s">
        <v>569</v>
      </c>
      <c r="P18" s="1" t="s">
        <v>584</v>
      </c>
    </row>
    <row r="19" spans="2:16" ht="15" customHeight="1" x14ac:dyDescent="0.35">
      <c r="B19" s="63"/>
      <c r="C19" s="64"/>
      <c r="F19" s="1" t="str">
        <f>CONCATENATE(tblCong[[#This Row],[parishCode]],"-",tblCong[[#This Row],[kCode]])</f>
        <v>D01-S01-P03-K03</v>
      </c>
      <c r="G19" s="1" t="str">
        <f>Distrik!F$5</f>
        <v>D01</v>
      </c>
      <c r="H19" s="1" t="str">
        <f>VLOOKUP(tblCong[[#This Row],[distCode]],tblDistrict[#All],2)</f>
        <v>Kâte</v>
      </c>
      <c r="I19" s="1" t="str">
        <f>Seket!I$5</f>
        <v>S01</v>
      </c>
      <c r="J19" s="1" t="str">
        <f>CONCATENATE(tblCong[[#This Row],[distCode]],"-",tblCong[[#This Row],[sCode]])</f>
        <v>D01-S01</v>
      </c>
      <c r="K19" s="1" t="str">
        <f>VLOOKUP(tblCong[[#This Row],[seketCode]],tblSeket[#All],5,FALSE)</f>
        <v>Kalasa</v>
      </c>
      <c r="L19" s="1" t="str">
        <f>Paris!L$7</f>
        <v>P03</v>
      </c>
      <c r="M19" s="1" t="str">
        <f>CONCATENATE(tblCong[[#This Row],[seketCode]],"-",tblCong[[#This Row],[pCode]])</f>
        <v>D01-S01-P03</v>
      </c>
      <c r="N19" s="1" t="str">
        <f>Paris!M$7</f>
        <v>Kanome</v>
      </c>
      <c r="O19" s="1" t="s">
        <v>571</v>
      </c>
      <c r="P19" s="1" t="s">
        <v>585</v>
      </c>
    </row>
    <row r="20" spans="2:16" x14ac:dyDescent="0.35">
      <c r="F20" s="1" t="str">
        <f>CONCATENATE(tblCong[[#This Row],[parishCode]],"-",tblCong[[#This Row],[kCode]])</f>
        <v>D01-S01-P03-K04</v>
      </c>
      <c r="G20" s="1" t="str">
        <f>Distrik!F$5</f>
        <v>D01</v>
      </c>
      <c r="H20" s="1" t="str">
        <f>VLOOKUP(tblCong[[#This Row],[distCode]],tblDistrict[#All],2)</f>
        <v>Kâte</v>
      </c>
      <c r="I20" s="1" t="str">
        <f>Seket!I$5</f>
        <v>S01</v>
      </c>
      <c r="J20" s="1" t="str">
        <f>CONCATENATE(tblCong[[#This Row],[distCode]],"-",tblCong[[#This Row],[sCode]])</f>
        <v>D01-S01</v>
      </c>
      <c r="K20" s="1" t="str">
        <f>VLOOKUP(tblCong[[#This Row],[seketCode]],tblSeket[#All],5,FALSE)</f>
        <v>Kalasa</v>
      </c>
      <c r="L20" s="1" t="str">
        <f>Paris!L$7</f>
        <v>P03</v>
      </c>
      <c r="M20" s="1" t="str">
        <f>CONCATENATE(tblCong[[#This Row],[seketCode]],"-",tblCong[[#This Row],[pCode]])</f>
        <v>D01-S01-P03</v>
      </c>
      <c r="N20" s="1" t="str">
        <f>Paris!M$7</f>
        <v>Kanome</v>
      </c>
      <c r="O20" s="1" t="s">
        <v>573</v>
      </c>
      <c r="P20" s="1" t="s">
        <v>586</v>
      </c>
    </row>
    <row r="21" spans="2:16" ht="15" customHeight="1" x14ac:dyDescent="0.35">
      <c r="B21" s="65" t="s">
        <v>29</v>
      </c>
      <c r="C21" s="66"/>
      <c r="F21" s="1" t="str">
        <f>CONCATENATE(tblCong[[#This Row],[parishCode]],"-",tblCong[[#This Row],[kCode]])</f>
        <v>D01-S01-P04-K01</v>
      </c>
      <c r="G21" s="1" t="str">
        <f>Distrik!F$5</f>
        <v>D01</v>
      </c>
      <c r="H21" s="1" t="str">
        <f>VLOOKUP(tblCong[[#This Row],[distCode]],tblDistrict[#All],2)</f>
        <v>Kâte</v>
      </c>
      <c r="I21" s="1" t="str">
        <f>Seket!I$5</f>
        <v>S01</v>
      </c>
      <c r="J21" s="1" t="str">
        <f>CONCATENATE(tblCong[[#This Row],[distCode]],"-",tblCong[[#This Row],[sCode]])</f>
        <v>D01-S01</v>
      </c>
      <c r="K21" s="1" t="str">
        <f>VLOOKUP(tblCong[[#This Row],[seketCode]],tblSeket[#All],5,FALSE)</f>
        <v>Kalasa</v>
      </c>
      <c r="L21" s="1" t="str">
        <f>Paris!L$8</f>
        <v>P04</v>
      </c>
      <c r="M21" s="1" t="str">
        <f>CONCATENATE(tblCong[[#This Row],[seketCode]],"-",tblCong[[#This Row],[pCode]])</f>
        <v>D01-S01-P04</v>
      </c>
      <c r="N21" s="1" t="str">
        <f>Paris!M$8</f>
        <v>Ririwo</v>
      </c>
      <c r="O21" s="1" t="s">
        <v>567</v>
      </c>
      <c r="P21" s="1" t="s">
        <v>211</v>
      </c>
    </row>
    <row r="22" spans="2:16" ht="15" customHeight="1" x14ac:dyDescent="0.35">
      <c r="B22" s="67"/>
      <c r="C22" s="68"/>
      <c r="F22" s="1" t="str">
        <f>CONCATENATE(tblCong[[#This Row],[parishCode]],"-",tblCong[[#This Row],[kCode]])</f>
        <v>D01-S01-P04-K02</v>
      </c>
      <c r="G22" s="1" t="str">
        <f>Distrik!F$5</f>
        <v>D01</v>
      </c>
      <c r="H22" s="1" t="str">
        <f>VLOOKUP(tblCong[[#This Row],[distCode]],tblDistrict[#All],2)</f>
        <v>Kâte</v>
      </c>
      <c r="I22" s="1" t="str">
        <f>Seket!I$5</f>
        <v>S01</v>
      </c>
      <c r="J22" s="1" t="str">
        <f>CONCATENATE(tblCong[[#This Row],[distCode]],"-",tblCong[[#This Row],[sCode]])</f>
        <v>D01-S01</v>
      </c>
      <c r="K22" s="1" t="str">
        <f>VLOOKUP(tblCong[[#This Row],[seketCode]],tblSeket[#All],5,FALSE)</f>
        <v>Kalasa</v>
      </c>
      <c r="L22" s="1" t="str">
        <f>Paris!L$8</f>
        <v>P04</v>
      </c>
      <c r="M22" s="1" t="str">
        <f>CONCATENATE(tblCong[[#This Row],[seketCode]],"-",tblCong[[#This Row],[pCode]])</f>
        <v>D01-S01-P04</v>
      </c>
      <c r="N22" s="1" t="str">
        <f>Paris!M$8</f>
        <v>Ririwo</v>
      </c>
      <c r="O22" s="1" t="s">
        <v>569</v>
      </c>
      <c r="P22" s="1" t="s">
        <v>587</v>
      </c>
    </row>
    <row r="23" spans="2:16" x14ac:dyDescent="0.35">
      <c r="F23" s="1" t="str">
        <f>CONCATENATE(tblCong[[#This Row],[parishCode]],"-",tblCong[[#This Row],[kCode]])</f>
        <v>D01-S01-P04-K03</v>
      </c>
      <c r="G23" s="1" t="str">
        <f>Distrik!F$5</f>
        <v>D01</v>
      </c>
      <c r="H23" s="1" t="str">
        <f>VLOOKUP(tblCong[[#This Row],[distCode]],tblDistrict[#All],2)</f>
        <v>Kâte</v>
      </c>
      <c r="I23" s="1" t="str">
        <f>Seket!I$5</f>
        <v>S01</v>
      </c>
      <c r="J23" s="1" t="str">
        <f>CONCATENATE(tblCong[[#This Row],[distCode]],"-",tblCong[[#This Row],[sCode]])</f>
        <v>D01-S01</v>
      </c>
      <c r="K23" s="1" t="str">
        <f>VLOOKUP(tblCong[[#This Row],[seketCode]],tblSeket[#All],5,FALSE)</f>
        <v>Kalasa</v>
      </c>
      <c r="L23" s="1" t="str">
        <f>Paris!L$8</f>
        <v>P04</v>
      </c>
      <c r="M23" s="1" t="str">
        <f>CONCATENATE(tblCong[[#This Row],[seketCode]],"-",tblCong[[#This Row],[pCode]])</f>
        <v>D01-S01-P04</v>
      </c>
      <c r="N23" s="1" t="str">
        <f>Paris!M$8</f>
        <v>Ririwo</v>
      </c>
      <c r="O23" s="1" t="s">
        <v>571</v>
      </c>
      <c r="P23" s="1" t="s">
        <v>588</v>
      </c>
    </row>
    <row r="24" spans="2:16" x14ac:dyDescent="0.35">
      <c r="B24" s="87" t="s">
        <v>27</v>
      </c>
      <c r="C24" s="88"/>
      <c r="F24" s="1" t="str">
        <f>CONCATENATE(tblCong[[#This Row],[parishCode]],"-",tblCong[[#This Row],[kCode]])</f>
        <v>D01-S01-P04-K04</v>
      </c>
      <c r="G24" s="1" t="str">
        <f>Distrik!F$5</f>
        <v>D01</v>
      </c>
      <c r="H24" s="1" t="str">
        <f>VLOOKUP(tblCong[[#This Row],[distCode]],tblDistrict[#All],2)</f>
        <v>Kâte</v>
      </c>
      <c r="I24" s="1" t="str">
        <f>Seket!I$5</f>
        <v>S01</v>
      </c>
      <c r="J24" s="1" t="str">
        <f>CONCATENATE(tblCong[[#This Row],[distCode]],"-",tblCong[[#This Row],[sCode]])</f>
        <v>D01-S01</v>
      </c>
      <c r="K24" s="1" t="str">
        <f>VLOOKUP(tblCong[[#This Row],[seketCode]],tblSeket[#All],5,FALSE)</f>
        <v>Kalasa</v>
      </c>
      <c r="L24" s="1" t="str">
        <f>Paris!L$8</f>
        <v>P04</v>
      </c>
      <c r="M24" s="1" t="str">
        <f>CONCATENATE(tblCong[[#This Row],[seketCode]],"-",tblCong[[#This Row],[pCode]])</f>
        <v>D01-S01-P04</v>
      </c>
      <c r="N24" s="1" t="str">
        <f>Paris!M$8</f>
        <v>Ririwo</v>
      </c>
      <c r="O24" s="1" t="s">
        <v>573</v>
      </c>
      <c r="P24" s="1" t="s">
        <v>589</v>
      </c>
    </row>
    <row r="25" spans="2:16" x14ac:dyDescent="0.35">
      <c r="B25" s="89"/>
      <c r="C25" s="90"/>
      <c r="F25" s="1" t="str">
        <f>CONCATENATE(tblCong[[#This Row],[parishCode]],"-",tblCong[[#This Row],[kCode]])</f>
        <v>D01-S01-P05-K01</v>
      </c>
      <c r="G25" s="1" t="str">
        <f>Distrik!F$5</f>
        <v>D01</v>
      </c>
      <c r="H25" s="1" t="str">
        <f>VLOOKUP(tblCong[[#This Row],[distCode]],tblDistrict[#All],2)</f>
        <v>Kâte</v>
      </c>
      <c r="I25" s="1" t="str">
        <f>Seket!I$5</f>
        <v>S01</v>
      </c>
      <c r="J25" s="1" t="str">
        <f>CONCATENATE(tblCong[[#This Row],[distCode]],"-",tblCong[[#This Row],[sCode]])</f>
        <v>D01-S01</v>
      </c>
      <c r="K25" s="1" t="str">
        <f>VLOOKUP(tblCong[[#This Row],[seketCode]],tblSeket[#All],5,FALSE)</f>
        <v>Kalasa</v>
      </c>
      <c r="L25" s="1" t="str">
        <f>Paris!L$9</f>
        <v>P05</v>
      </c>
      <c r="M25" s="1" t="str">
        <f>CONCATENATE(tblCong[[#This Row],[seketCode]],"-",tblCong[[#This Row],[pCode]])</f>
        <v>D01-S01-P05</v>
      </c>
      <c r="N25" s="1" t="str">
        <f>Paris!M$9</f>
        <v>Gegibo</v>
      </c>
      <c r="O25" s="1" t="s">
        <v>567</v>
      </c>
      <c r="P25" s="1" t="s">
        <v>590</v>
      </c>
    </row>
    <row r="26" spans="2:16" x14ac:dyDescent="0.35">
      <c r="F26" s="1" t="str">
        <f>CONCATENATE(tblCong[[#This Row],[parishCode]],"-",tblCong[[#This Row],[kCode]])</f>
        <v>D01-S01-P05-K02</v>
      </c>
      <c r="G26" s="1" t="str">
        <f>Distrik!F$5</f>
        <v>D01</v>
      </c>
      <c r="H26" s="1" t="str">
        <f>VLOOKUP(tblCong[[#This Row],[distCode]],tblDistrict[#All],2)</f>
        <v>Kâte</v>
      </c>
      <c r="I26" s="1" t="str">
        <f>Seket!I$5</f>
        <v>S01</v>
      </c>
      <c r="J26" s="1" t="str">
        <f>CONCATENATE(tblCong[[#This Row],[distCode]],"-",tblCong[[#This Row],[sCode]])</f>
        <v>D01-S01</v>
      </c>
      <c r="K26" s="1" t="str">
        <f>VLOOKUP(tblCong[[#This Row],[seketCode]],tblSeket[#All],5,FALSE)</f>
        <v>Kalasa</v>
      </c>
      <c r="L26" s="1" t="str">
        <f>Paris!L$9</f>
        <v>P05</v>
      </c>
      <c r="M26" s="1" t="str">
        <f>CONCATENATE(tblCong[[#This Row],[seketCode]],"-",tblCong[[#This Row],[pCode]])</f>
        <v>D01-S01-P05</v>
      </c>
      <c r="N26" s="1" t="str">
        <f>Paris!M$9</f>
        <v>Gegibo</v>
      </c>
      <c r="O26" s="1" t="s">
        <v>569</v>
      </c>
      <c r="P26" s="1" t="s">
        <v>591</v>
      </c>
    </row>
    <row r="27" spans="2:16" x14ac:dyDescent="0.35">
      <c r="F27" s="1" t="str">
        <f>CONCATENATE(tblCong[[#This Row],[parishCode]],"-",tblCong[[#This Row],[kCode]])</f>
        <v>D01-S01-P05-K03</v>
      </c>
      <c r="G27" s="1" t="str">
        <f>Distrik!F$5</f>
        <v>D01</v>
      </c>
      <c r="H27" s="1" t="str">
        <f>VLOOKUP(tblCong[[#This Row],[distCode]],tblDistrict[#All],2)</f>
        <v>Kâte</v>
      </c>
      <c r="I27" s="1" t="str">
        <f>Seket!I$5</f>
        <v>S01</v>
      </c>
      <c r="J27" s="1" t="str">
        <f>CONCATENATE(tblCong[[#This Row],[distCode]],"-",tblCong[[#This Row],[sCode]])</f>
        <v>D01-S01</v>
      </c>
      <c r="K27" s="1" t="str">
        <f>VLOOKUP(tblCong[[#This Row],[seketCode]],tblSeket[#All],5,FALSE)</f>
        <v>Kalasa</v>
      </c>
      <c r="L27" s="1" t="str">
        <f>Paris!L$9</f>
        <v>P05</v>
      </c>
      <c r="M27" s="1" t="str">
        <f>CONCATENATE(tblCong[[#This Row],[seketCode]],"-",tblCong[[#This Row],[pCode]])</f>
        <v>D01-S01-P05</v>
      </c>
      <c r="N27" s="1" t="str">
        <f>Paris!M$9</f>
        <v>Gegibo</v>
      </c>
      <c r="O27" s="1" t="s">
        <v>571</v>
      </c>
      <c r="P27" s="1" t="s">
        <v>592</v>
      </c>
    </row>
    <row r="28" spans="2:16" x14ac:dyDescent="0.35">
      <c r="F28" s="1" t="str">
        <f>CONCATENATE(tblCong[[#This Row],[parishCode]],"-",tblCong[[#This Row],[kCode]])</f>
        <v>D01-S01-P05-K04</v>
      </c>
      <c r="G28" s="1" t="str">
        <f>Distrik!F$5</f>
        <v>D01</v>
      </c>
      <c r="H28" s="1" t="str">
        <f>VLOOKUP(tblCong[[#This Row],[distCode]],tblDistrict[#All],2)</f>
        <v>Kâte</v>
      </c>
      <c r="I28" s="1" t="str">
        <f>Seket!I$5</f>
        <v>S01</v>
      </c>
      <c r="J28" s="1" t="str">
        <f>CONCATENATE(tblCong[[#This Row],[distCode]],"-",tblCong[[#This Row],[sCode]])</f>
        <v>D01-S01</v>
      </c>
      <c r="K28" s="1" t="str">
        <f>VLOOKUP(tblCong[[#This Row],[seketCode]],tblSeket[#All],5,FALSE)</f>
        <v>Kalasa</v>
      </c>
      <c r="L28" s="1" t="str">
        <f>Paris!L$9</f>
        <v>P05</v>
      </c>
      <c r="M28" s="1" t="str">
        <f>CONCATENATE(tblCong[[#This Row],[seketCode]],"-",tblCong[[#This Row],[pCode]])</f>
        <v>D01-S01-P05</v>
      </c>
      <c r="N28" s="1" t="str">
        <f>Paris!M$9</f>
        <v>Gegibo</v>
      </c>
      <c r="O28" s="1" t="s">
        <v>573</v>
      </c>
      <c r="P28" s="1" t="s">
        <v>593</v>
      </c>
    </row>
    <row r="29" spans="2:16" x14ac:dyDescent="0.35">
      <c r="F29" s="1" t="str">
        <f>CONCATENATE(tblCong[[#This Row],[parishCode]],"-",tblCong[[#This Row],[kCode]])</f>
        <v>D01-S01-P05-K05</v>
      </c>
      <c r="G29" s="1" t="str">
        <f>Distrik!F$5</f>
        <v>D01</v>
      </c>
      <c r="H29" s="1" t="str">
        <f>VLOOKUP(tblCong[[#This Row],[distCode]],tblDistrict[#All],2)</f>
        <v>Kâte</v>
      </c>
      <c r="I29" s="1" t="str">
        <f>Seket!I$5</f>
        <v>S01</v>
      </c>
      <c r="J29" s="1" t="str">
        <f>CONCATENATE(tblCong[[#This Row],[distCode]],"-",tblCong[[#This Row],[sCode]])</f>
        <v>D01-S01</v>
      </c>
      <c r="K29" s="1" t="str">
        <f>VLOOKUP(tblCong[[#This Row],[seketCode]],tblSeket[#All],5,FALSE)</f>
        <v>Kalasa</v>
      </c>
      <c r="L29" s="1" t="str">
        <f>Paris!L$9</f>
        <v>P05</v>
      </c>
      <c r="M29" s="1" t="str">
        <f>CONCATENATE(tblCong[[#This Row],[seketCode]],"-",tblCong[[#This Row],[pCode]])</f>
        <v>D01-S01-P05</v>
      </c>
      <c r="N29" s="1" t="str">
        <f>Paris!M$9</f>
        <v>Gegibo</v>
      </c>
      <c r="O29" s="1" t="s">
        <v>575</v>
      </c>
      <c r="P29" s="1" t="s">
        <v>594</v>
      </c>
    </row>
    <row r="30" spans="2:16" x14ac:dyDescent="0.35">
      <c r="F30" s="1" t="str">
        <f>CONCATENATE(tblCong[[#This Row],[parishCode]],"-",tblCong[[#This Row],[kCode]])</f>
        <v>D01-S01-P06-K01</v>
      </c>
      <c r="G30" s="1" t="str">
        <f>Distrik!F$5</f>
        <v>D01</v>
      </c>
      <c r="H30" s="1" t="str">
        <f>VLOOKUP(tblCong[[#This Row],[distCode]],tblDistrict[#All],2)</f>
        <v>Kâte</v>
      </c>
      <c r="I30" s="1" t="str">
        <f>Seket!I$5</f>
        <v>S01</v>
      </c>
      <c r="J30" s="1" t="str">
        <f>CONCATENATE(tblCong[[#This Row],[distCode]],"-",tblCong[[#This Row],[sCode]])</f>
        <v>D01-S01</v>
      </c>
      <c r="K30" s="1" t="str">
        <f>VLOOKUP(tblCong[[#This Row],[seketCode]],tblSeket[#All],5,FALSE)</f>
        <v>Kalasa</v>
      </c>
      <c r="L30" s="1" t="str">
        <f>Paris!L$10</f>
        <v>P06</v>
      </c>
      <c r="M30" s="1" t="str">
        <f>CONCATENATE(tblCong[[#This Row],[seketCode]],"-",tblCong[[#This Row],[pCode]])</f>
        <v>D01-S01-P06</v>
      </c>
      <c r="N30" s="1" t="str">
        <f>Paris!M$10</f>
        <v>Gitukia</v>
      </c>
      <c r="O30" s="1" t="s">
        <v>567</v>
      </c>
      <c r="P30" s="1" t="s">
        <v>215</v>
      </c>
    </row>
    <row r="31" spans="2:16" x14ac:dyDescent="0.35">
      <c r="F31" s="1" t="str">
        <f>CONCATENATE(tblCong[[#This Row],[parishCode]],"-",tblCong[[#This Row],[kCode]])</f>
        <v>D01-S01-P06-K02</v>
      </c>
      <c r="G31" s="1" t="str">
        <f>Distrik!F$5</f>
        <v>D01</v>
      </c>
      <c r="H31" s="1" t="str">
        <f>VLOOKUP(tblCong[[#This Row],[distCode]],tblDistrict[#All],2)</f>
        <v>Kâte</v>
      </c>
      <c r="I31" s="1" t="str">
        <f>Seket!I$5</f>
        <v>S01</v>
      </c>
      <c r="J31" s="1" t="str">
        <f>CONCATENATE(tblCong[[#This Row],[distCode]],"-",tblCong[[#This Row],[sCode]])</f>
        <v>D01-S01</v>
      </c>
      <c r="K31" s="1" t="str">
        <f>VLOOKUP(tblCong[[#This Row],[seketCode]],tblSeket[#All],5,FALSE)</f>
        <v>Kalasa</v>
      </c>
      <c r="L31" s="1" t="str">
        <f>Paris!L$10</f>
        <v>P06</v>
      </c>
      <c r="M31" s="1" t="str">
        <f>CONCATENATE(tblCong[[#This Row],[seketCode]],"-",tblCong[[#This Row],[pCode]])</f>
        <v>D01-S01-P06</v>
      </c>
      <c r="N31" s="1" t="str">
        <f>Paris!M$10</f>
        <v>Gitukia</v>
      </c>
      <c r="O31" s="1" t="s">
        <v>569</v>
      </c>
      <c r="P31" s="1" t="s">
        <v>595</v>
      </c>
    </row>
    <row r="32" spans="2:16" x14ac:dyDescent="0.35">
      <c r="F32" s="1" t="str">
        <f>CONCATENATE(tblCong[[#This Row],[parishCode]],"-",tblCong[[#This Row],[kCode]])</f>
        <v>D01-S01-P06-K03</v>
      </c>
      <c r="G32" s="1" t="str">
        <f>Distrik!F$5</f>
        <v>D01</v>
      </c>
      <c r="H32" s="1" t="str">
        <f>VLOOKUP(tblCong[[#This Row],[distCode]],tblDistrict[#All],2)</f>
        <v>Kâte</v>
      </c>
      <c r="I32" s="1" t="str">
        <f>Seket!I$5</f>
        <v>S01</v>
      </c>
      <c r="J32" s="1" t="str">
        <f>CONCATENATE(tblCong[[#This Row],[distCode]],"-",tblCong[[#This Row],[sCode]])</f>
        <v>D01-S01</v>
      </c>
      <c r="K32" s="1" t="str">
        <f>VLOOKUP(tblCong[[#This Row],[seketCode]],tblSeket[#All],5,FALSE)</f>
        <v>Kalasa</v>
      </c>
      <c r="L32" s="1" t="str">
        <f>Paris!L$10</f>
        <v>P06</v>
      </c>
      <c r="M32" s="1" t="str">
        <f>CONCATENATE(tblCong[[#This Row],[seketCode]],"-",tblCong[[#This Row],[pCode]])</f>
        <v>D01-S01-P06</v>
      </c>
      <c r="N32" s="1" t="str">
        <f>Paris!M$10</f>
        <v>Gitukia</v>
      </c>
      <c r="O32" s="1" t="s">
        <v>571</v>
      </c>
      <c r="P32" s="1" t="s">
        <v>596</v>
      </c>
    </row>
    <row r="33" spans="6:16" x14ac:dyDescent="0.35">
      <c r="F33" s="1" t="str">
        <f>CONCATENATE(tblCong[[#This Row],[parishCode]],"-",tblCong[[#This Row],[kCode]])</f>
        <v>D01-S01-P06-K04</v>
      </c>
      <c r="G33" s="1" t="str">
        <f>Distrik!F$5</f>
        <v>D01</v>
      </c>
      <c r="H33" s="1" t="str">
        <f>VLOOKUP(tblCong[[#This Row],[distCode]],tblDistrict[#All],2)</f>
        <v>Kâte</v>
      </c>
      <c r="I33" s="1" t="str">
        <f>Seket!I$5</f>
        <v>S01</v>
      </c>
      <c r="J33" s="1" t="str">
        <f>CONCATENATE(tblCong[[#This Row],[distCode]],"-",tblCong[[#This Row],[sCode]])</f>
        <v>D01-S01</v>
      </c>
      <c r="K33" s="1" t="str">
        <f>VLOOKUP(tblCong[[#This Row],[seketCode]],tblSeket[#All],5,FALSE)</f>
        <v>Kalasa</v>
      </c>
      <c r="L33" s="1" t="str">
        <f>Paris!L$10</f>
        <v>P06</v>
      </c>
      <c r="M33" s="1" t="str">
        <f>CONCATENATE(tblCong[[#This Row],[seketCode]],"-",tblCong[[#This Row],[pCode]])</f>
        <v>D01-S01-P06</v>
      </c>
      <c r="N33" s="1" t="str">
        <f>Paris!M$10</f>
        <v>Gitukia</v>
      </c>
      <c r="O33" s="1" t="s">
        <v>573</v>
      </c>
      <c r="P33" s="1" t="s">
        <v>597</v>
      </c>
    </row>
    <row r="34" spans="6:16" x14ac:dyDescent="0.35">
      <c r="F34" s="1" t="str">
        <f>CONCATENATE(tblCong[[#This Row],[parishCode]],"-",tblCong[[#This Row],[kCode]])</f>
        <v>D01-S01-P07-K01</v>
      </c>
      <c r="G34" s="1" t="str">
        <f>Distrik!F$5</f>
        <v>D01</v>
      </c>
      <c r="H34" s="1" t="str">
        <f>VLOOKUP(tblCong[[#This Row],[distCode]],tblDistrict[#All],2)</f>
        <v>Kâte</v>
      </c>
      <c r="I34" s="1" t="str">
        <f>Seket!I$5</f>
        <v>S01</v>
      </c>
      <c r="J34" s="1" t="str">
        <f>CONCATENATE(tblCong[[#This Row],[distCode]],"-",tblCong[[#This Row],[sCode]])</f>
        <v>D01-S01</v>
      </c>
      <c r="K34" s="1" t="str">
        <f>VLOOKUP(tblCong[[#This Row],[seketCode]],tblSeket[#All],5,FALSE)</f>
        <v>Kalasa</v>
      </c>
      <c r="L34" s="1" t="str">
        <f>Paris!L$11</f>
        <v>P07</v>
      </c>
      <c r="M34" s="1" t="str">
        <f>CONCATENATE(tblCong[[#This Row],[seketCode]],"-",tblCong[[#This Row],[pCode]])</f>
        <v>D01-S01-P07</v>
      </c>
      <c r="N34" s="1" t="str">
        <f>Paris!M$11</f>
        <v>Botara</v>
      </c>
      <c r="O34" s="1" t="s">
        <v>567</v>
      </c>
      <c r="P34" s="1" t="s">
        <v>598</v>
      </c>
    </row>
    <row r="35" spans="6:16" x14ac:dyDescent="0.35">
      <c r="F35" s="1" t="str">
        <f>CONCATENATE(tblCong[[#This Row],[parishCode]],"-",tblCong[[#This Row],[kCode]])</f>
        <v>D01-S01-P07-K02</v>
      </c>
      <c r="G35" s="1" t="str">
        <f>Distrik!F$5</f>
        <v>D01</v>
      </c>
      <c r="H35" s="1" t="str">
        <f>VLOOKUP(tblCong[[#This Row],[distCode]],tblDistrict[#All],2)</f>
        <v>Kâte</v>
      </c>
      <c r="I35" s="1" t="str">
        <f>Seket!I$5</f>
        <v>S01</v>
      </c>
      <c r="J35" s="1" t="str">
        <f>CONCATENATE(tblCong[[#This Row],[distCode]],"-",tblCong[[#This Row],[sCode]])</f>
        <v>D01-S01</v>
      </c>
      <c r="K35" s="1" t="str">
        <f>VLOOKUP(tblCong[[#This Row],[seketCode]],tblSeket[#All],5,FALSE)</f>
        <v>Kalasa</v>
      </c>
      <c r="L35" s="1" t="str">
        <f>Paris!L$11</f>
        <v>P07</v>
      </c>
      <c r="M35" s="1" t="str">
        <f>CONCATENATE(tblCong[[#This Row],[seketCode]],"-",tblCong[[#This Row],[pCode]])</f>
        <v>D01-S01-P07</v>
      </c>
      <c r="N35" s="1" t="str">
        <f>Paris!M$11</f>
        <v>Botara</v>
      </c>
      <c r="O35" s="1" t="s">
        <v>569</v>
      </c>
      <c r="P35" s="1" t="s">
        <v>599</v>
      </c>
    </row>
    <row r="36" spans="6:16" x14ac:dyDescent="0.35">
      <c r="F36" s="1" t="str">
        <f>CONCATENATE(tblCong[[#This Row],[parishCode]],"-",tblCong[[#This Row],[kCode]])</f>
        <v>D01-S01-P07-K03</v>
      </c>
      <c r="G36" s="1" t="str">
        <f>Distrik!F$5</f>
        <v>D01</v>
      </c>
      <c r="H36" s="1" t="str">
        <f>VLOOKUP(tblCong[[#This Row],[distCode]],tblDistrict[#All],2)</f>
        <v>Kâte</v>
      </c>
      <c r="I36" s="1" t="str">
        <f>Seket!I$5</f>
        <v>S01</v>
      </c>
      <c r="J36" s="1" t="str">
        <f>CONCATENATE(tblCong[[#This Row],[distCode]],"-",tblCong[[#This Row],[sCode]])</f>
        <v>D01-S01</v>
      </c>
      <c r="K36" s="1" t="str">
        <f>VLOOKUP(tblCong[[#This Row],[seketCode]],tblSeket[#All],5,FALSE)</f>
        <v>Kalasa</v>
      </c>
      <c r="L36" s="1" t="str">
        <f>Paris!L$11</f>
        <v>P07</v>
      </c>
      <c r="M36" s="1" t="str">
        <f>CONCATENATE(tblCong[[#This Row],[seketCode]],"-",tblCong[[#This Row],[pCode]])</f>
        <v>D01-S01-P07</v>
      </c>
      <c r="N36" s="1" t="str">
        <f>Paris!M$11</f>
        <v>Botara</v>
      </c>
      <c r="O36" s="1" t="s">
        <v>571</v>
      </c>
      <c r="P36" s="1" t="s">
        <v>600</v>
      </c>
    </row>
    <row r="37" spans="6:16" x14ac:dyDescent="0.35">
      <c r="F37" s="1" t="str">
        <f>CONCATENATE(tblCong[[#This Row],[parishCode]],"-",tblCong[[#This Row],[kCode]])</f>
        <v>D01-S01-P08-K01</v>
      </c>
      <c r="G37" s="1" t="str">
        <f>Distrik!F$5</f>
        <v>D01</v>
      </c>
      <c r="H37" s="1" t="str">
        <f>VLOOKUP(tblCong[[#This Row],[distCode]],tblDistrict[#All],2)</f>
        <v>Kâte</v>
      </c>
      <c r="I37" s="1" t="str">
        <f>Seket!I$5</f>
        <v>S01</v>
      </c>
      <c r="J37" s="1" t="str">
        <f>CONCATENATE(tblCong[[#This Row],[distCode]],"-",tblCong[[#This Row],[sCode]])</f>
        <v>D01-S01</v>
      </c>
      <c r="K37" s="1" t="str">
        <f>VLOOKUP(tblCong[[#This Row],[seketCode]],tblSeket[#All],5,FALSE)</f>
        <v>Kalasa</v>
      </c>
      <c r="L37" s="1" t="str">
        <f>Paris!L$12</f>
        <v>P08</v>
      </c>
      <c r="M37" s="1" t="str">
        <f>CONCATENATE(tblCong[[#This Row],[seketCode]],"-",tblCong[[#This Row],[pCode]])</f>
        <v>D01-S01-P08</v>
      </c>
      <c r="N37" s="1" t="str">
        <f>Paris!M$12</f>
        <v>Tibaki</v>
      </c>
      <c r="O37" s="1" t="s">
        <v>567</v>
      </c>
      <c r="P37" s="1" t="s">
        <v>601</v>
      </c>
    </row>
    <row r="38" spans="6:16" x14ac:dyDescent="0.35">
      <c r="F38" s="1" t="str">
        <f>CONCATENATE(tblCong[[#This Row],[parishCode]],"-",tblCong[[#This Row],[kCode]])</f>
        <v>D01-S01-P08-K02</v>
      </c>
      <c r="G38" s="1" t="str">
        <f>Distrik!F$5</f>
        <v>D01</v>
      </c>
      <c r="H38" s="1" t="str">
        <f>VLOOKUP(tblCong[[#This Row],[distCode]],tblDistrict[#All],2)</f>
        <v>Kâte</v>
      </c>
      <c r="I38" s="1" t="str">
        <f>Seket!I$5</f>
        <v>S01</v>
      </c>
      <c r="J38" s="1" t="str">
        <f>CONCATENATE(tblCong[[#This Row],[distCode]],"-",tblCong[[#This Row],[sCode]])</f>
        <v>D01-S01</v>
      </c>
      <c r="K38" s="1" t="str">
        <f>VLOOKUP(tblCong[[#This Row],[seketCode]],tblSeket[#All],5,FALSE)</f>
        <v>Kalasa</v>
      </c>
      <c r="L38" s="1" t="str">
        <f>Paris!L$12</f>
        <v>P08</v>
      </c>
      <c r="M38" s="1" t="str">
        <f>CONCATENATE(tblCong[[#This Row],[seketCode]],"-",tblCong[[#This Row],[pCode]])</f>
        <v>D01-S01-P08</v>
      </c>
      <c r="N38" s="1" t="str">
        <f>Paris!M$12</f>
        <v>Tibaki</v>
      </c>
      <c r="O38" s="1" t="s">
        <v>569</v>
      </c>
      <c r="P38" s="1" t="s">
        <v>602</v>
      </c>
    </row>
    <row r="39" spans="6:16" x14ac:dyDescent="0.35">
      <c r="F39" s="1" t="str">
        <f>CONCATENATE(tblCong[[#This Row],[parishCode]],"-",tblCong[[#This Row],[kCode]])</f>
        <v>D01-S01-P08-K03</v>
      </c>
      <c r="G39" s="1" t="str">
        <f>Distrik!F$5</f>
        <v>D01</v>
      </c>
      <c r="H39" s="1" t="str">
        <f>VLOOKUP(tblCong[[#This Row],[distCode]],tblDistrict[#All],2)</f>
        <v>Kâte</v>
      </c>
      <c r="I39" s="1" t="str">
        <f>Seket!I$5</f>
        <v>S01</v>
      </c>
      <c r="J39" s="1" t="str">
        <f>CONCATENATE(tblCong[[#This Row],[distCode]],"-",tblCong[[#This Row],[sCode]])</f>
        <v>D01-S01</v>
      </c>
      <c r="K39" s="1" t="str">
        <f>VLOOKUP(tblCong[[#This Row],[seketCode]],tblSeket[#All],5,FALSE)</f>
        <v>Kalasa</v>
      </c>
      <c r="L39" s="1" t="str">
        <f>Paris!L$12</f>
        <v>P08</v>
      </c>
      <c r="M39" s="1" t="str">
        <f>CONCATENATE(tblCong[[#This Row],[seketCode]],"-",tblCong[[#This Row],[pCode]])</f>
        <v>D01-S01-P08</v>
      </c>
      <c r="N39" s="1" t="str">
        <f>Paris!M$12</f>
        <v>Tibaki</v>
      </c>
      <c r="O39" s="1" t="s">
        <v>571</v>
      </c>
      <c r="P39" s="1" t="s">
        <v>603</v>
      </c>
    </row>
    <row r="40" spans="6:16" x14ac:dyDescent="0.35">
      <c r="F40" s="1" t="str">
        <f>CONCATENATE(tblCong[[#This Row],[parishCode]],"-",tblCong[[#This Row],[kCode]])</f>
        <v>D01-S01-P08-K04</v>
      </c>
      <c r="G40" s="1" t="str">
        <f>Distrik!F$5</f>
        <v>D01</v>
      </c>
      <c r="H40" s="1" t="str">
        <f>VLOOKUP(tblCong[[#This Row],[distCode]],tblDistrict[#All],2)</f>
        <v>Kâte</v>
      </c>
      <c r="I40" s="1" t="str">
        <f>Seket!I$5</f>
        <v>S01</v>
      </c>
      <c r="J40" s="1" t="str">
        <f>CONCATENATE(tblCong[[#This Row],[distCode]],"-",tblCong[[#This Row],[sCode]])</f>
        <v>D01-S01</v>
      </c>
      <c r="K40" s="1" t="str">
        <f>VLOOKUP(tblCong[[#This Row],[seketCode]],tblSeket[#All],5,FALSE)</f>
        <v>Kalasa</v>
      </c>
      <c r="L40" s="1" t="str">
        <f>Paris!L$12</f>
        <v>P08</v>
      </c>
      <c r="M40" s="1" t="str">
        <f>CONCATENATE(tblCong[[#This Row],[seketCode]],"-",tblCong[[#This Row],[pCode]])</f>
        <v>D01-S01-P08</v>
      </c>
      <c r="N40" s="1" t="str">
        <f>Paris!M$12</f>
        <v>Tibaki</v>
      </c>
      <c r="O40" s="1" t="s">
        <v>573</v>
      </c>
      <c r="P40" s="1" t="s">
        <v>604</v>
      </c>
    </row>
    <row r="41" spans="6:16" x14ac:dyDescent="0.35">
      <c r="F41" s="1" t="str">
        <f>CONCATENATE(tblCong[[#This Row],[parishCode]],"-",tblCong[[#This Row],[kCode]])</f>
        <v>D01-S02-P01-K01</v>
      </c>
      <c r="G41" s="1" t="str">
        <f>Distrik!F$5</f>
        <v>D01</v>
      </c>
      <c r="H41" s="1" t="str">
        <f>VLOOKUP(tblCong[[#This Row],[distCode]],tblDistrict[#All],2)</f>
        <v>Kâte</v>
      </c>
      <c r="I41" s="1" t="str">
        <f>Seket!I$6</f>
        <v>S02</v>
      </c>
      <c r="J41" s="1" t="str">
        <f>CONCATENATE(tblCong[[#This Row],[distCode]],"-",tblCong[[#This Row],[sCode]])</f>
        <v>D01-S02</v>
      </c>
      <c r="K41" s="1" t="str">
        <f>VLOOKUP(tblCong[[#This Row],[seketCode]],tblSeket[#All],5,FALSE)</f>
        <v>Dedua</v>
      </c>
      <c r="L41" s="1" t="str">
        <f>Paris!L$13</f>
        <v>P01</v>
      </c>
      <c r="M41" s="1" t="str">
        <f>CONCATENATE(tblCong[[#This Row],[seketCode]],"-",tblCong[[#This Row],[pCode]])</f>
        <v>D01-S02-P01</v>
      </c>
      <c r="N41" s="1" t="str">
        <f>Paris!M$13</f>
        <v>Yumeng</v>
      </c>
      <c r="O41" s="1" t="s">
        <v>567</v>
      </c>
      <c r="P41" s="1" t="s">
        <v>605</v>
      </c>
    </row>
    <row r="42" spans="6:16" x14ac:dyDescent="0.35">
      <c r="F42" s="1" t="str">
        <f>CONCATENATE(tblCong[[#This Row],[parishCode]],"-",tblCong[[#This Row],[kCode]])</f>
        <v>D01-S02-P01-K02</v>
      </c>
      <c r="G42" s="1" t="str">
        <f>Distrik!F$5</f>
        <v>D01</v>
      </c>
      <c r="H42" s="1" t="str">
        <f>VLOOKUP(tblCong[[#This Row],[distCode]],tblDistrict[#All],2)</f>
        <v>Kâte</v>
      </c>
      <c r="I42" s="1" t="str">
        <f>Seket!I$6</f>
        <v>S02</v>
      </c>
      <c r="J42" s="1" t="str">
        <f>CONCATENATE(tblCong[[#This Row],[distCode]],"-",tblCong[[#This Row],[sCode]])</f>
        <v>D01-S02</v>
      </c>
      <c r="K42" s="1" t="str">
        <f>VLOOKUP(tblCong[[#This Row],[seketCode]],tblSeket[#All],5,FALSE)</f>
        <v>Dedua</v>
      </c>
      <c r="L42" s="1" t="str">
        <f>Paris!L$13</f>
        <v>P01</v>
      </c>
      <c r="M42" s="1" t="str">
        <f>CONCATENATE(tblCong[[#This Row],[seketCode]],"-",tblCong[[#This Row],[pCode]])</f>
        <v>D01-S02-P01</v>
      </c>
      <c r="N42" s="1" t="str">
        <f>Paris!M$13</f>
        <v>Yumeng</v>
      </c>
      <c r="O42" s="1" t="s">
        <v>569</v>
      </c>
      <c r="P42" s="1" t="s">
        <v>606</v>
      </c>
    </row>
    <row r="43" spans="6:16" x14ac:dyDescent="0.35">
      <c r="F43" s="1" t="str">
        <f>CONCATENATE(tblCong[[#This Row],[parishCode]],"-",tblCong[[#This Row],[kCode]])</f>
        <v>D01-S02-P01-K03</v>
      </c>
      <c r="G43" s="1" t="str">
        <f>Distrik!F$5</f>
        <v>D01</v>
      </c>
      <c r="H43" s="1" t="str">
        <f>VLOOKUP(tblCong[[#This Row],[distCode]],tblDistrict[#All],2)</f>
        <v>Kâte</v>
      </c>
      <c r="I43" s="1" t="str">
        <f>Seket!I$6</f>
        <v>S02</v>
      </c>
      <c r="J43" s="1" t="str">
        <f>CONCATENATE(tblCong[[#This Row],[distCode]],"-",tblCong[[#This Row],[sCode]])</f>
        <v>D01-S02</v>
      </c>
      <c r="K43" s="1" t="str">
        <f>VLOOKUP(tblCong[[#This Row],[seketCode]],tblSeket[#All],5,FALSE)</f>
        <v>Dedua</v>
      </c>
      <c r="L43" s="1" t="str">
        <f>Paris!L$13</f>
        <v>P01</v>
      </c>
      <c r="M43" s="1" t="str">
        <f>CONCATENATE(tblCong[[#This Row],[seketCode]],"-",tblCong[[#This Row],[pCode]])</f>
        <v>D01-S02-P01</v>
      </c>
      <c r="N43" s="1" t="str">
        <f>Paris!M$13</f>
        <v>Yumeng</v>
      </c>
      <c r="O43" s="1" t="s">
        <v>571</v>
      </c>
      <c r="P43" s="1" t="s">
        <v>607</v>
      </c>
    </row>
    <row r="44" spans="6:16" x14ac:dyDescent="0.35">
      <c r="F44" s="1" t="str">
        <f>CONCATENATE(tblCong[[#This Row],[parishCode]],"-",tblCong[[#This Row],[kCode]])</f>
        <v>D01-S02-P01-K04</v>
      </c>
      <c r="G44" s="1" t="str">
        <f>Distrik!F$5</f>
        <v>D01</v>
      </c>
      <c r="H44" s="1" t="str">
        <f>VLOOKUP(tblCong[[#This Row],[distCode]],tblDistrict[#All],2)</f>
        <v>Kâte</v>
      </c>
      <c r="I44" s="1" t="str">
        <f>Seket!I$6</f>
        <v>S02</v>
      </c>
      <c r="J44" s="1" t="str">
        <f>CONCATENATE(tblCong[[#This Row],[distCode]],"-",tblCong[[#This Row],[sCode]])</f>
        <v>D01-S02</v>
      </c>
      <c r="K44" s="1" t="str">
        <f>VLOOKUP(tblCong[[#This Row],[seketCode]],tblSeket[#All],5,FALSE)</f>
        <v>Dedua</v>
      </c>
      <c r="L44" s="1" t="str">
        <f>Paris!L$13</f>
        <v>P01</v>
      </c>
      <c r="M44" s="1" t="str">
        <f>CONCATENATE(tblCong[[#This Row],[seketCode]],"-",tblCong[[#This Row],[pCode]])</f>
        <v>D01-S02-P01</v>
      </c>
      <c r="N44" s="1" t="str">
        <f>Paris!M$13</f>
        <v>Yumeng</v>
      </c>
      <c r="O44" s="1" t="s">
        <v>573</v>
      </c>
      <c r="P44" s="1" t="s">
        <v>608</v>
      </c>
    </row>
    <row r="45" spans="6:16" x14ac:dyDescent="0.35">
      <c r="F45" s="1" t="str">
        <f>CONCATENATE(tblCong[[#This Row],[parishCode]],"-",tblCong[[#This Row],[kCode]])</f>
        <v>D01-S02-P02-K01</v>
      </c>
      <c r="G45" s="1" t="str">
        <f>Distrik!F$5</f>
        <v>D01</v>
      </c>
      <c r="H45" s="1" t="str">
        <f>VLOOKUP(tblCong[[#This Row],[distCode]],tblDistrict[#All],2)</f>
        <v>Kâte</v>
      </c>
      <c r="I45" s="1" t="str">
        <f>Seket!I$6</f>
        <v>S02</v>
      </c>
      <c r="J45" s="1" t="str">
        <f>CONCATENATE(tblCong[[#This Row],[distCode]],"-",tblCong[[#This Row],[sCode]])</f>
        <v>D01-S02</v>
      </c>
      <c r="K45" s="1" t="str">
        <f>VLOOKUP(tblCong[[#This Row],[seketCode]],tblSeket[#All],5,FALSE)</f>
        <v>Dedua</v>
      </c>
      <c r="L45" s="1" t="str">
        <f>Paris!L$14</f>
        <v>P02</v>
      </c>
      <c r="M45" s="1" t="str">
        <f>CONCATENATE(tblCong[[#This Row],[seketCode]],"-",tblCong[[#This Row],[pCode]])</f>
        <v>D01-S02-P02</v>
      </c>
      <c r="N45" s="1" t="str">
        <f>Paris!M$14</f>
        <v>Munsel</v>
      </c>
      <c r="O45" s="1" t="s">
        <v>567</v>
      </c>
      <c r="P45" s="1" t="s">
        <v>609</v>
      </c>
    </row>
    <row r="46" spans="6:16" x14ac:dyDescent="0.35">
      <c r="F46" s="1" t="str">
        <f>CONCATENATE(tblCong[[#This Row],[parishCode]],"-",tblCong[[#This Row],[kCode]])</f>
        <v>D01-S02-P02-K02</v>
      </c>
      <c r="G46" s="1" t="str">
        <f>Distrik!F$5</f>
        <v>D01</v>
      </c>
      <c r="H46" s="1" t="str">
        <f>VLOOKUP(tblCong[[#This Row],[distCode]],tblDistrict[#All],2)</f>
        <v>Kâte</v>
      </c>
      <c r="I46" s="1" t="str">
        <f>Seket!I$6</f>
        <v>S02</v>
      </c>
      <c r="J46" s="1" t="str">
        <f>CONCATENATE(tblCong[[#This Row],[distCode]],"-",tblCong[[#This Row],[sCode]])</f>
        <v>D01-S02</v>
      </c>
      <c r="K46" s="1" t="str">
        <f>VLOOKUP(tblCong[[#This Row],[seketCode]],tblSeket[#All],5,FALSE)</f>
        <v>Dedua</v>
      </c>
      <c r="L46" s="1" t="str">
        <f>Paris!L$14</f>
        <v>P02</v>
      </c>
      <c r="M46" s="1" t="str">
        <f>CONCATENATE(tblCong[[#This Row],[seketCode]],"-",tblCong[[#This Row],[pCode]])</f>
        <v>D01-S02-P02</v>
      </c>
      <c r="N46" s="1" t="str">
        <f>Paris!M$14</f>
        <v>Munsel</v>
      </c>
      <c r="O46" s="1" t="s">
        <v>569</v>
      </c>
      <c r="P46" s="1" t="s">
        <v>610</v>
      </c>
    </row>
    <row r="47" spans="6:16" x14ac:dyDescent="0.35">
      <c r="F47" s="1" t="str">
        <f>CONCATENATE(tblCong[[#This Row],[parishCode]],"-",tblCong[[#This Row],[kCode]])</f>
        <v>D01-S02-P03-K01</v>
      </c>
      <c r="G47" s="1" t="str">
        <f>Distrik!F$5</f>
        <v>D01</v>
      </c>
      <c r="H47" s="1" t="str">
        <f>VLOOKUP(tblCong[[#This Row],[distCode]],tblDistrict[#All],2)</f>
        <v>Kâte</v>
      </c>
      <c r="I47" s="1" t="str">
        <f>Seket!I$6</f>
        <v>S02</v>
      </c>
      <c r="J47" s="1" t="str">
        <f>CONCATENATE(tblCong[[#This Row],[distCode]],"-",tblCong[[#This Row],[sCode]])</f>
        <v>D01-S02</v>
      </c>
      <c r="K47" s="1" t="str">
        <f>VLOOKUP(tblCong[[#This Row],[seketCode]],tblSeket[#All],5,FALSE)</f>
        <v>Dedua</v>
      </c>
      <c r="L47" s="1" t="str">
        <f>Paris!L$15</f>
        <v>P03</v>
      </c>
      <c r="M47" s="1" t="str">
        <f>CONCATENATE(tblCong[[#This Row],[seketCode]],"-",tblCong[[#This Row],[pCode]])</f>
        <v>D01-S02-P03</v>
      </c>
      <c r="N47" s="1" t="str">
        <f>Paris!M$15</f>
        <v>Masa</v>
      </c>
      <c r="O47" s="1" t="s">
        <v>567</v>
      </c>
      <c r="P47" s="1" t="s">
        <v>611</v>
      </c>
    </row>
    <row r="48" spans="6:16" x14ac:dyDescent="0.35">
      <c r="F48" s="1" t="str">
        <f>CONCATENATE(tblCong[[#This Row],[parishCode]],"-",tblCong[[#This Row],[kCode]])</f>
        <v>D01-S02-P03-K02</v>
      </c>
      <c r="G48" s="1" t="str">
        <f>Distrik!F$5</f>
        <v>D01</v>
      </c>
      <c r="H48" s="1" t="str">
        <f>VLOOKUP(tblCong[[#This Row],[distCode]],tblDistrict[#All],2)</f>
        <v>Kâte</v>
      </c>
      <c r="I48" s="1" t="str">
        <f>Seket!I$6</f>
        <v>S02</v>
      </c>
      <c r="J48" s="1" t="str">
        <f>CONCATENATE(tblCong[[#This Row],[distCode]],"-",tblCong[[#This Row],[sCode]])</f>
        <v>D01-S02</v>
      </c>
      <c r="K48" s="1" t="str">
        <f>VLOOKUP(tblCong[[#This Row],[seketCode]],tblSeket[#All],5,FALSE)</f>
        <v>Dedua</v>
      </c>
      <c r="L48" s="1" t="str">
        <f>Paris!L$15</f>
        <v>P03</v>
      </c>
      <c r="M48" s="1" t="str">
        <f>CONCATENATE(tblCong[[#This Row],[seketCode]],"-",tblCong[[#This Row],[pCode]])</f>
        <v>D01-S02-P03</v>
      </c>
      <c r="N48" s="1" t="str">
        <f>Paris!M$15</f>
        <v>Masa</v>
      </c>
      <c r="O48" s="1" t="s">
        <v>569</v>
      </c>
      <c r="P48" s="1" t="s">
        <v>612</v>
      </c>
    </row>
    <row r="49" spans="6:16" x14ac:dyDescent="0.35">
      <c r="F49" s="1" t="str">
        <f>CONCATENATE(tblCong[[#This Row],[parishCode]],"-",tblCong[[#This Row],[kCode]])</f>
        <v>D01-S02-P03-K03</v>
      </c>
      <c r="G49" s="1" t="str">
        <f>Distrik!F$5</f>
        <v>D01</v>
      </c>
      <c r="H49" s="1" t="str">
        <f>VLOOKUP(tblCong[[#This Row],[distCode]],tblDistrict[#All],2)</f>
        <v>Kâte</v>
      </c>
      <c r="I49" s="1" t="str">
        <f>Seket!I$6</f>
        <v>S02</v>
      </c>
      <c r="J49" s="1" t="str">
        <f>CONCATENATE(tblCong[[#This Row],[distCode]],"-",tblCong[[#This Row],[sCode]])</f>
        <v>D01-S02</v>
      </c>
      <c r="K49" s="1" t="str">
        <f>VLOOKUP(tblCong[[#This Row],[seketCode]],tblSeket[#All],5,FALSE)</f>
        <v>Dedua</v>
      </c>
      <c r="L49" s="1" t="str">
        <f>Paris!L$15</f>
        <v>P03</v>
      </c>
      <c r="M49" s="1" t="str">
        <f>CONCATENATE(tblCong[[#This Row],[seketCode]],"-",tblCong[[#This Row],[pCode]])</f>
        <v>D01-S02-P03</v>
      </c>
      <c r="N49" s="1" t="str">
        <f>Paris!M$15</f>
        <v>Masa</v>
      </c>
      <c r="O49" s="1" t="s">
        <v>571</v>
      </c>
      <c r="P49" s="1" t="s">
        <v>613</v>
      </c>
    </row>
    <row r="50" spans="6:16" x14ac:dyDescent="0.35">
      <c r="F50" s="1" t="str">
        <f>CONCATENATE(tblCong[[#This Row],[parishCode]],"-",tblCong[[#This Row],[kCode]])</f>
        <v>D01-S02-P03-K04</v>
      </c>
      <c r="G50" s="1" t="str">
        <f>Distrik!F$5</f>
        <v>D01</v>
      </c>
      <c r="H50" s="1" t="str">
        <f>VLOOKUP(tblCong[[#This Row],[distCode]],tblDistrict[#All],2)</f>
        <v>Kâte</v>
      </c>
      <c r="I50" s="1" t="str">
        <f>Seket!I$6</f>
        <v>S02</v>
      </c>
      <c r="J50" s="1" t="str">
        <f>CONCATENATE(tblCong[[#This Row],[distCode]],"-",tblCong[[#This Row],[sCode]])</f>
        <v>D01-S02</v>
      </c>
      <c r="K50" s="1" t="str">
        <f>VLOOKUP(tblCong[[#This Row],[seketCode]],tblSeket[#All],5,FALSE)</f>
        <v>Dedua</v>
      </c>
      <c r="L50" s="1" t="str">
        <f>Paris!L$15</f>
        <v>P03</v>
      </c>
      <c r="M50" s="1" t="str">
        <f>CONCATENATE(tblCong[[#This Row],[seketCode]],"-",tblCong[[#This Row],[pCode]])</f>
        <v>D01-S02-P03</v>
      </c>
      <c r="N50" s="1" t="str">
        <f>Paris!M$15</f>
        <v>Masa</v>
      </c>
      <c r="O50" s="1" t="s">
        <v>573</v>
      </c>
      <c r="P50" s="1" t="s">
        <v>614</v>
      </c>
    </row>
    <row r="51" spans="6:16" x14ac:dyDescent="0.35">
      <c r="F51" s="1" t="str">
        <f>CONCATENATE(tblCong[[#This Row],[parishCode]],"-",tblCong[[#This Row],[kCode]])</f>
        <v>D01-S02-P03-K05</v>
      </c>
      <c r="G51" s="1" t="str">
        <f>Distrik!F$5</f>
        <v>D01</v>
      </c>
      <c r="H51" s="1" t="str">
        <f>VLOOKUP(tblCong[[#This Row],[distCode]],tblDistrict[#All],2)</f>
        <v>Kâte</v>
      </c>
      <c r="I51" s="1" t="str">
        <f>Seket!I$6</f>
        <v>S02</v>
      </c>
      <c r="J51" s="1" t="str">
        <f>CONCATENATE(tblCong[[#This Row],[distCode]],"-",tblCong[[#This Row],[sCode]])</f>
        <v>D01-S02</v>
      </c>
      <c r="K51" s="1" t="str">
        <f>VLOOKUP(tblCong[[#This Row],[seketCode]],tblSeket[#All],5,FALSE)</f>
        <v>Dedua</v>
      </c>
      <c r="L51" s="1" t="str">
        <f>Paris!L$15</f>
        <v>P03</v>
      </c>
      <c r="M51" s="1" t="str">
        <f>CONCATENATE(tblCong[[#This Row],[seketCode]],"-",tblCong[[#This Row],[pCode]])</f>
        <v>D01-S02-P03</v>
      </c>
      <c r="N51" s="1" t="str">
        <f>Paris!M$15</f>
        <v>Masa</v>
      </c>
      <c r="O51" s="1" t="s">
        <v>575</v>
      </c>
      <c r="P51" s="1" t="s">
        <v>615</v>
      </c>
    </row>
    <row r="52" spans="6:16" x14ac:dyDescent="0.35">
      <c r="F52" s="1" t="str">
        <f>CONCATENATE(tblCong[[#This Row],[parishCode]],"-",tblCong[[#This Row],[kCode]])</f>
        <v>D01-S02-P03-K06</v>
      </c>
      <c r="G52" s="1" t="str">
        <f>Distrik!F$5</f>
        <v>D01</v>
      </c>
      <c r="H52" s="1" t="str">
        <f>VLOOKUP(tblCong[[#This Row],[distCode]],tblDistrict[#All],2)</f>
        <v>Kâte</v>
      </c>
      <c r="I52" s="1" t="str">
        <f>Seket!I$6</f>
        <v>S02</v>
      </c>
      <c r="J52" s="1" t="str">
        <f>CONCATENATE(tblCong[[#This Row],[distCode]],"-",tblCong[[#This Row],[sCode]])</f>
        <v>D01-S02</v>
      </c>
      <c r="K52" s="1" t="str">
        <f>VLOOKUP(tblCong[[#This Row],[seketCode]],tblSeket[#All],5,FALSE)</f>
        <v>Dedua</v>
      </c>
      <c r="L52" s="1" t="str">
        <f>Paris!L$15</f>
        <v>P03</v>
      </c>
      <c r="M52" s="1" t="str">
        <f>CONCATENATE(tblCong[[#This Row],[seketCode]],"-",tblCong[[#This Row],[pCode]])</f>
        <v>D01-S02-P03</v>
      </c>
      <c r="N52" s="1" t="str">
        <f>Paris!M$15</f>
        <v>Masa</v>
      </c>
      <c r="O52" s="1" t="s">
        <v>576</v>
      </c>
      <c r="P52" s="1" t="s">
        <v>616</v>
      </c>
    </row>
    <row r="53" spans="6:16" x14ac:dyDescent="0.35">
      <c r="F53" s="1" t="str">
        <f>CONCATENATE(tblCong[[#This Row],[parishCode]],"-",tblCong[[#This Row],[kCode]])</f>
        <v>D01-S02-P04-K01</v>
      </c>
      <c r="G53" s="1" t="str">
        <f>Distrik!F$5</f>
        <v>D01</v>
      </c>
      <c r="H53" s="1" t="str">
        <f>VLOOKUP(tblCong[[#This Row],[distCode]],tblDistrict[#All],2)</f>
        <v>Kâte</v>
      </c>
      <c r="I53" s="1" t="str">
        <f>Seket!I$6</f>
        <v>S02</v>
      </c>
      <c r="J53" s="1" t="str">
        <f>CONCATENATE(tblCong[[#This Row],[distCode]],"-",tblCong[[#This Row],[sCode]])</f>
        <v>D01-S02</v>
      </c>
      <c r="K53" s="1" t="str">
        <f>VLOOKUP(tblCong[[#This Row],[seketCode]],tblSeket[#All],5,FALSE)</f>
        <v>Dedua</v>
      </c>
      <c r="L53" s="1" t="str">
        <f>Paris!L$16</f>
        <v>P04</v>
      </c>
      <c r="M53" s="1" t="str">
        <f>CONCATENATE(tblCong[[#This Row],[seketCode]],"-",tblCong[[#This Row],[pCode]])</f>
        <v>D01-S02-P04</v>
      </c>
      <c r="N53" s="1" t="str">
        <f>Paris!M$16</f>
        <v>Yasire</v>
      </c>
      <c r="O53" s="1" t="s">
        <v>567</v>
      </c>
      <c r="P53" s="1" t="s">
        <v>617</v>
      </c>
    </row>
    <row r="54" spans="6:16" x14ac:dyDescent="0.35">
      <c r="F54" s="1" t="str">
        <f>CONCATENATE(tblCong[[#This Row],[parishCode]],"-",tblCong[[#This Row],[kCode]])</f>
        <v>D01-S02-P04-K02</v>
      </c>
      <c r="G54" s="1" t="str">
        <f>Distrik!F$5</f>
        <v>D01</v>
      </c>
      <c r="H54" s="1" t="str">
        <f>VLOOKUP(tblCong[[#This Row],[distCode]],tblDistrict[#All],2)</f>
        <v>Kâte</v>
      </c>
      <c r="I54" s="1" t="str">
        <f>Seket!I$6</f>
        <v>S02</v>
      </c>
      <c r="J54" s="1" t="str">
        <f>CONCATENATE(tblCong[[#This Row],[distCode]],"-",tblCong[[#This Row],[sCode]])</f>
        <v>D01-S02</v>
      </c>
      <c r="K54" s="1" t="str">
        <f>VLOOKUP(tblCong[[#This Row],[seketCode]],tblSeket[#All],5,FALSE)</f>
        <v>Dedua</v>
      </c>
      <c r="L54" s="1" t="str">
        <f>Paris!L$16</f>
        <v>P04</v>
      </c>
      <c r="M54" s="1" t="str">
        <f>CONCATENATE(tblCong[[#This Row],[seketCode]],"-",tblCong[[#This Row],[pCode]])</f>
        <v>D01-S02-P04</v>
      </c>
      <c r="N54" s="1" t="str">
        <f>Paris!M$16</f>
        <v>Yasire</v>
      </c>
      <c r="O54" s="1" t="s">
        <v>569</v>
      </c>
      <c r="P54" s="1" t="s">
        <v>618</v>
      </c>
    </row>
    <row r="55" spans="6:16" x14ac:dyDescent="0.35">
      <c r="F55" s="1" t="str">
        <f>CONCATENATE(tblCong[[#This Row],[parishCode]],"-",tblCong[[#This Row],[kCode]])</f>
        <v>D01-S02-P04-K03</v>
      </c>
      <c r="G55" s="1" t="str">
        <f>Distrik!F$5</f>
        <v>D01</v>
      </c>
      <c r="H55" s="1" t="str">
        <f>VLOOKUP(tblCong[[#This Row],[distCode]],tblDistrict[#All],2)</f>
        <v>Kâte</v>
      </c>
      <c r="I55" s="1" t="str">
        <f>Seket!I$6</f>
        <v>S02</v>
      </c>
      <c r="J55" s="1" t="str">
        <f>CONCATENATE(tblCong[[#This Row],[distCode]],"-",tblCong[[#This Row],[sCode]])</f>
        <v>D01-S02</v>
      </c>
      <c r="K55" s="1" t="str">
        <f>VLOOKUP(tblCong[[#This Row],[seketCode]],tblSeket[#All],5,FALSE)</f>
        <v>Dedua</v>
      </c>
      <c r="L55" s="1" t="str">
        <f>Paris!L$16</f>
        <v>P04</v>
      </c>
      <c r="M55" s="1" t="str">
        <f>CONCATENATE(tblCong[[#This Row],[seketCode]],"-",tblCong[[#This Row],[pCode]])</f>
        <v>D01-S02-P04</v>
      </c>
      <c r="N55" s="1" t="str">
        <f>Paris!M$16</f>
        <v>Yasire</v>
      </c>
      <c r="O55" s="1" t="s">
        <v>571</v>
      </c>
      <c r="P55" s="1" t="s">
        <v>619</v>
      </c>
    </row>
    <row r="56" spans="6:16" x14ac:dyDescent="0.35">
      <c r="F56" s="1" t="str">
        <f>CONCATENATE(tblCong[[#This Row],[parishCode]],"-",tblCong[[#This Row],[kCode]])</f>
        <v>D01-S02-P05-K01</v>
      </c>
      <c r="G56" s="1" t="str">
        <f>Distrik!F$5</f>
        <v>D01</v>
      </c>
      <c r="H56" s="1" t="str">
        <f>VLOOKUP(tblCong[[#This Row],[distCode]],tblDistrict[#All],2)</f>
        <v>Kâte</v>
      </c>
      <c r="I56" s="1" t="str">
        <f>Seket!I$6</f>
        <v>S02</v>
      </c>
      <c r="J56" s="1" t="str">
        <f>CONCATENATE(tblCong[[#This Row],[distCode]],"-",tblCong[[#This Row],[sCode]])</f>
        <v>D01-S02</v>
      </c>
      <c r="K56" s="1" t="str">
        <f>VLOOKUP(tblCong[[#This Row],[seketCode]],tblSeket[#All],5,FALSE)</f>
        <v>Dedua</v>
      </c>
      <c r="L56" s="1" t="str">
        <f>Paris!L$17</f>
        <v>P05</v>
      </c>
      <c r="M56" s="1" t="str">
        <f>CONCATENATE(tblCong[[#This Row],[seketCode]],"-",tblCong[[#This Row],[pCode]])</f>
        <v>D01-S02-P05</v>
      </c>
      <c r="N56" s="1" t="str">
        <f>Paris!M$17</f>
        <v>Koyoza</v>
      </c>
      <c r="O56" s="1" t="s">
        <v>567</v>
      </c>
      <c r="P56" s="1" t="s">
        <v>620</v>
      </c>
    </row>
    <row r="57" spans="6:16" x14ac:dyDescent="0.35">
      <c r="F57" s="1" t="str">
        <f>CONCATENATE(tblCong[[#This Row],[parishCode]],"-",tblCong[[#This Row],[kCode]])</f>
        <v>D01-S02-P05-K02</v>
      </c>
      <c r="G57" s="1" t="str">
        <f>Distrik!F$5</f>
        <v>D01</v>
      </c>
      <c r="H57" s="1" t="str">
        <f>VLOOKUP(tblCong[[#This Row],[distCode]],tblDistrict[#All],2)</f>
        <v>Kâte</v>
      </c>
      <c r="I57" s="1" t="str">
        <f>Seket!I$6</f>
        <v>S02</v>
      </c>
      <c r="J57" s="1" t="str">
        <f>CONCATENATE(tblCong[[#This Row],[distCode]],"-",tblCong[[#This Row],[sCode]])</f>
        <v>D01-S02</v>
      </c>
      <c r="K57" s="1" t="str">
        <f>VLOOKUP(tblCong[[#This Row],[seketCode]],tblSeket[#All],5,FALSE)</f>
        <v>Dedua</v>
      </c>
      <c r="L57" s="1" t="str">
        <f>Paris!L$17</f>
        <v>P05</v>
      </c>
      <c r="M57" s="1" t="str">
        <f>CONCATENATE(tblCong[[#This Row],[seketCode]],"-",tblCong[[#This Row],[pCode]])</f>
        <v>D01-S02-P05</v>
      </c>
      <c r="N57" s="1" t="str">
        <f>Paris!M$17</f>
        <v>Koyoza</v>
      </c>
      <c r="O57" s="1" t="s">
        <v>569</v>
      </c>
      <c r="P57" s="1" t="s">
        <v>621</v>
      </c>
    </row>
    <row r="58" spans="6:16" x14ac:dyDescent="0.35">
      <c r="F58" s="1" t="str">
        <f>CONCATENATE(tblCong[[#This Row],[parishCode]],"-",tblCong[[#This Row],[kCode]])</f>
        <v>D01-S02-P05-K03</v>
      </c>
      <c r="G58" s="1" t="str">
        <f>Distrik!F$5</f>
        <v>D01</v>
      </c>
      <c r="H58" s="1" t="str">
        <f>VLOOKUP(tblCong[[#This Row],[distCode]],tblDistrict[#All],2)</f>
        <v>Kâte</v>
      </c>
      <c r="I58" s="1" t="str">
        <f>Seket!I$6</f>
        <v>S02</v>
      </c>
      <c r="J58" s="1" t="str">
        <f>CONCATENATE(tblCong[[#This Row],[distCode]],"-",tblCong[[#This Row],[sCode]])</f>
        <v>D01-S02</v>
      </c>
      <c r="K58" s="1" t="str">
        <f>VLOOKUP(tblCong[[#This Row],[seketCode]],tblSeket[#All],5,FALSE)</f>
        <v>Dedua</v>
      </c>
      <c r="L58" s="1" t="str">
        <f>Paris!L$17</f>
        <v>P05</v>
      </c>
      <c r="M58" s="1" t="str">
        <f>CONCATENATE(tblCong[[#This Row],[seketCode]],"-",tblCong[[#This Row],[pCode]])</f>
        <v>D01-S02-P05</v>
      </c>
      <c r="N58" s="1" t="str">
        <f>Paris!M$17</f>
        <v>Koyoza</v>
      </c>
      <c r="O58" s="1" t="s">
        <v>571</v>
      </c>
      <c r="P58" s="1" t="s">
        <v>622</v>
      </c>
    </row>
    <row r="59" spans="6:16" x14ac:dyDescent="0.35">
      <c r="F59" s="1" t="str">
        <f>CONCATENATE(tblCong[[#This Row],[parishCode]],"-",tblCong[[#This Row],[kCode]])</f>
        <v>D01-S02-P06-K01</v>
      </c>
      <c r="G59" s="1" t="str">
        <f>Distrik!F$5</f>
        <v>D01</v>
      </c>
      <c r="H59" s="1" t="str">
        <f>VLOOKUP(tblCong[[#This Row],[distCode]],tblDistrict[#All],2)</f>
        <v>Kâte</v>
      </c>
      <c r="I59" s="1" t="str">
        <f>Seket!I$6</f>
        <v>S02</v>
      </c>
      <c r="J59" s="1" t="str">
        <f>CONCATENATE(tblCong[[#This Row],[distCode]],"-",tblCong[[#This Row],[sCode]])</f>
        <v>D01-S02</v>
      </c>
      <c r="K59" s="1" t="str">
        <f>VLOOKUP(tblCong[[#This Row],[seketCode]],tblSeket[#All],5,FALSE)</f>
        <v>Dedua</v>
      </c>
      <c r="L59" s="1" t="str">
        <f>Paris!L$18</f>
        <v>P06</v>
      </c>
      <c r="M59" s="1" t="str">
        <f>CONCATENATE(tblCong[[#This Row],[seketCode]],"-",tblCong[[#This Row],[pCode]])</f>
        <v>D01-S02-P06</v>
      </c>
      <c r="N59" s="1" t="str">
        <f>Paris!M$18</f>
        <v>Zazozo</v>
      </c>
      <c r="O59" s="1" t="s">
        <v>567</v>
      </c>
      <c r="P59" s="1" t="s">
        <v>623</v>
      </c>
    </row>
    <row r="60" spans="6:16" x14ac:dyDescent="0.35">
      <c r="F60" s="1" t="str">
        <f>CONCATENATE(tblCong[[#This Row],[parishCode]],"-",tblCong[[#This Row],[kCode]])</f>
        <v>D01-S02-P06-K02</v>
      </c>
      <c r="G60" s="1" t="str">
        <f>Distrik!F$5</f>
        <v>D01</v>
      </c>
      <c r="H60" s="1" t="str">
        <f>VLOOKUP(tblCong[[#This Row],[distCode]],tblDistrict[#All],2)</f>
        <v>Kâte</v>
      </c>
      <c r="I60" s="1" t="str">
        <f>Seket!I$6</f>
        <v>S02</v>
      </c>
      <c r="J60" s="1" t="str">
        <f>CONCATENATE(tblCong[[#This Row],[distCode]],"-",tblCong[[#This Row],[sCode]])</f>
        <v>D01-S02</v>
      </c>
      <c r="K60" s="1" t="str">
        <f>VLOOKUP(tblCong[[#This Row],[seketCode]],tblSeket[#All],5,FALSE)</f>
        <v>Dedua</v>
      </c>
      <c r="L60" s="1" t="str">
        <f>Paris!L$18</f>
        <v>P06</v>
      </c>
      <c r="M60" s="1" t="str">
        <f>CONCATENATE(tblCong[[#This Row],[seketCode]],"-",tblCong[[#This Row],[pCode]])</f>
        <v>D01-S02-P06</v>
      </c>
      <c r="N60" s="1" t="str">
        <f>Paris!M$18</f>
        <v>Zazozo</v>
      </c>
      <c r="O60" s="1" t="s">
        <v>569</v>
      </c>
      <c r="P60" s="1" t="s">
        <v>624</v>
      </c>
    </row>
    <row r="61" spans="6:16" x14ac:dyDescent="0.35">
      <c r="F61" s="1" t="str">
        <f>CONCATENATE(tblCong[[#This Row],[parishCode]],"-",tblCong[[#This Row],[kCode]])</f>
        <v>D01-S02-P06-K03</v>
      </c>
      <c r="G61" s="1" t="str">
        <f>Distrik!F$5</f>
        <v>D01</v>
      </c>
      <c r="H61" s="1" t="str">
        <f>VLOOKUP(tblCong[[#This Row],[distCode]],tblDistrict[#All],2)</f>
        <v>Kâte</v>
      </c>
      <c r="I61" s="1" t="str">
        <f>Seket!I$6</f>
        <v>S02</v>
      </c>
      <c r="J61" s="1" t="str">
        <f>CONCATENATE(tblCong[[#This Row],[distCode]],"-",tblCong[[#This Row],[sCode]])</f>
        <v>D01-S02</v>
      </c>
      <c r="K61" s="1" t="str">
        <f>VLOOKUP(tblCong[[#This Row],[seketCode]],tblSeket[#All],5,FALSE)</f>
        <v>Dedua</v>
      </c>
      <c r="L61" s="1" t="str">
        <f>Paris!L$18</f>
        <v>P06</v>
      </c>
      <c r="M61" s="1" t="str">
        <f>CONCATENATE(tblCong[[#This Row],[seketCode]],"-",tblCong[[#This Row],[pCode]])</f>
        <v>D01-S02-P06</v>
      </c>
      <c r="N61" s="1" t="str">
        <f>Paris!M$18</f>
        <v>Zazozo</v>
      </c>
      <c r="O61" s="1" t="s">
        <v>571</v>
      </c>
      <c r="P61" s="1" t="s">
        <v>625</v>
      </c>
    </row>
    <row r="62" spans="6:16" x14ac:dyDescent="0.35">
      <c r="F62" s="1" t="str">
        <f>CONCATENATE(tblCong[[#This Row],[parishCode]],"-",tblCong[[#This Row],[kCode]])</f>
        <v>D01-S02-P07-K01</v>
      </c>
      <c r="G62" s="1" t="str">
        <f>Distrik!F$5</f>
        <v>D01</v>
      </c>
      <c r="H62" s="1" t="str">
        <f>VLOOKUP(tblCong[[#This Row],[distCode]],tblDistrict[#All],2)</f>
        <v>Kâte</v>
      </c>
      <c r="I62" s="1" t="str">
        <f>Seket!I$6</f>
        <v>S02</v>
      </c>
      <c r="J62" s="1" t="str">
        <f>CONCATENATE(tblCong[[#This Row],[distCode]],"-",tblCong[[#This Row],[sCode]])</f>
        <v>D01-S02</v>
      </c>
      <c r="K62" s="1" t="str">
        <f>VLOOKUP(tblCong[[#This Row],[seketCode]],tblSeket[#All],5,FALSE)</f>
        <v>Dedua</v>
      </c>
      <c r="L62" s="1" t="str">
        <f>Paris!L$19</f>
        <v>P07</v>
      </c>
      <c r="M62" s="1" t="str">
        <f>CONCATENATE(tblCong[[#This Row],[seketCode]],"-",tblCong[[#This Row],[pCode]])</f>
        <v>D01-S02-P07</v>
      </c>
      <c r="N62" s="1" t="str">
        <f>Paris!M$19</f>
        <v>Huwago</v>
      </c>
      <c r="O62" s="1" t="s">
        <v>567</v>
      </c>
      <c r="P62" s="1" t="s">
        <v>626</v>
      </c>
    </row>
    <row r="63" spans="6:16" x14ac:dyDescent="0.35">
      <c r="F63" s="1" t="str">
        <f>CONCATENATE(tblCong[[#This Row],[parishCode]],"-",tblCong[[#This Row],[kCode]])</f>
        <v>D01-S02-P07-K02</v>
      </c>
      <c r="G63" s="1" t="str">
        <f>Distrik!F$5</f>
        <v>D01</v>
      </c>
      <c r="H63" s="1" t="str">
        <f>VLOOKUP(tblCong[[#This Row],[distCode]],tblDistrict[#All],2)</f>
        <v>Kâte</v>
      </c>
      <c r="I63" s="1" t="str">
        <f>Seket!I$6</f>
        <v>S02</v>
      </c>
      <c r="J63" s="1" t="str">
        <f>CONCATENATE(tblCong[[#This Row],[distCode]],"-",tblCong[[#This Row],[sCode]])</f>
        <v>D01-S02</v>
      </c>
      <c r="K63" s="1" t="str">
        <f>VLOOKUP(tblCong[[#This Row],[seketCode]],tblSeket[#All],5,FALSE)</f>
        <v>Dedua</v>
      </c>
      <c r="L63" s="1" t="str">
        <f>Paris!L$19</f>
        <v>P07</v>
      </c>
      <c r="M63" s="1" t="str">
        <f>CONCATENATE(tblCong[[#This Row],[seketCode]],"-",tblCong[[#This Row],[pCode]])</f>
        <v>D01-S02-P07</v>
      </c>
      <c r="N63" s="1" t="str">
        <f>Paris!M$19</f>
        <v>Huwago</v>
      </c>
      <c r="O63" s="1" t="s">
        <v>569</v>
      </c>
      <c r="P63" s="1" t="s">
        <v>627</v>
      </c>
    </row>
    <row r="64" spans="6:16" x14ac:dyDescent="0.35">
      <c r="F64" s="1" t="str">
        <f>CONCATENATE(tblCong[[#This Row],[parishCode]],"-",tblCong[[#This Row],[kCode]])</f>
        <v>D01-S02-P07-K03</v>
      </c>
      <c r="G64" s="1" t="str">
        <f>Distrik!F$5</f>
        <v>D01</v>
      </c>
      <c r="H64" s="1" t="str">
        <f>VLOOKUP(tblCong[[#This Row],[distCode]],tblDistrict[#All],2)</f>
        <v>Kâte</v>
      </c>
      <c r="I64" s="1" t="str">
        <f>Seket!I$6</f>
        <v>S02</v>
      </c>
      <c r="J64" s="1" t="str">
        <f>CONCATENATE(tblCong[[#This Row],[distCode]],"-",tblCong[[#This Row],[sCode]])</f>
        <v>D01-S02</v>
      </c>
      <c r="K64" s="1" t="str">
        <f>VLOOKUP(tblCong[[#This Row],[seketCode]],tblSeket[#All],5,FALSE)</f>
        <v>Dedua</v>
      </c>
      <c r="L64" s="1" t="str">
        <f>Paris!L$19</f>
        <v>P07</v>
      </c>
      <c r="M64" s="1" t="str">
        <f>CONCATENATE(tblCong[[#This Row],[seketCode]],"-",tblCong[[#This Row],[pCode]])</f>
        <v>D01-S02-P07</v>
      </c>
      <c r="N64" s="1" t="str">
        <f>Paris!M$19</f>
        <v>Huwago</v>
      </c>
      <c r="O64" s="1" t="s">
        <v>571</v>
      </c>
      <c r="P64" s="1" t="s">
        <v>628</v>
      </c>
    </row>
    <row r="65" spans="6:16" x14ac:dyDescent="0.35">
      <c r="F65" s="1" t="str">
        <f>CONCATENATE(tblCong[[#This Row],[parishCode]],"-",tblCong[[#This Row],[kCode]])</f>
        <v>D01-S03-P01-K01</v>
      </c>
      <c r="G65" s="1" t="str">
        <f>Distrik!F$5</f>
        <v>D01</v>
      </c>
      <c r="H65" s="1" t="str">
        <f>VLOOKUP(tblCong[[#This Row],[distCode]],tblDistrict[#All],2)</f>
        <v>Kâte</v>
      </c>
      <c r="I65" s="1" t="str">
        <f>Seket!I$7</f>
        <v>S03</v>
      </c>
      <c r="J65" s="1" t="str">
        <f>CONCATENATE(tblCong[[#This Row],[distCode]],"-",tblCong[[#This Row],[sCode]])</f>
        <v>D01-S03</v>
      </c>
      <c r="K65" s="1" t="str">
        <f>VLOOKUP(tblCong[[#This Row],[seketCode]],tblSeket[#All],5,FALSE)</f>
        <v>Sattelberg</v>
      </c>
      <c r="L65" s="1" t="str">
        <f>Paris!L$20</f>
        <v>P01</v>
      </c>
      <c r="M65" s="1" t="str">
        <f>CONCATENATE(tblCong[[#This Row],[seketCode]],"-",tblCong[[#This Row],[pCode]])</f>
        <v>D01-S03-P01</v>
      </c>
      <c r="N65" s="1" t="str">
        <f>Paris!M$20</f>
        <v>Efa</v>
      </c>
      <c r="O65" s="1" t="s">
        <v>567</v>
      </c>
      <c r="P65" s="1" t="s">
        <v>629</v>
      </c>
    </row>
    <row r="66" spans="6:16" x14ac:dyDescent="0.35">
      <c r="F66" s="1" t="str">
        <f>CONCATENATE(tblCong[[#This Row],[parishCode]],"-",tblCong[[#This Row],[kCode]])</f>
        <v>D01-S03-P01-K02</v>
      </c>
      <c r="G66" s="1" t="str">
        <f>Distrik!F$5</f>
        <v>D01</v>
      </c>
      <c r="H66" s="1" t="str">
        <f>VLOOKUP(tblCong[[#This Row],[distCode]],tblDistrict[#All],2)</f>
        <v>Kâte</v>
      </c>
      <c r="I66" s="1" t="str">
        <f>Seket!I$7</f>
        <v>S03</v>
      </c>
      <c r="J66" s="1" t="str">
        <f>CONCATENATE(tblCong[[#This Row],[distCode]],"-",tblCong[[#This Row],[sCode]])</f>
        <v>D01-S03</v>
      </c>
      <c r="K66" s="1" t="str">
        <f>VLOOKUP(tblCong[[#This Row],[seketCode]],tblSeket[#All],5,FALSE)</f>
        <v>Sattelberg</v>
      </c>
      <c r="L66" s="1" t="str">
        <f>Paris!L$20</f>
        <v>P01</v>
      </c>
      <c r="M66" s="1" t="str">
        <f>CONCATENATE(tblCong[[#This Row],[seketCode]],"-",tblCong[[#This Row],[pCode]])</f>
        <v>D01-S03-P01</v>
      </c>
      <c r="N66" s="1" t="str">
        <f>Paris!M$20</f>
        <v>Efa</v>
      </c>
      <c r="O66" s="1" t="s">
        <v>569</v>
      </c>
      <c r="P66" s="1" t="s">
        <v>630</v>
      </c>
    </row>
    <row r="67" spans="6:16" x14ac:dyDescent="0.35">
      <c r="F67" s="1" t="str">
        <f>CONCATENATE(tblCong[[#This Row],[parishCode]],"-",tblCong[[#This Row],[kCode]])</f>
        <v>D01-S03-P02-K01</v>
      </c>
      <c r="G67" s="1" t="str">
        <f>Distrik!F$5</f>
        <v>D01</v>
      </c>
      <c r="H67" s="1" t="str">
        <f>VLOOKUP(tblCong[[#This Row],[distCode]],tblDistrict[#All],2)</f>
        <v>Kâte</v>
      </c>
      <c r="I67" s="1" t="str">
        <f>Seket!I$7</f>
        <v>S03</v>
      </c>
      <c r="J67" s="1" t="str">
        <f>CONCATENATE(tblCong[[#This Row],[distCode]],"-",tblCong[[#This Row],[sCode]])</f>
        <v>D01-S03</v>
      </c>
      <c r="K67" s="1" t="str">
        <f>VLOOKUP(tblCong[[#This Row],[seketCode]],tblSeket[#All],5,FALSE)</f>
        <v>Sattelberg</v>
      </c>
      <c r="L67" s="1" t="str">
        <f>Paris!L$21</f>
        <v>P02</v>
      </c>
      <c r="M67" s="1" t="str">
        <f>CONCATENATE(tblCong[[#This Row],[seketCode]],"-",tblCong[[#This Row],[pCode]])</f>
        <v>D01-S03-P02</v>
      </c>
      <c r="N67" s="1" t="str">
        <f>Paris!M$21</f>
        <v>Bomaza</v>
      </c>
      <c r="O67" s="1" t="s">
        <v>567</v>
      </c>
      <c r="P67" s="1" t="s">
        <v>631</v>
      </c>
    </row>
    <row r="68" spans="6:16" x14ac:dyDescent="0.35">
      <c r="F68" s="1" t="str">
        <f>CONCATENATE(tblCong[[#This Row],[parishCode]],"-",tblCong[[#This Row],[kCode]])</f>
        <v>D01-S03-P02-K02</v>
      </c>
      <c r="G68" s="1" t="str">
        <f>Distrik!F$5</f>
        <v>D01</v>
      </c>
      <c r="H68" s="1" t="str">
        <f>VLOOKUP(tblCong[[#This Row],[distCode]],tblDistrict[#All],2)</f>
        <v>Kâte</v>
      </c>
      <c r="I68" s="1" t="str">
        <f>Seket!I$7</f>
        <v>S03</v>
      </c>
      <c r="J68" s="1" t="str">
        <f>CONCATENATE(tblCong[[#This Row],[distCode]],"-",tblCong[[#This Row],[sCode]])</f>
        <v>D01-S03</v>
      </c>
      <c r="K68" s="1" t="str">
        <f>VLOOKUP(tblCong[[#This Row],[seketCode]],tblSeket[#All],5,FALSE)</f>
        <v>Sattelberg</v>
      </c>
      <c r="L68" s="1" t="str">
        <f>Paris!L$21</f>
        <v>P02</v>
      </c>
      <c r="M68" s="1" t="str">
        <f>CONCATENATE(tblCong[[#This Row],[seketCode]],"-",tblCong[[#This Row],[pCode]])</f>
        <v>D01-S03-P02</v>
      </c>
      <c r="N68" s="1" t="str">
        <f>Paris!M$21</f>
        <v>Bomaza</v>
      </c>
      <c r="O68" s="1" t="s">
        <v>569</v>
      </c>
      <c r="P68" s="1" t="s">
        <v>632</v>
      </c>
    </row>
    <row r="69" spans="6:16" x14ac:dyDescent="0.35">
      <c r="F69" s="1" t="str">
        <f>CONCATENATE(tblCong[[#This Row],[parishCode]],"-",tblCong[[#This Row],[kCode]])</f>
        <v>D01-S03-P02-K03</v>
      </c>
      <c r="G69" s="1" t="str">
        <f>Distrik!F$5</f>
        <v>D01</v>
      </c>
      <c r="H69" s="1" t="str">
        <f>VLOOKUP(tblCong[[#This Row],[distCode]],tblDistrict[#All],2)</f>
        <v>Kâte</v>
      </c>
      <c r="I69" s="1" t="str">
        <f>Seket!I$7</f>
        <v>S03</v>
      </c>
      <c r="J69" s="1" t="str">
        <f>CONCATENATE(tblCong[[#This Row],[distCode]],"-",tblCong[[#This Row],[sCode]])</f>
        <v>D01-S03</v>
      </c>
      <c r="K69" s="1" t="str">
        <f>VLOOKUP(tblCong[[#This Row],[seketCode]],tblSeket[#All],5,FALSE)</f>
        <v>Sattelberg</v>
      </c>
      <c r="L69" s="1" t="str">
        <f>Paris!L$21</f>
        <v>P02</v>
      </c>
      <c r="M69" s="1" t="str">
        <f>CONCATENATE(tblCong[[#This Row],[seketCode]],"-",tblCong[[#This Row],[pCode]])</f>
        <v>D01-S03-P02</v>
      </c>
      <c r="N69" s="1" t="str">
        <f>Paris!M$21</f>
        <v>Bomaza</v>
      </c>
      <c r="O69" s="1" t="s">
        <v>571</v>
      </c>
      <c r="P69" s="1" t="s">
        <v>633</v>
      </c>
    </row>
    <row r="70" spans="6:16" x14ac:dyDescent="0.35">
      <c r="F70" s="1" t="str">
        <f>CONCATENATE(tblCong[[#This Row],[parishCode]],"-",tblCong[[#This Row],[kCode]])</f>
        <v>D01-S03-P03-K01</v>
      </c>
      <c r="G70" s="1" t="str">
        <f>Distrik!F$5</f>
        <v>D01</v>
      </c>
      <c r="H70" s="1" t="str">
        <f>VLOOKUP(tblCong[[#This Row],[distCode]],tblDistrict[#All],2)</f>
        <v>Kâte</v>
      </c>
      <c r="I70" s="1" t="str">
        <f>Seket!I$7</f>
        <v>S03</v>
      </c>
      <c r="J70" s="1" t="str">
        <f>CONCATENATE(tblCong[[#This Row],[distCode]],"-",tblCong[[#This Row],[sCode]])</f>
        <v>D01-S03</v>
      </c>
      <c r="K70" s="1" t="str">
        <f>VLOOKUP(tblCong[[#This Row],[seketCode]],tblSeket[#All],5,FALSE)</f>
        <v>Sattelberg</v>
      </c>
      <c r="L70" s="1" t="str">
        <f>Paris!L$22</f>
        <v>P03</v>
      </c>
      <c r="M70" s="1" t="str">
        <f>CONCATENATE(tblCong[[#This Row],[seketCode]],"-",tblCong[[#This Row],[pCode]])</f>
        <v>D01-S03-P03</v>
      </c>
      <c r="N70" s="1" t="str">
        <f>Paris!M$22</f>
        <v>Zukiba</v>
      </c>
      <c r="O70" s="1" t="s">
        <v>567</v>
      </c>
      <c r="P70" s="1" t="s">
        <v>633</v>
      </c>
    </row>
    <row r="71" spans="6:16" x14ac:dyDescent="0.35">
      <c r="F71" s="1" t="str">
        <f>CONCATENATE(tblCong[[#This Row],[parishCode]],"-",tblCong[[#This Row],[kCode]])</f>
        <v>D01-S03-P03-K02</v>
      </c>
      <c r="G71" s="1" t="str">
        <f>Distrik!F$5</f>
        <v>D01</v>
      </c>
      <c r="H71" s="1" t="str">
        <f>VLOOKUP(tblCong[[#This Row],[distCode]],tblDistrict[#All],2)</f>
        <v>Kâte</v>
      </c>
      <c r="I71" s="1" t="str">
        <f>Seket!I$7</f>
        <v>S03</v>
      </c>
      <c r="J71" s="1" t="str">
        <f>CONCATENATE(tblCong[[#This Row],[distCode]],"-",tblCong[[#This Row],[sCode]])</f>
        <v>D01-S03</v>
      </c>
      <c r="K71" s="1" t="str">
        <f>VLOOKUP(tblCong[[#This Row],[seketCode]],tblSeket[#All],5,FALSE)</f>
        <v>Sattelberg</v>
      </c>
      <c r="L71" s="1" t="str">
        <f>Paris!L$22</f>
        <v>P03</v>
      </c>
      <c r="M71" s="1" t="str">
        <f>CONCATENATE(tblCong[[#This Row],[seketCode]],"-",tblCong[[#This Row],[pCode]])</f>
        <v>D01-S03-P03</v>
      </c>
      <c r="N71" s="1" t="str">
        <f>Paris!M$22</f>
        <v>Zukiba</v>
      </c>
      <c r="O71" s="1" t="s">
        <v>569</v>
      </c>
      <c r="P71" s="1" t="s">
        <v>634</v>
      </c>
    </row>
    <row r="72" spans="6:16" x14ac:dyDescent="0.35">
      <c r="F72" s="1" t="str">
        <f>CONCATENATE(tblCong[[#This Row],[parishCode]],"-",tblCong[[#This Row],[kCode]])</f>
        <v>D01-S03-P04-K01</v>
      </c>
      <c r="G72" s="1" t="str">
        <f>Distrik!F$5</f>
        <v>D01</v>
      </c>
      <c r="H72" s="1" t="str">
        <f>VLOOKUP(tblCong[[#This Row],[distCode]],tblDistrict[#All],2)</f>
        <v>Kâte</v>
      </c>
      <c r="I72" s="1" t="str">
        <f>Seket!I$7</f>
        <v>S03</v>
      </c>
      <c r="J72" s="1" t="str">
        <f>CONCATENATE(tblCong[[#This Row],[distCode]],"-",tblCong[[#This Row],[sCode]])</f>
        <v>D01-S03</v>
      </c>
      <c r="K72" s="1" t="str">
        <f>VLOOKUP(tblCong[[#This Row],[seketCode]],tblSeket[#All],5,FALSE)</f>
        <v>Sattelberg</v>
      </c>
      <c r="L72" s="1" t="str">
        <f>Paris!L$23</f>
        <v>P04</v>
      </c>
      <c r="M72" s="1" t="str">
        <f>CONCATENATE(tblCong[[#This Row],[seketCode]],"-",tblCong[[#This Row],[pCode]])</f>
        <v>D01-S03-P04</v>
      </c>
      <c r="N72" s="1" t="str">
        <f>Paris!M$23</f>
        <v>Fosama</v>
      </c>
      <c r="O72" s="1" t="s">
        <v>567</v>
      </c>
      <c r="P72" s="1" t="s">
        <v>635</v>
      </c>
    </row>
    <row r="73" spans="6:16" x14ac:dyDescent="0.35">
      <c r="F73" s="1" t="str">
        <f>CONCATENATE(tblCong[[#This Row],[parishCode]],"-",tblCong[[#This Row],[kCode]])</f>
        <v>D01-S03-P04-K02</v>
      </c>
      <c r="G73" s="1" t="str">
        <f>Distrik!F$5</f>
        <v>D01</v>
      </c>
      <c r="H73" s="1" t="str">
        <f>VLOOKUP(tblCong[[#This Row],[distCode]],tblDistrict[#All],2)</f>
        <v>Kâte</v>
      </c>
      <c r="I73" s="1" t="str">
        <f>Seket!I$7</f>
        <v>S03</v>
      </c>
      <c r="J73" s="1" t="str">
        <f>CONCATENATE(tblCong[[#This Row],[distCode]],"-",tblCong[[#This Row],[sCode]])</f>
        <v>D01-S03</v>
      </c>
      <c r="K73" s="1" t="str">
        <f>VLOOKUP(tblCong[[#This Row],[seketCode]],tblSeket[#All],5,FALSE)</f>
        <v>Sattelberg</v>
      </c>
      <c r="L73" s="1" t="str">
        <f>Paris!L$23</f>
        <v>P04</v>
      </c>
      <c r="M73" s="1" t="str">
        <f>CONCATENATE(tblCong[[#This Row],[seketCode]],"-",tblCong[[#This Row],[pCode]])</f>
        <v>D01-S03-P04</v>
      </c>
      <c r="N73" s="1" t="str">
        <f>Paris!M$23</f>
        <v>Fosama</v>
      </c>
      <c r="O73" s="1" t="s">
        <v>569</v>
      </c>
      <c r="P73" s="1" t="s">
        <v>636</v>
      </c>
    </row>
    <row r="74" spans="6:16" x14ac:dyDescent="0.35">
      <c r="F74" s="1" t="str">
        <f>CONCATENATE(tblCong[[#This Row],[parishCode]],"-",tblCong[[#This Row],[kCode]])</f>
        <v>D01-S03-P04-K03</v>
      </c>
      <c r="G74" s="1" t="str">
        <f>Distrik!F$5</f>
        <v>D01</v>
      </c>
      <c r="H74" s="1" t="str">
        <f>VLOOKUP(tblCong[[#This Row],[distCode]],tblDistrict[#All],2)</f>
        <v>Kâte</v>
      </c>
      <c r="I74" s="1" t="str">
        <f>Seket!I$7</f>
        <v>S03</v>
      </c>
      <c r="J74" s="1" t="str">
        <f>CONCATENATE(tblCong[[#This Row],[distCode]],"-",tblCong[[#This Row],[sCode]])</f>
        <v>D01-S03</v>
      </c>
      <c r="K74" s="1" t="str">
        <f>VLOOKUP(tblCong[[#This Row],[seketCode]],tblSeket[#All],5,FALSE)</f>
        <v>Sattelberg</v>
      </c>
      <c r="L74" s="1" t="str">
        <f>Paris!L$23</f>
        <v>P04</v>
      </c>
      <c r="M74" s="1" t="str">
        <f>CONCATENATE(tblCong[[#This Row],[seketCode]],"-",tblCong[[#This Row],[pCode]])</f>
        <v>D01-S03-P04</v>
      </c>
      <c r="N74" s="1" t="str">
        <f>Paris!M$23</f>
        <v>Fosama</v>
      </c>
      <c r="O74" s="1" t="s">
        <v>571</v>
      </c>
      <c r="P74" s="1" t="s">
        <v>637</v>
      </c>
    </row>
    <row r="75" spans="6:16" x14ac:dyDescent="0.35">
      <c r="F75" s="1" t="str">
        <f>CONCATENATE(tblCong[[#This Row],[parishCode]],"-",tblCong[[#This Row],[kCode]])</f>
        <v>D01-S03-P05-K01</v>
      </c>
      <c r="G75" s="1" t="str">
        <f>Distrik!F$5</f>
        <v>D01</v>
      </c>
      <c r="H75" s="1" t="str">
        <f>VLOOKUP(tblCong[[#This Row],[distCode]],tblDistrict[#All],2)</f>
        <v>Kâte</v>
      </c>
      <c r="I75" s="1" t="str">
        <f>Seket!I$7</f>
        <v>S03</v>
      </c>
      <c r="J75" s="1" t="str">
        <f>CONCATENATE(tblCong[[#This Row],[distCode]],"-",tblCong[[#This Row],[sCode]])</f>
        <v>D01-S03</v>
      </c>
      <c r="K75" s="1" t="str">
        <f>VLOOKUP(tblCong[[#This Row],[seketCode]],tblSeket[#All],5,FALSE)</f>
        <v>Sattelberg</v>
      </c>
      <c r="L75" s="1" t="str">
        <f>Paris!L$24</f>
        <v>P05</v>
      </c>
      <c r="M75" s="1" t="str">
        <f>CONCATENATE(tblCong[[#This Row],[seketCode]],"-",tblCong[[#This Row],[pCode]])</f>
        <v>D01-S03-P05</v>
      </c>
      <c r="N75" s="1" t="str">
        <f>Paris!M$24</f>
        <v>Agororo</v>
      </c>
      <c r="O75" s="1" t="s">
        <v>567</v>
      </c>
      <c r="P75" s="1" t="s">
        <v>638</v>
      </c>
    </row>
    <row r="76" spans="6:16" x14ac:dyDescent="0.35">
      <c r="F76" s="1" t="str">
        <f>CONCATENATE(tblCong[[#This Row],[parishCode]],"-",tblCong[[#This Row],[kCode]])</f>
        <v>D01-S03-P05-K02</v>
      </c>
      <c r="G76" s="1" t="str">
        <f>Distrik!F$5</f>
        <v>D01</v>
      </c>
      <c r="H76" s="1" t="str">
        <f>VLOOKUP(tblCong[[#This Row],[distCode]],tblDistrict[#All],2)</f>
        <v>Kâte</v>
      </c>
      <c r="I76" s="1" t="str">
        <f>Seket!I$7</f>
        <v>S03</v>
      </c>
      <c r="J76" s="1" t="str">
        <f>CONCATENATE(tblCong[[#This Row],[distCode]],"-",tblCong[[#This Row],[sCode]])</f>
        <v>D01-S03</v>
      </c>
      <c r="K76" s="1" t="str">
        <f>VLOOKUP(tblCong[[#This Row],[seketCode]],tblSeket[#All],5,FALSE)</f>
        <v>Sattelberg</v>
      </c>
      <c r="L76" s="1" t="str">
        <f>Paris!L$24</f>
        <v>P05</v>
      </c>
      <c r="M76" s="1" t="str">
        <f>CONCATENATE(tblCong[[#This Row],[seketCode]],"-",tblCong[[#This Row],[pCode]])</f>
        <v>D01-S03-P05</v>
      </c>
      <c r="N76" s="1" t="str">
        <f>Paris!M$24</f>
        <v>Agororo</v>
      </c>
      <c r="O76" s="1" t="s">
        <v>569</v>
      </c>
      <c r="P76" s="1" t="s">
        <v>639</v>
      </c>
    </row>
    <row r="77" spans="6:16" x14ac:dyDescent="0.35">
      <c r="F77" s="1" t="str">
        <f>CONCATENATE(tblCong[[#This Row],[parishCode]],"-",tblCong[[#This Row],[kCode]])</f>
        <v>D01-S03-P06-K01</v>
      </c>
      <c r="G77" s="1" t="str">
        <f>Distrik!F$5</f>
        <v>D01</v>
      </c>
      <c r="H77" s="1" t="str">
        <f>VLOOKUP(tblCong[[#This Row],[distCode]],tblDistrict[#All],2)</f>
        <v>Kâte</v>
      </c>
      <c r="I77" s="1" t="str">
        <f>Seket!I$7</f>
        <v>S03</v>
      </c>
      <c r="J77" s="1" t="str">
        <f>CONCATENATE(tblCong[[#This Row],[distCode]],"-",tblCong[[#This Row],[sCode]])</f>
        <v>D01-S03</v>
      </c>
      <c r="K77" s="1" t="str">
        <f>VLOOKUP(tblCong[[#This Row],[seketCode]],tblSeket[#All],5,FALSE)</f>
        <v>Sattelberg</v>
      </c>
      <c r="L77" s="1" t="str">
        <f>Paris!L$25</f>
        <v>P06</v>
      </c>
      <c r="M77" s="1" t="str">
        <f>CONCATENATE(tblCong[[#This Row],[seketCode]],"-",tblCong[[#This Row],[pCode]])</f>
        <v>D01-S03-P06</v>
      </c>
      <c r="N77" s="1" t="str">
        <f>Paris!M$25</f>
        <v>Sasibona</v>
      </c>
      <c r="O77" s="1" t="s">
        <v>567</v>
      </c>
      <c r="P77" s="1" t="s">
        <v>640</v>
      </c>
    </row>
    <row r="78" spans="6:16" x14ac:dyDescent="0.35">
      <c r="F78" s="1" t="str">
        <f>CONCATENATE(tblCong[[#This Row],[parishCode]],"-",tblCong[[#This Row],[kCode]])</f>
        <v>D01-S03-P06-K02</v>
      </c>
      <c r="G78" s="1" t="str">
        <f>Distrik!F$5</f>
        <v>D01</v>
      </c>
      <c r="H78" s="1" t="str">
        <f>VLOOKUP(tblCong[[#This Row],[distCode]],tblDistrict[#All],2)</f>
        <v>Kâte</v>
      </c>
      <c r="I78" s="1" t="str">
        <f>Seket!I$7</f>
        <v>S03</v>
      </c>
      <c r="J78" s="1" t="str">
        <f>CONCATENATE(tblCong[[#This Row],[distCode]],"-",tblCong[[#This Row],[sCode]])</f>
        <v>D01-S03</v>
      </c>
      <c r="K78" s="1" t="str">
        <f>VLOOKUP(tblCong[[#This Row],[seketCode]],tblSeket[#All],5,FALSE)</f>
        <v>Sattelberg</v>
      </c>
      <c r="L78" s="1" t="str">
        <f>Paris!L$25</f>
        <v>P06</v>
      </c>
      <c r="M78" s="1" t="str">
        <f>CONCATENATE(tblCong[[#This Row],[seketCode]],"-",tblCong[[#This Row],[pCode]])</f>
        <v>D01-S03-P06</v>
      </c>
      <c r="N78" s="1" t="str">
        <f>Paris!M$25</f>
        <v>Sasibona</v>
      </c>
      <c r="O78" s="1" t="s">
        <v>569</v>
      </c>
      <c r="P78" s="1" t="s">
        <v>641</v>
      </c>
    </row>
    <row r="79" spans="6:16" x14ac:dyDescent="0.35">
      <c r="F79" s="1" t="str">
        <f>CONCATENATE(tblCong[[#This Row],[parishCode]],"-",tblCong[[#This Row],[kCode]])</f>
        <v>D01-S03-P06-K03</v>
      </c>
      <c r="G79" s="1" t="str">
        <f>Distrik!F$5</f>
        <v>D01</v>
      </c>
      <c r="H79" s="1" t="str">
        <f>VLOOKUP(tblCong[[#This Row],[distCode]],tblDistrict[#All],2)</f>
        <v>Kâte</v>
      </c>
      <c r="I79" s="1" t="str">
        <f>Seket!I$7</f>
        <v>S03</v>
      </c>
      <c r="J79" s="1" t="str">
        <f>CONCATENATE(tblCong[[#This Row],[distCode]],"-",tblCong[[#This Row],[sCode]])</f>
        <v>D01-S03</v>
      </c>
      <c r="K79" s="1" t="str">
        <f>VLOOKUP(tblCong[[#This Row],[seketCode]],tblSeket[#All],5,FALSE)</f>
        <v>Sattelberg</v>
      </c>
      <c r="L79" s="1" t="str">
        <f>Paris!L$25</f>
        <v>P06</v>
      </c>
      <c r="M79" s="1" t="str">
        <f>CONCATENATE(tblCong[[#This Row],[seketCode]],"-",tblCong[[#This Row],[pCode]])</f>
        <v>D01-S03-P06</v>
      </c>
      <c r="N79" s="1" t="str">
        <f>Paris!M$25</f>
        <v>Sasibona</v>
      </c>
      <c r="O79" s="1" t="s">
        <v>571</v>
      </c>
      <c r="P79" s="1" t="s">
        <v>642</v>
      </c>
    </row>
    <row r="80" spans="6:16" x14ac:dyDescent="0.35">
      <c r="F80" s="1" t="str">
        <f>CONCATENATE(tblCong[[#This Row],[parishCode]],"-",tblCong[[#This Row],[kCode]])</f>
        <v>D01-S03-P06-K04</v>
      </c>
      <c r="G80" s="1" t="str">
        <f>Distrik!F$5</f>
        <v>D01</v>
      </c>
      <c r="H80" s="1" t="str">
        <f>VLOOKUP(tblCong[[#This Row],[distCode]],tblDistrict[#All],2)</f>
        <v>Kâte</v>
      </c>
      <c r="I80" s="1" t="str">
        <f>Seket!I$7</f>
        <v>S03</v>
      </c>
      <c r="J80" s="1" t="str">
        <f>CONCATENATE(tblCong[[#This Row],[distCode]],"-",tblCong[[#This Row],[sCode]])</f>
        <v>D01-S03</v>
      </c>
      <c r="K80" s="1" t="str">
        <f>VLOOKUP(tblCong[[#This Row],[seketCode]],tblSeket[#All],5,FALSE)</f>
        <v>Sattelberg</v>
      </c>
      <c r="L80" s="1" t="str">
        <f>Paris!L$25</f>
        <v>P06</v>
      </c>
      <c r="M80" s="1" t="str">
        <f>CONCATENATE(tblCong[[#This Row],[seketCode]],"-",tblCong[[#This Row],[pCode]])</f>
        <v>D01-S03-P06</v>
      </c>
      <c r="N80" s="1" t="str">
        <f>Paris!M$25</f>
        <v>Sasibona</v>
      </c>
      <c r="O80" s="1" t="s">
        <v>573</v>
      </c>
      <c r="P80" s="1" t="s">
        <v>643</v>
      </c>
    </row>
    <row r="81" spans="6:16" x14ac:dyDescent="0.35">
      <c r="F81" s="1" t="str">
        <f>CONCATENATE(tblCong[[#This Row],[parishCode]],"-",tblCong[[#This Row],[kCode]])</f>
        <v>D01-S03-P07-K01</v>
      </c>
      <c r="G81" s="1" t="str">
        <f>Distrik!F$5</f>
        <v>D01</v>
      </c>
      <c r="H81" s="1" t="str">
        <f>VLOOKUP(tblCong[[#This Row],[distCode]],tblDistrict[#All],2)</f>
        <v>Kâte</v>
      </c>
      <c r="I81" s="1" t="str">
        <f>Seket!I$7</f>
        <v>S03</v>
      </c>
      <c r="J81" s="1" t="str">
        <f>CONCATENATE(tblCong[[#This Row],[distCode]],"-",tblCong[[#This Row],[sCode]])</f>
        <v>D01-S03</v>
      </c>
      <c r="K81" s="1" t="str">
        <f>VLOOKUP(tblCong[[#This Row],[seketCode]],tblSeket[#All],5,FALSE)</f>
        <v>Sattelberg</v>
      </c>
      <c r="L81" s="1" t="str">
        <f>Paris!L$26</f>
        <v>P07</v>
      </c>
      <c r="M81" s="1" t="str">
        <f>CONCATENATE(tblCong[[#This Row],[seketCode]],"-",tblCong[[#This Row],[pCode]])</f>
        <v>D01-S03-P07</v>
      </c>
      <c r="N81" s="1" t="str">
        <f>Paris!M$26</f>
        <v>Wemo</v>
      </c>
      <c r="O81" s="1" t="s">
        <v>567</v>
      </c>
      <c r="P81" s="1" t="s">
        <v>644</v>
      </c>
    </row>
    <row r="82" spans="6:16" x14ac:dyDescent="0.35">
      <c r="F82" s="1" t="str">
        <f>CONCATENATE(tblCong[[#This Row],[parishCode]],"-",tblCong[[#This Row],[kCode]])</f>
        <v>D01-S03-P07-K02</v>
      </c>
      <c r="G82" s="1" t="str">
        <f>Distrik!F$5</f>
        <v>D01</v>
      </c>
      <c r="H82" s="1" t="str">
        <f>VLOOKUP(tblCong[[#This Row],[distCode]],tblDistrict[#All],2)</f>
        <v>Kâte</v>
      </c>
      <c r="I82" s="1" t="str">
        <f>Seket!I$7</f>
        <v>S03</v>
      </c>
      <c r="J82" s="1" t="str">
        <f>CONCATENATE(tblCong[[#This Row],[distCode]],"-",tblCong[[#This Row],[sCode]])</f>
        <v>D01-S03</v>
      </c>
      <c r="K82" s="1" t="str">
        <f>VLOOKUP(tblCong[[#This Row],[seketCode]],tblSeket[#All],5,FALSE)</f>
        <v>Sattelberg</v>
      </c>
      <c r="L82" s="1" t="str">
        <f>Paris!L$26</f>
        <v>P07</v>
      </c>
      <c r="M82" s="1" t="str">
        <f>CONCATENATE(tblCong[[#This Row],[seketCode]],"-",tblCong[[#This Row],[pCode]])</f>
        <v>D01-S03-P07</v>
      </c>
      <c r="N82" s="1" t="str">
        <f>Paris!M$26</f>
        <v>Wemo</v>
      </c>
      <c r="O82" s="1" t="s">
        <v>569</v>
      </c>
      <c r="P82" s="1" t="s">
        <v>645</v>
      </c>
    </row>
    <row r="83" spans="6:16" x14ac:dyDescent="0.35">
      <c r="F83" s="1" t="str">
        <f>CONCATENATE(tblCong[[#This Row],[parishCode]],"-",tblCong[[#This Row],[kCode]])</f>
        <v>D01-S03-P07-K03</v>
      </c>
      <c r="G83" s="1" t="str">
        <f>Distrik!F$5</f>
        <v>D01</v>
      </c>
      <c r="H83" s="1" t="str">
        <f>VLOOKUP(tblCong[[#This Row],[distCode]],tblDistrict[#All],2)</f>
        <v>Kâte</v>
      </c>
      <c r="I83" s="1" t="str">
        <f>Seket!I$7</f>
        <v>S03</v>
      </c>
      <c r="J83" s="1" t="str">
        <f>CONCATENATE(tblCong[[#This Row],[distCode]],"-",tblCong[[#This Row],[sCode]])</f>
        <v>D01-S03</v>
      </c>
      <c r="K83" s="1" t="str">
        <f>VLOOKUP(tblCong[[#This Row],[seketCode]],tblSeket[#All],5,FALSE)</f>
        <v>Sattelberg</v>
      </c>
      <c r="L83" s="1" t="str">
        <f>Paris!L$26</f>
        <v>P07</v>
      </c>
      <c r="M83" s="1" t="str">
        <f>CONCATENATE(tblCong[[#This Row],[seketCode]],"-",tblCong[[#This Row],[pCode]])</f>
        <v>D01-S03-P07</v>
      </c>
      <c r="N83" s="1" t="str">
        <f>Paris!M$26</f>
        <v>Wemo</v>
      </c>
      <c r="O83" s="1" t="s">
        <v>571</v>
      </c>
      <c r="P83" s="1" t="s">
        <v>646</v>
      </c>
    </row>
    <row r="84" spans="6:16" x14ac:dyDescent="0.35">
      <c r="F84" s="1" t="str">
        <f>CONCATENATE(tblCong[[#This Row],[parishCode]],"-",tblCong[[#This Row],[kCode]])</f>
        <v>D01-S03-P07-K04</v>
      </c>
      <c r="G84" s="1" t="str">
        <f>Distrik!F$5</f>
        <v>D01</v>
      </c>
      <c r="H84" s="1" t="str">
        <f>VLOOKUP(tblCong[[#This Row],[distCode]],tblDistrict[#All],2)</f>
        <v>Kâte</v>
      </c>
      <c r="I84" s="1" t="str">
        <f>Seket!I$7</f>
        <v>S03</v>
      </c>
      <c r="J84" s="1" t="str">
        <f>CONCATENATE(tblCong[[#This Row],[distCode]],"-",tblCong[[#This Row],[sCode]])</f>
        <v>D01-S03</v>
      </c>
      <c r="K84" s="1" t="str">
        <f>VLOOKUP(tblCong[[#This Row],[seketCode]],tblSeket[#All],5,FALSE)</f>
        <v>Sattelberg</v>
      </c>
      <c r="L84" s="1" t="str">
        <f>Paris!L$26</f>
        <v>P07</v>
      </c>
      <c r="M84" s="1" t="str">
        <f>CONCATENATE(tblCong[[#This Row],[seketCode]],"-",tblCong[[#This Row],[pCode]])</f>
        <v>D01-S03-P07</v>
      </c>
      <c r="N84" s="1" t="str">
        <f>Paris!M$26</f>
        <v>Wemo</v>
      </c>
      <c r="O84" s="1" t="s">
        <v>573</v>
      </c>
      <c r="P84" s="1" t="s">
        <v>647</v>
      </c>
    </row>
    <row r="85" spans="6:16" x14ac:dyDescent="0.35">
      <c r="F85" s="1" t="str">
        <f>CONCATENATE(tblCong[[#This Row],[parishCode]],"-",tblCong[[#This Row],[kCode]])</f>
        <v>D01-S03-P07-K05</v>
      </c>
      <c r="G85" s="1" t="str">
        <f>Distrik!F$5</f>
        <v>D01</v>
      </c>
      <c r="H85" s="1" t="str">
        <f>VLOOKUP(tblCong[[#This Row],[distCode]],tblDistrict[#All],2)</f>
        <v>Kâte</v>
      </c>
      <c r="I85" s="1" t="str">
        <f>Seket!I$7</f>
        <v>S03</v>
      </c>
      <c r="J85" s="1" t="str">
        <f>CONCATENATE(tblCong[[#This Row],[distCode]],"-",tblCong[[#This Row],[sCode]])</f>
        <v>D01-S03</v>
      </c>
      <c r="K85" s="1" t="str">
        <f>VLOOKUP(tblCong[[#This Row],[seketCode]],tblSeket[#All],5,FALSE)</f>
        <v>Sattelberg</v>
      </c>
      <c r="L85" s="1" t="str">
        <f>Paris!L$26</f>
        <v>P07</v>
      </c>
      <c r="M85" s="1" t="str">
        <f>CONCATENATE(tblCong[[#This Row],[seketCode]],"-",tblCong[[#This Row],[pCode]])</f>
        <v>D01-S03-P07</v>
      </c>
      <c r="N85" s="1" t="str">
        <f>Paris!M$26</f>
        <v>Wemo</v>
      </c>
      <c r="O85" s="1" t="s">
        <v>575</v>
      </c>
      <c r="P85" s="1" t="s">
        <v>648</v>
      </c>
    </row>
    <row r="86" spans="6:16" x14ac:dyDescent="0.35">
      <c r="F86" s="1" t="str">
        <f>CONCATENATE(tblCong[[#This Row],[parishCode]],"-",tblCong[[#This Row],[kCode]])</f>
        <v>D01-S03-P07-K06</v>
      </c>
      <c r="G86" s="1" t="str">
        <f>Distrik!F$5</f>
        <v>D01</v>
      </c>
      <c r="H86" s="1" t="str">
        <f>VLOOKUP(tblCong[[#This Row],[distCode]],tblDistrict[#All],2)</f>
        <v>Kâte</v>
      </c>
      <c r="I86" s="1" t="str">
        <f>Seket!I$7</f>
        <v>S03</v>
      </c>
      <c r="J86" s="1" t="str">
        <f>CONCATENATE(tblCong[[#This Row],[distCode]],"-",tblCong[[#This Row],[sCode]])</f>
        <v>D01-S03</v>
      </c>
      <c r="K86" s="1" t="str">
        <f>VLOOKUP(tblCong[[#This Row],[seketCode]],tblSeket[#All],5,FALSE)</f>
        <v>Sattelberg</v>
      </c>
      <c r="L86" s="1" t="str">
        <f>Paris!L$26</f>
        <v>P07</v>
      </c>
      <c r="M86" s="1" t="str">
        <f>CONCATENATE(tblCong[[#This Row],[seketCode]],"-",tblCong[[#This Row],[pCode]])</f>
        <v>D01-S03-P07</v>
      </c>
      <c r="N86" s="1" t="str">
        <f>Paris!M$26</f>
        <v>Wemo</v>
      </c>
      <c r="O86" s="1" t="s">
        <v>576</v>
      </c>
      <c r="P86" s="1" t="s">
        <v>649</v>
      </c>
    </row>
    <row r="87" spans="6:16" x14ac:dyDescent="0.35">
      <c r="F87" s="1" t="str">
        <f>CONCATENATE(tblCong[[#This Row],[parishCode]],"-",tblCong[[#This Row],[kCode]])</f>
        <v>D01-S03-P07-K07</v>
      </c>
      <c r="G87" s="1" t="str">
        <f>Distrik!F$5</f>
        <v>D01</v>
      </c>
      <c r="H87" s="1" t="str">
        <f>VLOOKUP(tblCong[[#This Row],[distCode]],tblDistrict[#All],2)</f>
        <v>Kâte</v>
      </c>
      <c r="I87" s="1" t="str">
        <f>Seket!I$7</f>
        <v>S03</v>
      </c>
      <c r="J87" s="1" t="str">
        <f>CONCATENATE(tblCong[[#This Row],[distCode]],"-",tblCong[[#This Row],[sCode]])</f>
        <v>D01-S03</v>
      </c>
      <c r="K87" s="1" t="str">
        <f>VLOOKUP(tblCong[[#This Row],[seketCode]],tblSeket[#All],5,FALSE)</f>
        <v>Sattelberg</v>
      </c>
      <c r="L87" s="1" t="str">
        <f>Paris!L$26</f>
        <v>P07</v>
      </c>
      <c r="M87" s="1" t="str">
        <f>CONCATENATE(tblCong[[#This Row],[seketCode]],"-",tblCong[[#This Row],[pCode]])</f>
        <v>D01-S03-P07</v>
      </c>
      <c r="N87" s="1" t="str">
        <f>Paris!M$26</f>
        <v>Wemo</v>
      </c>
      <c r="O87" s="1" t="s">
        <v>578</v>
      </c>
      <c r="P87" s="1" t="s">
        <v>650</v>
      </c>
    </row>
    <row r="88" spans="6:16" x14ac:dyDescent="0.35">
      <c r="F88" s="1" t="str">
        <f>CONCATENATE(tblCong[[#This Row],[parishCode]],"-",tblCong[[#This Row],[kCode]])</f>
        <v>D01-S03-P07-K08</v>
      </c>
      <c r="G88" s="1" t="str">
        <f>Distrik!F$5</f>
        <v>D01</v>
      </c>
      <c r="H88" s="1" t="str">
        <f>VLOOKUP(tblCong[[#This Row],[distCode]],tblDistrict[#All],2)</f>
        <v>Kâte</v>
      </c>
      <c r="I88" s="1" t="str">
        <f>Seket!I$7</f>
        <v>S03</v>
      </c>
      <c r="J88" s="1" t="str">
        <f>CONCATENATE(tblCong[[#This Row],[distCode]],"-",tblCong[[#This Row],[sCode]])</f>
        <v>D01-S03</v>
      </c>
      <c r="K88" s="1" t="str">
        <f>VLOOKUP(tblCong[[#This Row],[seketCode]],tblSeket[#All],5,FALSE)</f>
        <v>Sattelberg</v>
      </c>
      <c r="L88" s="1" t="str">
        <f>Paris!L$26</f>
        <v>P07</v>
      </c>
      <c r="M88" s="1" t="str">
        <f>CONCATENATE(tblCong[[#This Row],[seketCode]],"-",tblCong[[#This Row],[pCode]])</f>
        <v>D01-S03-P07</v>
      </c>
      <c r="N88" s="1" t="str">
        <f>Paris!M$26</f>
        <v>Wemo</v>
      </c>
      <c r="O88" s="1" t="s">
        <v>651</v>
      </c>
      <c r="P88" s="1" t="s">
        <v>652</v>
      </c>
    </row>
    <row r="89" spans="6:16" x14ac:dyDescent="0.35">
      <c r="F89" s="1" t="str">
        <f>CONCATENATE(tblCong[[#This Row],[parishCode]],"-",tblCong[[#This Row],[kCode]])</f>
        <v>D01-S03-P07-K09</v>
      </c>
      <c r="G89" s="1" t="str">
        <f>Distrik!F$5</f>
        <v>D01</v>
      </c>
      <c r="H89" s="1" t="str">
        <f>VLOOKUP(tblCong[[#This Row],[distCode]],tblDistrict[#All],2)</f>
        <v>Kâte</v>
      </c>
      <c r="I89" s="1" t="str">
        <f>Seket!I$7</f>
        <v>S03</v>
      </c>
      <c r="J89" s="1" t="str">
        <f>CONCATENATE(tblCong[[#This Row],[distCode]],"-",tblCong[[#This Row],[sCode]])</f>
        <v>D01-S03</v>
      </c>
      <c r="K89" s="1" t="str">
        <f>VLOOKUP(tblCong[[#This Row],[seketCode]],tblSeket[#All],5,FALSE)</f>
        <v>Sattelberg</v>
      </c>
      <c r="L89" s="1" t="str">
        <f>Paris!L$26</f>
        <v>P07</v>
      </c>
      <c r="M89" s="1" t="str">
        <f>CONCATENATE(tblCong[[#This Row],[seketCode]],"-",tblCong[[#This Row],[pCode]])</f>
        <v>D01-S03-P07</v>
      </c>
      <c r="N89" s="1" t="str">
        <f>Paris!M$26</f>
        <v>Wemo</v>
      </c>
      <c r="O89" s="1" t="s">
        <v>653</v>
      </c>
      <c r="P89" s="1" t="s">
        <v>654</v>
      </c>
    </row>
    <row r="90" spans="6:16" x14ac:dyDescent="0.35">
      <c r="F90" s="1" t="str">
        <f>CONCATENATE(tblCong[[#This Row],[parishCode]],"-",tblCong[[#This Row],[kCode]])</f>
        <v>D01-S03-P07-K10</v>
      </c>
      <c r="G90" s="1" t="str">
        <f>Distrik!F$5</f>
        <v>D01</v>
      </c>
      <c r="H90" s="1" t="str">
        <f>VLOOKUP(tblCong[[#This Row],[distCode]],tblDistrict[#All],2)</f>
        <v>Kâte</v>
      </c>
      <c r="I90" s="1" t="str">
        <f>Seket!I$7</f>
        <v>S03</v>
      </c>
      <c r="J90" s="1" t="str">
        <f>CONCATENATE(tblCong[[#This Row],[distCode]],"-",tblCong[[#This Row],[sCode]])</f>
        <v>D01-S03</v>
      </c>
      <c r="K90" s="1" t="str">
        <f>VLOOKUP(tblCong[[#This Row],[seketCode]],tblSeket[#All],5,FALSE)</f>
        <v>Sattelberg</v>
      </c>
      <c r="L90" s="1" t="str">
        <f>Paris!L$26</f>
        <v>P07</v>
      </c>
      <c r="M90" s="1" t="str">
        <f>CONCATENATE(tblCong[[#This Row],[seketCode]],"-",tblCong[[#This Row],[pCode]])</f>
        <v>D01-S03-P07</v>
      </c>
      <c r="N90" s="1" t="str">
        <f>Paris!M$26</f>
        <v>Wemo</v>
      </c>
      <c r="O90" s="1" t="s">
        <v>655</v>
      </c>
      <c r="P90" s="1" t="s">
        <v>656</v>
      </c>
    </row>
    <row r="91" spans="6:16" x14ac:dyDescent="0.35">
      <c r="F91" s="1" t="str">
        <f>CONCATENATE(tblCong[[#This Row],[parishCode]],"-",tblCong[[#This Row],[kCode]])</f>
        <v>D01-S03-P08-K01</v>
      </c>
      <c r="G91" s="1" t="str">
        <f>Distrik!F$5</f>
        <v>D01</v>
      </c>
      <c r="H91" s="1" t="str">
        <f>VLOOKUP(tblCong[[#This Row],[distCode]],tblDistrict[#All],2)</f>
        <v>Kâte</v>
      </c>
      <c r="I91" s="1" t="str">
        <f>Seket!I$7</f>
        <v>S03</v>
      </c>
      <c r="J91" s="1" t="str">
        <f>CONCATENATE(tblCong[[#This Row],[distCode]],"-",tblCong[[#This Row],[sCode]])</f>
        <v>D01-S03</v>
      </c>
      <c r="K91" s="1" t="str">
        <f>VLOOKUP(tblCong[[#This Row],[seketCode]],tblSeket[#All],5,FALSE)</f>
        <v>Sattelberg</v>
      </c>
      <c r="L91" s="1" t="str">
        <f>Paris!L$27</f>
        <v>P08</v>
      </c>
      <c r="M91" s="1" t="str">
        <f>CONCATENATE(tblCong[[#This Row],[seketCode]],"-",tblCong[[#This Row],[pCode]])</f>
        <v>D01-S03-P08</v>
      </c>
      <c r="N91" s="1" t="str">
        <f>Paris!M$27</f>
        <v>Kitaka</v>
      </c>
      <c r="O91" s="1" t="s">
        <v>567</v>
      </c>
      <c r="P91" s="1" t="s">
        <v>657</v>
      </c>
    </row>
    <row r="92" spans="6:16" x14ac:dyDescent="0.35">
      <c r="F92" s="1" t="str">
        <f>CONCATENATE(tblCong[[#This Row],[parishCode]],"-",tblCong[[#This Row],[kCode]])</f>
        <v>D01-S03-P08-K02</v>
      </c>
      <c r="G92" s="1" t="str">
        <f>Distrik!F$5</f>
        <v>D01</v>
      </c>
      <c r="H92" s="1" t="str">
        <f>VLOOKUP(tblCong[[#This Row],[distCode]],tblDistrict[#All],2)</f>
        <v>Kâte</v>
      </c>
      <c r="I92" s="1" t="str">
        <f>Seket!I$7</f>
        <v>S03</v>
      </c>
      <c r="J92" s="1" t="str">
        <f>CONCATENATE(tblCong[[#This Row],[distCode]],"-",tblCong[[#This Row],[sCode]])</f>
        <v>D01-S03</v>
      </c>
      <c r="K92" s="1" t="str">
        <f>VLOOKUP(tblCong[[#This Row],[seketCode]],tblSeket[#All],5,FALSE)</f>
        <v>Sattelberg</v>
      </c>
      <c r="L92" s="1" t="str">
        <f>Paris!L$27</f>
        <v>P08</v>
      </c>
      <c r="M92" s="1" t="str">
        <f>CONCATENATE(tblCong[[#This Row],[seketCode]],"-",tblCong[[#This Row],[pCode]])</f>
        <v>D01-S03-P08</v>
      </c>
      <c r="N92" s="1" t="str">
        <f>Paris!M$27</f>
        <v>Kitaka</v>
      </c>
      <c r="O92" s="1" t="s">
        <v>569</v>
      </c>
      <c r="P92" s="1" t="s">
        <v>658</v>
      </c>
    </row>
    <row r="93" spans="6:16" x14ac:dyDescent="0.35">
      <c r="F93" s="1" t="str">
        <f>CONCATENATE(tblCong[[#This Row],[parishCode]],"-",tblCong[[#This Row],[kCode]])</f>
        <v>D01-S03-P08-K03</v>
      </c>
      <c r="G93" s="1" t="str">
        <f>Distrik!F$5</f>
        <v>D01</v>
      </c>
      <c r="H93" s="1" t="str">
        <f>VLOOKUP(tblCong[[#This Row],[distCode]],tblDistrict[#All],2)</f>
        <v>Kâte</v>
      </c>
      <c r="I93" s="1" t="str">
        <f>Seket!I$7</f>
        <v>S03</v>
      </c>
      <c r="J93" s="1" t="str">
        <f>CONCATENATE(tblCong[[#This Row],[distCode]],"-",tblCong[[#This Row],[sCode]])</f>
        <v>D01-S03</v>
      </c>
      <c r="K93" s="1" t="str">
        <f>VLOOKUP(tblCong[[#This Row],[seketCode]],tblSeket[#All],5,FALSE)</f>
        <v>Sattelberg</v>
      </c>
      <c r="L93" s="1" t="str">
        <f>Paris!L$27</f>
        <v>P08</v>
      </c>
      <c r="M93" s="1" t="str">
        <f>CONCATENATE(tblCong[[#This Row],[seketCode]],"-",tblCong[[#This Row],[pCode]])</f>
        <v>D01-S03-P08</v>
      </c>
      <c r="N93" s="1" t="str">
        <f>Paris!M$27</f>
        <v>Kitaka</v>
      </c>
      <c r="O93" s="1" t="s">
        <v>571</v>
      </c>
      <c r="P93" s="1" t="s">
        <v>659</v>
      </c>
    </row>
    <row r="94" spans="6:16" x14ac:dyDescent="0.35">
      <c r="F94" s="1" t="str">
        <f>CONCATENATE(tblCong[[#This Row],[parishCode]],"-",tblCong[[#This Row],[kCode]])</f>
        <v>D01-S03-P08-K04</v>
      </c>
      <c r="G94" s="1" t="str">
        <f>Distrik!F$5</f>
        <v>D01</v>
      </c>
      <c r="H94" s="1" t="str">
        <f>VLOOKUP(tblCong[[#This Row],[distCode]],tblDistrict[#All],2)</f>
        <v>Kâte</v>
      </c>
      <c r="I94" s="1" t="str">
        <f>Seket!I$7</f>
        <v>S03</v>
      </c>
      <c r="J94" s="1" t="str">
        <f>CONCATENATE(tblCong[[#This Row],[distCode]],"-",tblCong[[#This Row],[sCode]])</f>
        <v>D01-S03</v>
      </c>
      <c r="K94" s="1" t="str">
        <f>VLOOKUP(tblCong[[#This Row],[seketCode]],tblSeket[#All],5,FALSE)</f>
        <v>Sattelberg</v>
      </c>
      <c r="L94" s="1" t="str">
        <f>Paris!L$27</f>
        <v>P08</v>
      </c>
      <c r="M94" s="1" t="str">
        <f>CONCATENATE(tblCong[[#This Row],[seketCode]],"-",tblCong[[#This Row],[pCode]])</f>
        <v>D01-S03-P08</v>
      </c>
      <c r="N94" s="1" t="str">
        <f>Paris!M$27</f>
        <v>Kitaka</v>
      </c>
      <c r="O94" s="1" t="s">
        <v>573</v>
      </c>
      <c r="P94" s="1" t="s">
        <v>660</v>
      </c>
    </row>
    <row r="95" spans="6:16" x14ac:dyDescent="0.35">
      <c r="F95" s="1" t="str">
        <f>CONCATENATE(tblCong[[#This Row],[parishCode]],"-",tblCong[[#This Row],[kCode]])</f>
        <v>D01-S03-P08-K05</v>
      </c>
      <c r="G95" s="1" t="str">
        <f>Distrik!F$5</f>
        <v>D01</v>
      </c>
      <c r="H95" s="1" t="str">
        <f>VLOOKUP(tblCong[[#This Row],[distCode]],tblDistrict[#All],2)</f>
        <v>Kâte</v>
      </c>
      <c r="I95" s="1" t="str">
        <f>Seket!I$7</f>
        <v>S03</v>
      </c>
      <c r="J95" s="1" t="str">
        <f>CONCATENATE(tblCong[[#This Row],[distCode]],"-",tblCong[[#This Row],[sCode]])</f>
        <v>D01-S03</v>
      </c>
      <c r="K95" s="1" t="str">
        <f>VLOOKUP(tblCong[[#This Row],[seketCode]],tblSeket[#All],5,FALSE)</f>
        <v>Sattelberg</v>
      </c>
      <c r="L95" s="1" t="str">
        <f>Paris!L$27</f>
        <v>P08</v>
      </c>
      <c r="M95" s="1" t="str">
        <f>CONCATENATE(tblCong[[#This Row],[seketCode]],"-",tblCong[[#This Row],[pCode]])</f>
        <v>D01-S03-P08</v>
      </c>
      <c r="N95" s="1" t="str">
        <f>Paris!M$27</f>
        <v>Kitaka</v>
      </c>
      <c r="O95" s="1" t="s">
        <v>575</v>
      </c>
      <c r="P95" s="1" t="s">
        <v>661</v>
      </c>
    </row>
    <row r="96" spans="6:16" x14ac:dyDescent="0.35">
      <c r="F96" s="1" t="str">
        <f>CONCATENATE(tblCong[[#This Row],[parishCode]],"-",tblCong[[#This Row],[kCode]])</f>
        <v>D01-S03-P08-K06</v>
      </c>
      <c r="G96" s="1" t="str">
        <f>Distrik!F$5</f>
        <v>D01</v>
      </c>
      <c r="H96" s="1" t="str">
        <f>VLOOKUP(tblCong[[#This Row],[distCode]],tblDistrict[#All],2)</f>
        <v>Kâte</v>
      </c>
      <c r="I96" s="1" t="str">
        <f>Seket!I$7</f>
        <v>S03</v>
      </c>
      <c r="J96" s="1" t="str">
        <f>CONCATENATE(tblCong[[#This Row],[distCode]],"-",tblCong[[#This Row],[sCode]])</f>
        <v>D01-S03</v>
      </c>
      <c r="K96" s="1" t="str">
        <f>VLOOKUP(tblCong[[#This Row],[seketCode]],tblSeket[#All],5,FALSE)</f>
        <v>Sattelberg</v>
      </c>
      <c r="L96" s="1" t="str">
        <f>Paris!L$27</f>
        <v>P08</v>
      </c>
      <c r="M96" s="1" t="str">
        <f>CONCATENATE(tblCong[[#This Row],[seketCode]],"-",tblCong[[#This Row],[pCode]])</f>
        <v>D01-S03-P08</v>
      </c>
      <c r="N96" s="1" t="str">
        <f>Paris!M$27</f>
        <v>Kitaka</v>
      </c>
      <c r="O96" s="1" t="s">
        <v>576</v>
      </c>
      <c r="P96" s="1" t="s">
        <v>662</v>
      </c>
    </row>
    <row r="97" spans="6:16" x14ac:dyDescent="0.35">
      <c r="F97" s="1" t="str">
        <f>CONCATENATE(tblCong[[#This Row],[parishCode]],"-",tblCong[[#This Row],[kCode]])</f>
        <v>D01-S03-P08-K07</v>
      </c>
      <c r="G97" s="1" t="str">
        <f>Distrik!F$5</f>
        <v>D01</v>
      </c>
      <c r="H97" s="1" t="str">
        <f>VLOOKUP(tblCong[[#This Row],[distCode]],tblDistrict[#All],2)</f>
        <v>Kâte</v>
      </c>
      <c r="I97" s="1" t="str">
        <f>Seket!I$7</f>
        <v>S03</v>
      </c>
      <c r="J97" s="1" t="str">
        <f>CONCATENATE(tblCong[[#This Row],[distCode]],"-",tblCong[[#This Row],[sCode]])</f>
        <v>D01-S03</v>
      </c>
      <c r="K97" s="1" t="str">
        <f>VLOOKUP(tblCong[[#This Row],[seketCode]],tblSeket[#All],5,FALSE)</f>
        <v>Sattelberg</v>
      </c>
      <c r="L97" s="1" t="str">
        <f>Paris!L$27</f>
        <v>P08</v>
      </c>
      <c r="M97" s="1" t="str">
        <f>CONCATENATE(tblCong[[#This Row],[seketCode]],"-",tblCong[[#This Row],[pCode]])</f>
        <v>D01-S03-P08</v>
      </c>
      <c r="N97" s="1" t="str">
        <f>Paris!M$27</f>
        <v>Kitaka</v>
      </c>
      <c r="O97" s="1" t="s">
        <v>578</v>
      </c>
      <c r="P97" s="1" t="s">
        <v>663</v>
      </c>
    </row>
    <row r="98" spans="6:16" x14ac:dyDescent="0.35">
      <c r="F98" s="1" t="str">
        <f>CONCATENATE(tblCong[[#This Row],[parishCode]],"-",tblCong[[#This Row],[kCode]])</f>
        <v>D01-S03-P09-K01</v>
      </c>
      <c r="G98" s="1" t="str">
        <f>Distrik!F$5</f>
        <v>D01</v>
      </c>
      <c r="H98" s="1" t="str">
        <f>VLOOKUP(tblCong[[#This Row],[distCode]],tblDistrict[#All],2)</f>
        <v>Kâte</v>
      </c>
      <c r="I98" s="1" t="str">
        <f>Seket!I$7</f>
        <v>S03</v>
      </c>
      <c r="J98" s="1" t="str">
        <f>CONCATENATE(tblCong[[#This Row],[distCode]],"-",tblCong[[#This Row],[sCode]])</f>
        <v>D01-S03</v>
      </c>
      <c r="K98" s="1" t="str">
        <f>VLOOKUP(tblCong[[#This Row],[seketCode]],tblSeket[#All],5,FALSE)</f>
        <v>Sattelberg</v>
      </c>
      <c r="L98" s="1" t="str">
        <f>Paris!L$28</f>
        <v>P09</v>
      </c>
      <c r="M98" s="1" t="str">
        <f>CONCATENATE(tblCong[[#This Row],[seketCode]],"-",tblCong[[#This Row],[pCode]])</f>
        <v>D01-S03-P09</v>
      </c>
      <c r="N98" s="1" t="str">
        <f>Paris!M$28</f>
        <v>Keregia</v>
      </c>
      <c r="O98" s="1" t="s">
        <v>567</v>
      </c>
      <c r="P98" s="1" t="s">
        <v>664</v>
      </c>
    </row>
    <row r="99" spans="6:16" x14ac:dyDescent="0.35">
      <c r="F99" s="1" t="str">
        <f>CONCATENATE(tblCong[[#This Row],[parishCode]],"-",tblCong[[#This Row],[kCode]])</f>
        <v>D01-S03-P09-K02</v>
      </c>
      <c r="G99" s="1" t="str">
        <f>Distrik!F$5</f>
        <v>D01</v>
      </c>
      <c r="H99" s="1" t="str">
        <f>VLOOKUP(tblCong[[#This Row],[distCode]],tblDistrict[#All],2)</f>
        <v>Kâte</v>
      </c>
      <c r="I99" s="1" t="str">
        <f>Seket!I$7</f>
        <v>S03</v>
      </c>
      <c r="J99" s="1" t="str">
        <f>CONCATENATE(tblCong[[#This Row],[distCode]],"-",tblCong[[#This Row],[sCode]])</f>
        <v>D01-S03</v>
      </c>
      <c r="K99" s="1" t="str">
        <f>VLOOKUP(tblCong[[#This Row],[seketCode]],tblSeket[#All],5,FALSE)</f>
        <v>Sattelberg</v>
      </c>
      <c r="L99" s="1" t="str">
        <f>Paris!L$28</f>
        <v>P09</v>
      </c>
      <c r="M99" s="1" t="str">
        <f>CONCATENATE(tblCong[[#This Row],[seketCode]],"-",tblCong[[#This Row],[pCode]])</f>
        <v>D01-S03-P09</v>
      </c>
      <c r="N99" s="1" t="str">
        <f>Paris!M$28</f>
        <v>Keregia</v>
      </c>
      <c r="O99" s="1" t="s">
        <v>569</v>
      </c>
      <c r="P99" s="1" t="s">
        <v>236</v>
      </c>
    </row>
    <row r="100" spans="6:16" x14ac:dyDescent="0.35">
      <c r="F100" s="1" t="str">
        <f>CONCATENATE(tblCong[[#This Row],[parishCode]],"-",tblCong[[#This Row],[kCode]])</f>
        <v>D01-S03-P09-K03</v>
      </c>
      <c r="G100" s="1" t="str">
        <f>Distrik!F$5</f>
        <v>D01</v>
      </c>
      <c r="H100" s="1" t="str">
        <f>VLOOKUP(tblCong[[#This Row],[distCode]],tblDistrict[#All],2)</f>
        <v>Kâte</v>
      </c>
      <c r="I100" s="1" t="str">
        <f>Seket!I$7</f>
        <v>S03</v>
      </c>
      <c r="J100" s="1" t="str">
        <f>CONCATENATE(tblCong[[#This Row],[distCode]],"-",tblCong[[#This Row],[sCode]])</f>
        <v>D01-S03</v>
      </c>
      <c r="K100" s="1" t="str">
        <f>VLOOKUP(tblCong[[#This Row],[seketCode]],tblSeket[#All],5,FALSE)</f>
        <v>Sattelberg</v>
      </c>
      <c r="L100" s="1" t="str">
        <f>Paris!L$28</f>
        <v>P09</v>
      </c>
      <c r="M100" s="1" t="str">
        <f>CONCATENATE(tblCong[[#This Row],[seketCode]],"-",tblCong[[#This Row],[pCode]])</f>
        <v>D01-S03-P09</v>
      </c>
      <c r="N100" s="1" t="str">
        <f>Paris!M$28</f>
        <v>Keregia</v>
      </c>
      <c r="O100" s="1" t="s">
        <v>571</v>
      </c>
      <c r="P100" s="1" t="s">
        <v>662</v>
      </c>
    </row>
    <row r="101" spans="6:16" x14ac:dyDescent="0.35">
      <c r="F101" s="1" t="str">
        <f>CONCATENATE(tblCong[[#This Row],[parishCode]],"-",tblCong[[#This Row],[kCode]])</f>
        <v>D01-S03-P09-K04</v>
      </c>
      <c r="G101" s="1" t="str">
        <f>Distrik!F$5</f>
        <v>D01</v>
      </c>
      <c r="H101" s="1" t="str">
        <f>VLOOKUP(tblCong[[#This Row],[distCode]],tblDistrict[#All],2)</f>
        <v>Kâte</v>
      </c>
      <c r="I101" s="1" t="str">
        <f>Seket!I$7</f>
        <v>S03</v>
      </c>
      <c r="J101" s="1" t="str">
        <f>CONCATENATE(tblCong[[#This Row],[distCode]],"-",tblCong[[#This Row],[sCode]])</f>
        <v>D01-S03</v>
      </c>
      <c r="K101" s="1" t="str">
        <f>VLOOKUP(tblCong[[#This Row],[seketCode]],tblSeket[#All],5,FALSE)</f>
        <v>Sattelberg</v>
      </c>
      <c r="L101" s="1" t="str">
        <f>Paris!L$28</f>
        <v>P09</v>
      </c>
      <c r="M101" s="1" t="str">
        <f>CONCATENATE(tblCong[[#This Row],[seketCode]],"-",tblCong[[#This Row],[pCode]])</f>
        <v>D01-S03-P09</v>
      </c>
      <c r="N101" s="1" t="str">
        <f>Paris!M$28</f>
        <v>Keregia</v>
      </c>
      <c r="O101" s="1" t="s">
        <v>573</v>
      </c>
      <c r="P101" s="1" t="s">
        <v>665</v>
      </c>
    </row>
    <row r="102" spans="6:16" x14ac:dyDescent="0.35">
      <c r="F102" s="1" t="str">
        <f>CONCATENATE(tblCong[[#This Row],[parishCode]],"-",tblCong[[#This Row],[kCode]])</f>
        <v>D01-S03-P09-K05</v>
      </c>
      <c r="G102" s="1" t="str">
        <f>Distrik!F$5</f>
        <v>D01</v>
      </c>
      <c r="H102" s="1" t="str">
        <f>VLOOKUP(tblCong[[#This Row],[distCode]],tblDistrict[#All],2)</f>
        <v>Kâte</v>
      </c>
      <c r="I102" s="1" t="str">
        <f>Seket!I$7</f>
        <v>S03</v>
      </c>
      <c r="J102" s="1" t="str">
        <f>CONCATENATE(tblCong[[#This Row],[distCode]],"-",tblCong[[#This Row],[sCode]])</f>
        <v>D01-S03</v>
      </c>
      <c r="K102" s="1" t="str">
        <f>VLOOKUP(tblCong[[#This Row],[seketCode]],tblSeket[#All],5,FALSE)</f>
        <v>Sattelberg</v>
      </c>
      <c r="L102" s="1" t="str">
        <f>Paris!L$28</f>
        <v>P09</v>
      </c>
      <c r="M102" s="1" t="str">
        <f>CONCATENATE(tblCong[[#This Row],[seketCode]],"-",tblCong[[#This Row],[pCode]])</f>
        <v>D01-S03-P09</v>
      </c>
      <c r="N102" s="1" t="str">
        <f>Paris!M$28</f>
        <v>Keregia</v>
      </c>
      <c r="O102" s="1" t="s">
        <v>575</v>
      </c>
      <c r="P102" s="1" t="s">
        <v>666</v>
      </c>
    </row>
    <row r="103" spans="6:16" x14ac:dyDescent="0.35">
      <c r="F103" s="1" t="str">
        <f>CONCATENATE(tblCong[[#This Row],[parishCode]],"-",tblCong[[#This Row],[kCode]])</f>
        <v>D01-S03-P10-K01</v>
      </c>
      <c r="G103" s="1" t="str">
        <f>Distrik!F$5</f>
        <v>D01</v>
      </c>
      <c r="H103" s="1" t="str">
        <f>VLOOKUP(tblCong[[#This Row],[distCode]],tblDistrict[#All],2)</f>
        <v>Kâte</v>
      </c>
      <c r="I103" s="1" t="str">
        <f>Seket!I$7</f>
        <v>S03</v>
      </c>
      <c r="J103" s="1" t="str">
        <f>CONCATENATE(tblCong[[#This Row],[distCode]],"-",tblCong[[#This Row],[sCode]])</f>
        <v>D01-S03</v>
      </c>
      <c r="K103" s="1" t="str">
        <f>VLOOKUP(tblCong[[#This Row],[seketCode]],tblSeket[#All],5,FALSE)</f>
        <v>Sattelberg</v>
      </c>
      <c r="L103" s="1" t="str">
        <f>Paris!L$29</f>
        <v>P10</v>
      </c>
      <c r="M103" s="1" t="str">
        <f>CONCATENATE(tblCong[[#This Row],[seketCode]],"-",tblCong[[#This Row],[pCode]])</f>
        <v>D01-S03-P10</v>
      </c>
      <c r="N103" s="1" t="str">
        <f>Paris!M$29</f>
        <v>Wandokai</v>
      </c>
      <c r="O103" s="1" t="s">
        <v>567</v>
      </c>
      <c r="P103" s="1" t="s">
        <v>238</v>
      </c>
    </row>
    <row r="104" spans="6:16" x14ac:dyDescent="0.35">
      <c r="F104" s="1" t="str">
        <f>CONCATENATE(tblCong[[#This Row],[parishCode]],"-",tblCong[[#This Row],[kCode]])</f>
        <v>D01-S03-P10-K02</v>
      </c>
      <c r="G104" s="1" t="str">
        <f>Distrik!F$5</f>
        <v>D01</v>
      </c>
      <c r="H104" s="1" t="str">
        <f>VLOOKUP(tblCong[[#This Row],[distCode]],tblDistrict[#All],2)</f>
        <v>Kâte</v>
      </c>
      <c r="I104" s="1" t="str">
        <f>Seket!I$7</f>
        <v>S03</v>
      </c>
      <c r="J104" s="1" t="str">
        <f>CONCATENATE(tblCong[[#This Row],[distCode]],"-",tblCong[[#This Row],[sCode]])</f>
        <v>D01-S03</v>
      </c>
      <c r="K104" s="1" t="str">
        <f>VLOOKUP(tblCong[[#This Row],[seketCode]],tblSeket[#All],5,FALSE)</f>
        <v>Sattelberg</v>
      </c>
      <c r="L104" s="1" t="str">
        <f>Paris!L$29</f>
        <v>P10</v>
      </c>
      <c r="M104" s="1" t="str">
        <f>CONCATENATE(tblCong[[#This Row],[seketCode]],"-",tblCong[[#This Row],[pCode]])</f>
        <v>D01-S03-P10</v>
      </c>
      <c r="N104" s="1" t="str">
        <f>Paris!M$29</f>
        <v>Wandokai</v>
      </c>
      <c r="O104" s="1" t="s">
        <v>569</v>
      </c>
      <c r="P104" s="1" t="s">
        <v>667</v>
      </c>
    </row>
    <row r="105" spans="6:16" x14ac:dyDescent="0.35">
      <c r="F105" s="1" t="str">
        <f>CONCATENATE(tblCong[[#This Row],[parishCode]],"-",tblCong[[#This Row],[kCode]])</f>
        <v>D01-S03-P10-K03</v>
      </c>
      <c r="G105" s="1" t="str">
        <f>Distrik!F$5</f>
        <v>D01</v>
      </c>
      <c r="H105" s="1" t="str">
        <f>VLOOKUP(tblCong[[#This Row],[distCode]],tblDistrict[#All],2)</f>
        <v>Kâte</v>
      </c>
      <c r="I105" s="1" t="str">
        <f>Seket!I$7</f>
        <v>S03</v>
      </c>
      <c r="J105" s="1" t="str">
        <f>CONCATENATE(tblCong[[#This Row],[distCode]],"-",tblCong[[#This Row],[sCode]])</f>
        <v>D01-S03</v>
      </c>
      <c r="K105" s="1" t="str">
        <f>VLOOKUP(tblCong[[#This Row],[seketCode]],tblSeket[#All],5,FALSE)</f>
        <v>Sattelberg</v>
      </c>
      <c r="L105" s="1" t="str">
        <f>Paris!L$29</f>
        <v>P10</v>
      </c>
      <c r="M105" s="1" t="str">
        <f>CONCATENATE(tblCong[[#This Row],[seketCode]],"-",tblCong[[#This Row],[pCode]])</f>
        <v>D01-S03-P10</v>
      </c>
      <c r="N105" s="1" t="str">
        <f>Paris!M$29</f>
        <v>Wandokai</v>
      </c>
      <c r="O105" s="1" t="s">
        <v>571</v>
      </c>
      <c r="P105" s="1" t="s">
        <v>668</v>
      </c>
    </row>
    <row r="106" spans="6:16" x14ac:dyDescent="0.35">
      <c r="F106" s="1" t="str">
        <f>CONCATENATE(tblCong[[#This Row],[parishCode]],"-",tblCong[[#This Row],[kCode]])</f>
        <v>D01-S03-P10-K04</v>
      </c>
      <c r="G106" s="1" t="str">
        <f>Distrik!F$5</f>
        <v>D01</v>
      </c>
      <c r="H106" s="1" t="str">
        <f>VLOOKUP(tblCong[[#This Row],[distCode]],tblDistrict[#All],2)</f>
        <v>Kâte</v>
      </c>
      <c r="I106" s="1" t="str">
        <f>Seket!I$7</f>
        <v>S03</v>
      </c>
      <c r="J106" s="1" t="str">
        <f>CONCATENATE(tblCong[[#This Row],[distCode]],"-",tblCong[[#This Row],[sCode]])</f>
        <v>D01-S03</v>
      </c>
      <c r="K106" s="1" t="str">
        <f>VLOOKUP(tblCong[[#This Row],[seketCode]],tblSeket[#All],5,FALSE)</f>
        <v>Sattelberg</v>
      </c>
      <c r="L106" s="1" t="str">
        <f>Paris!L$29</f>
        <v>P10</v>
      </c>
      <c r="M106" s="1" t="str">
        <f>CONCATENATE(tblCong[[#This Row],[seketCode]],"-",tblCong[[#This Row],[pCode]])</f>
        <v>D01-S03-P10</v>
      </c>
      <c r="N106" s="1" t="str">
        <f>Paris!M$29</f>
        <v>Wandokai</v>
      </c>
      <c r="O106" s="1" t="s">
        <v>573</v>
      </c>
      <c r="P106" s="1" t="s">
        <v>669</v>
      </c>
    </row>
    <row r="107" spans="6:16" x14ac:dyDescent="0.35">
      <c r="F107" s="1" t="str">
        <f>CONCATENATE(tblCong[[#This Row],[parishCode]],"-",tblCong[[#This Row],[kCode]])</f>
        <v>D01-S03-P10-K05</v>
      </c>
      <c r="G107" s="1" t="str">
        <f>Distrik!F$5</f>
        <v>D01</v>
      </c>
      <c r="H107" s="1" t="str">
        <f>VLOOKUP(tblCong[[#This Row],[distCode]],tblDistrict[#All],2)</f>
        <v>Kâte</v>
      </c>
      <c r="I107" s="1" t="str">
        <f>Seket!I$7</f>
        <v>S03</v>
      </c>
      <c r="J107" s="1" t="str">
        <f>CONCATENATE(tblCong[[#This Row],[distCode]],"-",tblCong[[#This Row],[sCode]])</f>
        <v>D01-S03</v>
      </c>
      <c r="K107" s="1" t="str">
        <f>VLOOKUP(tblCong[[#This Row],[seketCode]],tblSeket[#All],5,FALSE)</f>
        <v>Sattelberg</v>
      </c>
      <c r="L107" s="1" t="str">
        <f>Paris!L$29</f>
        <v>P10</v>
      </c>
      <c r="M107" s="1" t="str">
        <f>CONCATENATE(tblCong[[#This Row],[seketCode]],"-",tblCong[[#This Row],[pCode]])</f>
        <v>D01-S03-P10</v>
      </c>
      <c r="N107" s="1" t="str">
        <f>Paris!M$29</f>
        <v>Wandokai</v>
      </c>
      <c r="O107" s="1" t="s">
        <v>575</v>
      </c>
      <c r="P107" s="1" t="s">
        <v>670</v>
      </c>
    </row>
    <row r="108" spans="6:16" x14ac:dyDescent="0.35">
      <c r="F108" s="1" t="str">
        <f>CONCATENATE(tblCong[[#This Row],[parishCode]],"-",tblCong[[#This Row],[kCode]])</f>
        <v>D01-S03-P10-K06</v>
      </c>
      <c r="G108" s="1" t="str">
        <f>Distrik!F$5</f>
        <v>D01</v>
      </c>
      <c r="H108" s="1" t="str">
        <f>VLOOKUP(tblCong[[#This Row],[distCode]],tblDistrict[#All],2)</f>
        <v>Kâte</v>
      </c>
      <c r="I108" s="1" t="str">
        <f>Seket!I$7</f>
        <v>S03</v>
      </c>
      <c r="J108" s="1" t="str">
        <f>CONCATENATE(tblCong[[#This Row],[distCode]],"-",tblCong[[#This Row],[sCode]])</f>
        <v>D01-S03</v>
      </c>
      <c r="K108" s="1" t="str">
        <f>VLOOKUP(tblCong[[#This Row],[seketCode]],tblSeket[#All],5,FALSE)</f>
        <v>Sattelberg</v>
      </c>
      <c r="L108" s="1" t="str">
        <f>Paris!L$29</f>
        <v>P10</v>
      </c>
      <c r="M108" s="1" t="str">
        <f>CONCATENATE(tblCong[[#This Row],[seketCode]],"-",tblCong[[#This Row],[pCode]])</f>
        <v>D01-S03-P10</v>
      </c>
      <c r="N108" s="1" t="str">
        <f>Paris!M$29</f>
        <v>Wandokai</v>
      </c>
      <c r="O108" s="1" t="s">
        <v>576</v>
      </c>
      <c r="P108" s="1" t="s">
        <v>671</v>
      </c>
    </row>
    <row r="109" spans="6:16" x14ac:dyDescent="0.35">
      <c r="F109" s="1" t="str">
        <f>CONCATENATE(tblCong[[#This Row],[parishCode]],"-",tblCong[[#This Row],[kCode]])</f>
        <v>D01-S03-P11-K01</v>
      </c>
      <c r="G109" s="1" t="str">
        <f>Distrik!F$5</f>
        <v>D01</v>
      </c>
      <c r="H109" s="1" t="str">
        <f>VLOOKUP(tblCong[[#This Row],[distCode]],tblDistrict[#All],2)</f>
        <v>Kâte</v>
      </c>
      <c r="I109" s="1" t="str">
        <f>Seket!I$7</f>
        <v>S03</v>
      </c>
      <c r="J109" s="1" t="str">
        <f>CONCATENATE(tblCong[[#This Row],[distCode]],"-",tblCong[[#This Row],[sCode]])</f>
        <v>D01-S03</v>
      </c>
      <c r="K109" s="1" t="str">
        <f>VLOOKUP(tblCong[[#This Row],[seketCode]],tblSeket[#All],5,FALSE)</f>
        <v>Sattelberg</v>
      </c>
      <c r="L109" s="1" t="str">
        <f>Paris!L$30</f>
        <v>P11</v>
      </c>
      <c r="M109" s="1" t="str">
        <f>CONCATENATE(tblCong[[#This Row],[seketCode]],"-",tblCong[[#This Row],[pCode]])</f>
        <v>D01-S03-P11</v>
      </c>
      <c r="N109" s="1" t="str">
        <f>Paris!M$30</f>
        <v>Wareo</v>
      </c>
      <c r="O109" s="1" t="s">
        <v>567</v>
      </c>
      <c r="P109" s="1" t="s">
        <v>240</v>
      </c>
    </row>
    <row r="110" spans="6:16" x14ac:dyDescent="0.35">
      <c r="F110" s="1" t="str">
        <f>CONCATENATE(tblCong[[#This Row],[parishCode]],"-",tblCong[[#This Row],[kCode]])</f>
        <v>D01-S03-P11-K02</v>
      </c>
      <c r="G110" s="1" t="str">
        <f>Distrik!F$5</f>
        <v>D01</v>
      </c>
      <c r="H110" s="1" t="str">
        <f>VLOOKUP(tblCong[[#This Row],[distCode]],tblDistrict[#All],2)</f>
        <v>Kâte</v>
      </c>
      <c r="I110" s="1" t="str">
        <f>Seket!I$7</f>
        <v>S03</v>
      </c>
      <c r="J110" s="1" t="str">
        <f>CONCATENATE(tblCong[[#This Row],[distCode]],"-",tblCong[[#This Row],[sCode]])</f>
        <v>D01-S03</v>
      </c>
      <c r="K110" s="1" t="str">
        <f>VLOOKUP(tblCong[[#This Row],[seketCode]],tblSeket[#All],5,FALSE)</f>
        <v>Sattelberg</v>
      </c>
      <c r="L110" s="1" t="str">
        <f>Paris!L$30</f>
        <v>P11</v>
      </c>
      <c r="M110" s="1" t="str">
        <f>CONCATENATE(tblCong[[#This Row],[seketCode]],"-",tblCong[[#This Row],[pCode]])</f>
        <v>D01-S03-P11</v>
      </c>
      <c r="N110" s="1" t="str">
        <f>Paris!M$30</f>
        <v>Wareo</v>
      </c>
      <c r="O110" s="1" t="s">
        <v>569</v>
      </c>
      <c r="P110" s="1" t="s">
        <v>672</v>
      </c>
    </row>
    <row r="111" spans="6:16" x14ac:dyDescent="0.35">
      <c r="F111" s="1" t="str">
        <f>CONCATENATE(tblCong[[#This Row],[parishCode]],"-",tblCong[[#This Row],[kCode]])</f>
        <v>D01-S03-P11-K03</v>
      </c>
      <c r="G111" s="1" t="str">
        <f>Distrik!F$5</f>
        <v>D01</v>
      </c>
      <c r="H111" s="1" t="str">
        <f>VLOOKUP(tblCong[[#This Row],[distCode]],tblDistrict[#All],2)</f>
        <v>Kâte</v>
      </c>
      <c r="I111" s="1" t="str">
        <f>Seket!I$7</f>
        <v>S03</v>
      </c>
      <c r="J111" s="1" t="str">
        <f>CONCATENATE(tblCong[[#This Row],[distCode]],"-",tblCong[[#This Row],[sCode]])</f>
        <v>D01-S03</v>
      </c>
      <c r="K111" s="1" t="str">
        <f>VLOOKUP(tblCong[[#This Row],[seketCode]],tblSeket[#All],5,FALSE)</f>
        <v>Sattelberg</v>
      </c>
      <c r="L111" s="1" t="str">
        <f>Paris!L$30</f>
        <v>P11</v>
      </c>
      <c r="M111" s="1" t="str">
        <f>CONCATENATE(tblCong[[#This Row],[seketCode]],"-",tblCong[[#This Row],[pCode]])</f>
        <v>D01-S03-P11</v>
      </c>
      <c r="N111" s="1" t="str">
        <f>Paris!M$30</f>
        <v>Wareo</v>
      </c>
      <c r="O111" s="1" t="s">
        <v>571</v>
      </c>
      <c r="P111" s="1" t="s">
        <v>673</v>
      </c>
    </row>
    <row r="112" spans="6:16" x14ac:dyDescent="0.35">
      <c r="F112" s="1" t="str">
        <f>CONCATENATE(tblCong[[#This Row],[parishCode]],"-",tblCong[[#This Row],[kCode]])</f>
        <v>D01-S03-P11-K04</v>
      </c>
      <c r="G112" s="1" t="str">
        <f>Distrik!F$5</f>
        <v>D01</v>
      </c>
      <c r="H112" s="1" t="str">
        <f>VLOOKUP(tblCong[[#This Row],[distCode]],tblDistrict[#All],2)</f>
        <v>Kâte</v>
      </c>
      <c r="I112" s="1" t="str">
        <f>Seket!I$7</f>
        <v>S03</v>
      </c>
      <c r="J112" s="1" t="str">
        <f>CONCATENATE(tblCong[[#This Row],[distCode]],"-",tblCong[[#This Row],[sCode]])</f>
        <v>D01-S03</v>
      </c>
      <c r="K112" s="1" t="str">
        <f>VLOOKUP(tblCong[[#This Row],[seketCode]],tblSeket[#All],5,FALSE)</f>
        <v>Sattelberg</v>
      </c>
      <c r="L112" s="1" t="str">
        <f>Paris!L$30</f>
        <v>P11</v>
      </c>
      <c r="M112" s="1" t="str">
        <f>CONCATENATE(tblCong[[#This Row],[seketCode]],"-",tblCong[[#This Row],[pCode]])</f>
        <v>D01-S03-P11</v>
      </c>
      <c r="N112" s="1" t="str">
        <f>Paris!M$30</f>
        <v>Wareo</v>
      </c>
      <c r="O112" s="1" t="s">
        <v>573</v>
      </c>
      <c r="P112" s="1" t="s">
        <v>674</v>
      </c>
    </row>
    <row r="113" spans="6:16" x14ac:dyDescent="0.35">
      <c r="F113" s="1" t="str">
        <f>CONCATENATE(tblCong[[#This Row],[parishCode]],"-",tblCong[[#This Row],[kCode]])</f>
        <v>D01-S03-P11-K05</v>
      </c>
      <c r="G113" s="1" t="str">
        <f>Distrik!F$5</f>
        <v>D01</v>
      </c>
      <c r="H113" s="1" t="str">
        <f>VLOOKUP(tblCong[[#This Row],[distCode]],tblDistrict[#All],2)</f>
        <v>Kâte</v>
      </c>
      <c r="I113" s="1" t="str">
        <f>Seket!I$7</f>
        <v>S03</v>
      </c>
      <c r="J113" s="1" t="str">
        <f>CONCATENATE(tblCong[[#This Row],[distCode]],"-",tblCong[[#This Row],[sCode]])</f>
        <v>D01-S03</v>
      </c>
      <c r="K113" s="1" t="str">
        <f>VLOOKUP(tblCong[[#This Row],[seketCode]],tblSeket[#All],5,FALSE)</f>
        <v>Sattelberg</v>
      </c>
      <c r="L113" s="1" t="str">
        <f>Paris!L$30</f>
        <v>P11</v>
      </c>
      <c r="M113" s="1" t="str">
        <f>CONCATENATE(tblCong[[#This Row],[seketCode]],"-",tblCong[[#This Row],[pCode]])</f>
        <v>D01-S03-P11</v>
      </c>
      <c r="N113" s="1" t="str">
        <f>Paris!M$30</f>
        <v>Wareo</v>
      </c>
      <c r="O113" s="1" t="s">
        <v>575</v>
      </c>
      <c r="P113" s="1" t="s">
        <v>675</v>
      </c>
    </row>
    <row r="114" spans="6:16" x14ac:dyDescent="0.35">
      <c r="F114" s="1" t="str">
        <f>CONCATENATE(tblCong[[#This Row],[parishCode]],"-",tblCong[[#This Row],[kCode]])</f>
        <v>D01-S03-P11-K06</v>
      </c>
      <c r="G114" s="1" t="str">
        <f>Distrik!F$5</f>
        <v>D01</v>
      </c>
      <c r="H114" s="1" t="str">
        <f>VLOOKUP(tblCong[[#This Row],[distCode]],tblDistrict[#All],2)</f>
        <v>Kâte</v>
      </c>
      <c r="I114" s="1" t="str">
        <f>Seket!I$7</f>
        <v>S03</v>
      </c>
      <c r="J114" s="1" t="str">
        <f>CONCATENATE(tblCong[[#This Row],[distCode]],"-",tblCong[[#This Row],[sCode]])</f>
        <v>D01-S03</v>
      </c>
      <c r="K114" s="1" t="str">
        <f>VLOOKUP(tblCong[[#This Row],[seketCode]],tblSeket[#All],5,FALSE)</f>
        <v>Sattelberg</v>
      </c>
      <c r="L114" s="1" t="str">
        <f>Paris!L$30</f>
        <v>P11</v>
      </c>
      <c r="M114" s="1" t="str">
        <f>CONCATENATE(tblCong[[#This Row],[seketCode]],"-",tblCong[[#This Row],[pCode]])</f>
        <v>D01-S03-P11</v>
      </c>
      <c r="N114" s="1" t="str">
        <f>Paris!M$30</f>
        <v>Wareo</v>
      </c>
      <c r="O114" s="1" t="s">
        <v>576</v>
      </c>
      <c r="P114" s="1" t="s">
        <v>676</v>
      </c>
    </row>
    <row r="115" spans="6:16" x14ac:dyDescent="0.35">
      <c r="F115" s="1" t="str">
        <f>CONCATENATE(tblCong[[#This Row],[parishCode]],"-",tblCong[[#This Row],[kCode]])</f>
        <v>D01-S03-P12-K01</v>
      </c>
      <c r="G115" s="1" t="str">
        <f>Distrik!F$5</f>
        <v>D01</v>
      </c>
      <c r="H115" s="1" t="str">
        <f>VLOOKUP(tblCong[[#This Row],[distCode]],tblDistrict[#All],2)</f>
        <v>Kâte</v>
      </c>
      <c r="I115" s="1" t="str">
        <f>Seket!I$7</f>
        <v>S03</v>
      </c>
      <c r="J115" s="1" t="str">
        <f>CONCATENATE(tblCong[[#This Row],[distCode]],"-",tblCong[[#This Row],[sCode]])</f>
        <v>D01-S03</v>
      </c>
      <c r="K115" s="1" t="str">
        <f>VLOOKUP(tblCong[[#This Row],[seketCode]],tblSeket[#All],5,FALSE)</f>
        <v>Sattelberg</v>
      </c>
      <c r="L115" s="1" t="str">
        <f>Paris!L$31</f>
        <v>P12</v>
      </c>
      <c r="M115" s="1" t="str">
        <f>CONCATENATE(tblCong[[#This Row],[seketCode]],"-",tblCong[[#This Row],[pCode]])</f>
        <v>D01-S03-P12</v>
      </c>
      <c r="N115" s="1" t="str">
        <f>Paris!M$31</f>
        <v>Zamesa</v>
      </c>
      <c r="O115" s="1" t="s">
        <v>567</v>
      </c>
      <c r="P115" s="1" t="s">
        <v>677</v>
      </c>
    </row>
    <row r="116" spans="6:16" x14ac:dyDescent="0.35">
      <c r="F116" s="1" t="str">
        <f>CONCATENATE(tblCong[[#This Row],[parishCode]],"-",tblCong[[#This Row],[kCode]])</f>
        <v>D01-S03-P12-K02</v>
      </c>
      <c r="G116" s="1" t="str">
        <f>Distrik!F$5</f>
        <v>D01</v>
      </c>
      <c r="H116" s="1" t="str">
        <f>VLOOKUP(tblCong[[#This Row],[distCode]],tblDistrict[#All],2)</f>
        <v>Kâte</v>
      </c>
      <c r="I116" s="1" t="str">
        <f>Seket!I$7</f>
        <v>S03</v>
      </c>
      <c r="J116" s="1" t="str">
        <f>CONCATENATE(tblCong[[#This Row],[distCode]],"-",tblCong[[#This Row],[sCode]])</f>
        <v>D01-S03</v>
      </c>
      <c r="K116" s="1" t="str">
        <f>VLOOKUP(tblCong[[#This Row],[seketCode]],tblSeket[#All],5,FALSE)</f>
        <v>Sattelberg</v>
      </c>
      <c r="L116" s="1" t="str">
        <f>Paris!L$31</f>
        <v>P12</v>
      </c>
      <c r="M116" s="1" t="str">
        <f>CONCATENATE(tblCong[[#This Row],[seketCode]],"-",tblCong[[#This Row],[pCode]])</f>
        <v>D01-S03-P12</v>
      </c>
      <c r="N116" s="1" t="str">
        <f>Paris!M$31</f>
        <v>Zamesa</v>
      </c>
      <c r="O116" s="1" t="s">
        <v>569</v>
      </c>
      <c r="P116" s="1" t="s">
        <v>678</v>
      </c>
    </row>
    <row r="117" spans="6:16" x14ac:dyDescent="0.35">
      <c r="F117" s="1" t="str">
        <f>CONCATENATE(tblCong[[#This Row],[parishCode]],"-",tblCong[[#This Row],[kCode]])</f>
        <v>D01-S03-P12-K03</v>
      </c>
      <c r="G117" s="1" t="str">
        <f>Distrik!F$5</f>
        <v>D01</v>
      </c>
      <c r="H117" s="1" t="str">
        <f>VLOOKUP(tblCong[[#This Row],[distCode]],tblDistrict[#All],2)</f>
        <v>Kâte</v>
      </c>
      <c r="I117" s="1" t="str">
        <f>Seket!I$7</f>
        <v>S03</v>
      </c>
      <c r="J117" s="1" t="str">
        <f>CONCATENATE(tblCong[[#This Row],[distCode]],"-",tblCong[[#This Row],[sCode]])</f>
        <v>D01-S03</v>
      </c>
      <c r="K117" s="1" t="str">
        <f>VLOOKUP(tblCong[[#This Row],[seketCode]],tblSeket[#All],5,FALSE)</f>
        <v>Sattelberg</v>
      </c>
      <c r="L117" s="1" t="str">
        <f>Paris!L$31</f>
        <v>P12</v>
      </c>
      <c r="M117" s="1" t="str">
        <f>CONCATENATE(tblCong[[#This Row],[seketCode]],"-",tblCong[[#This Row],[pCode]])</f>
        <v>D01-S03-P12</v>
      </c>
      <c r="N117" s="1" t="str">
        <f>Paris!M$31</f>
        <v>Zamesa</v>
      </c>
      <c r="O117" s="1" t="s">
        <v>571</v>
      </c>
      <c r="P117" s="1" t="s">
        <v>679</v>
      </c>
    </row>
    <row r="118" spans="6:16" x14ac:dyDescent="0.35">
      <c r="F118" s="1" t="str">
        <f>CONCATENATE(tblCong[[#This Row],[parishCode]],"-",tblCong[[#This Row],[kCode]])</f>
        <v>D01-S03-P12-K04</v>
      </c>
      <c r="G118" s="1" t="str">
        <f>Distrik!F$5</f>
        <v>D01</v>
      </c>
      <c r="H118" s="1" t="str">
        <f>VLOOKUP(tblCong[[#This Row],[distCode]],tblDistrict[#All],2)</f>
        <v>Kâte</v>
      </c>
      <c r="I118" s="1" t="str">
        <f>Seket!I$7</f>
        <v>S03</v>
      </c>
      <c r="J118" s="1" t="str">
        <f>CONCATENATE(tblCong[[#This Row],[distCode]],"-",tblCong[[#This Row],[sCode]])</f>
        <v>D01-S03</v>
      </c>
      <c r="K118" s="1" t="str">
        <f>VLOOKUP(tblCong[[#This Row],[seketCode]],tblSeket[#All],5,FALSE)</f>
        <v>Sattelberg</v>
      </c>
      <c r="L118" s="1" t="str">
        <f>Paris!L$31</f>
        <v>P12</v>
      </c>
      <c r="M118" s="1" t="str">
        <f>CONCATENATE(tblCong[[#This Row],[seketCode]],"-",tblCong[[#This Row],[pCode]])</f>
        <v>D01-S03-P12</v>
      </c>
      <c r="N118" s="1" t="str">
        <f>Paris!M$31</f>
        <v>Zamesa</v>
      </c>
      <c r="O118" s="1" t="s">
        <v>573</v>
      </c>
      <c r="P118" s="1" t="s">
        <v>680</v>
      </c>
    </row>
    <row r="119" spans="6:16" x14ac:dyDescent="0.35">
      <c r="F119" s="1" t="str">
        <f>CONCATENATE(tblCong[[#This Row],[parishCode]],"-",tblCong[[#This Row],[kCode]])</f>
        <v>D01-S04-P01-K01</v>
      </c>
      <c r="G119" s="1" t="str">
        <f>Distrik!F$5</f>
        <v>D01</v>
      </c>
      <c r="H119" s="1" t="str">
        <f>VLOOKUP(tblCong[[#This Row],[distCode]],tblDistrict[#All],2)</f>
        <v>Kâte</v>
      </c>
      <c r="I119" s="1" t="str">
        <f>Seket!I$8</f>
        <v>S04</v>
      </c>
      <c r="J119" s="1" t="str">
        <f>CONCATENATE(tblCong[[#This Row],[distCode]],"-",tblCong[[#This Row],[sCode]])</f>
        <v>D01-S04</v>
      </c>
      <c r="K119" s="1" t="str">
        <f>VLOOKUP(tblCong[[#This Row],[seketCode]],tblSeket[#All],5,FALSE)</f>
        <v>Qembung</v>
      </c>
      <c r="L119" s="1" t="str">
        <f>Paris!L$32</f>
        <v>P01</v>
      </c>
      <c r="M119" s="1" t="str">
        <f>CONCATENATE(tblCong[[#This Row],[seketCode]],"-",tblCong[[#This Row],[pCode]])</f>
        <v>D01-S04-P01</v>
      </c>
      <c r="N119" s="1" t="str">
        <f>Paris!M$32</f>
        <v>Guramoti</v>
      </c>
      <c r="O119" s="1" t="s">
        <v>567</v>
      </c>
      <c r="P119" s="1" t="s">
        <v>681</v>
      </c>
    </row>
    <row r="120" spans="6:16" x14ac:dyDescent="0.35">
      <c r="F120" s="1" t="str">
        <f>CONCATENATE(tblCong[[#This Row],[parishCode]],"-",tblCong[[#This Row],[kCode]])</f>
        <v>D01-S04-P01-K02</v>
      </c>
      <c r="G120" s="1" t="str">
        <f>Distrik!F$5</f>
        <v>D01</v>
      </c>
      <c r="H120" s="1" t="str">
        <f>VLOOKUP(tblCong[[#This Row],[distCode]],tblDistrict[#All],2)</f>
        <v>Kâte</v>
      </c>
      <c r="I120" s="1" t="str">
        <f>Seket!I$8</f>
        <v>S04</v>
      </c>
      <c r="J120" s="1" t="str">
        <f>CONCATENATE(tblCong[[#This Row],[distCode]],"-",tblCong[[#This Row],[sCode]])</f>
        <v>D01-S04</v>
      </c>
      <c r="K120" s="1" t="str">
        <f>VLOOKUP(tblCong[[#This Row],[seketCode]],tblSeket[#All],5,FALSE)</f>
        <v>Qembung</v>
      </c>
      <c r="L120" s="1" t="str">
        <f>Paris!L$32</f>
        <v>P01</v>
      </c>
      <c r="M120" s="1" t="str">
        <f>CONCATENATE(tblCong[[#This Row],[seketCode]],"-",tblCong[[#This Row],[pCode]])</f>
        <v>D01-S04-P01</v>
      </c>
      <c r="N120" s="1" t="str">
        <f>Paris!M$32</f>
        <v>Guramoti</v>
      </c>
      <c r="O120" s="1" t="s">
        <v>569</v>
      </c>
      <c r="P120" s="1" t="s">
        <v>682</v>
      </c>
    </row>
    <row r="121" spans="6:16" x14ac:dyDescent="0.35">
      <c r="F121" s="1" t="str">
        <f>CONCATENATE(tblCong[[#This Row],[parishCode]],"-",tblCong[[#This Row],[kCode]])</f>
        <v>D01-S04-P01-K03</v>
      </c>
      <c r="G121" s="1" t="str">
        <f>Distrik!F$5</f>
        <v>D01</v>
      </c>
      <c r="H121" s="1" t="str">
        <f>VLOOKUP(tblCong[[#This Row],[distCode]],tblDistrict[#All],2)</f>
        <v>Kâte</v>
      </c>
      <c r="I121" s="1" t="str">
        <f>Seket!I$8</f>
        <v>S04</v>
      </c>
      <c r="J121" s="1" t="str">
        <f>CONCATENATE(tblCong[[#This Row],[distCode]],"-",tblCong[[#This Row],[sCode]])</f>
        <v>D01-S04</v>
      </c>
      <c r="K121" s="1" t="str">
        <f>VLOOKUP(tblCong[[#This Row],[seketCode]],tblSeket[#All],5,FALSE)</f>
        <v>Qembung</v>
      </c>
      <c r="L121" s="1" t="str">
        <f>Paris!L$32</f>
        <v>P01</v>
      </c>
      <c r="M121" s="1" t="str">
        <f>CONCATENATE(tblCong[[#This Row],[seketCode]],"-",tblCong[[#This Row],[pCode]])</f>
        <v>D01-S04-P01</v>
      </c>
      <c r="N121" s="1" t="str">
        <f>Paris!M$32</f>
        <v>Guramoti</v>
      </c>
      <c r="O121" s="1" t="s">
        <v>571</v>
      </c>
      <c r="P121" s="1" t="s">
        <v>683</v>
      </c>
    </row>
    <row r="122" spans="6:16" x14ac:dyDescent="0.35">
      <c r="F122" s="1" t="str">
        <f>CONCATENATE(tblCong[[#This Row],[parishCode]],"-",tblCong[[#This Row],[kCode]])</f>
        <v>D01-S04-P01-K04</v>
      </c>
      <c r="G122" s="1" t="str">
        <f>Distrik!F$5</f>
        <v>D01</v>
      </c>
      <c r="H122" s="1" t="str">
        <f>VLOOKUP(tblCong[[#This Row],[distCode]],tblDistrict[#All],2)</f>
        <v>Kâte</v>
      </c>
      <c r="I122" s="1" t="str">
        <f>Seket!I$8</f>
        <v>S04</v>
      </c>
      <c r="J122" s="1" t="str">
        <f>CONCATENATE(tblCong[[#This Row],[distCode]],"-",tblCong[[#This Row],[sCode]])</f>
        <v>D01-S04</v>
      </c>
      <c r="K122" s="1" t="str">
        <f>VLOOKUP(tblCong[[#This Row],[seketCode]],tblSeket[#All],5,FALSE)</f>
        <v>Qembung</v>
      </c>
      <c r="L122" s="1" t="str">
        <f>Paris!L$32</f>
        <v>P01</v>
      </c>
      <c r="M122" s="1" t="str">
        <f>CONCATENATE(tblCong[[#This Row],[seketCode]],"-",tblCong[[#This Row],[pCode]])</f>
        <v>D01-S04-P01</v>
      </c>
      <c r="N122" s="1" t="str">
        <f>Paris!M$32</f>
        <v>Guramoti</v>
      </c>
      <c r="O122" s="1" t="s">
        <v>573</v>
      </c>
      <c r="P122" s="1" t="s">
        <v>114</v>
      </c>
    </row>
    <row r="123" spans="6:16" x14ac:dyDescent="0.35">
      <c r="F123" s="1" t="str">
        <f>CONCATENATE(tblCong[[#This Row],[parishCode]],"-",tblCong[[#This Row],[kCode]])</f>
        <v>D01-S04-P01-K05</v>
      </c>
      <c r="G123" s="1" t="str">
        <f>Distrik!F$5</f>
        <v>D01</v>
      </c>
      <c r="H123" s="1" t="str">
        <f>VLOOKUP(tblCong[[#This Row],[distCode]],tblDistrict[#All],2)</f>
        <v>Kâte</v>
      </c>
      <c r="I123" s="1" t="str">
        <f>Seket!I$8</f>
        <v>S04</v>
      </c>
      <c r="J123" s="1" t="str">
        <f>CONCATENATE(tblCong[[#This Row],[distCode]],"-",tblCong[[#This Row],[sCode]])</f>
        <v>D01-S04</v>
      </c>
      <c r="K123" s="1" t="str">
        <f>VLOOKUP(tblCong[[#This Row],[seketCode]],tblSeket[#All],5,FALSE)</f>
        <v>Qembung</v>
      </c>
      <c r="L123" s="1" t="str">
        <f>Paris!L$32</f>
        <v>P01</v>
      </c>
      <c r="M123" s="1" t="str">
        <f>CONCATENATE(tblCong[[#This Row],[seketCode]],"-",tblCong[[#This Row],[pCode]])</f>
        <v>D01-S04-P01</v>
      </c>
      <c r="N123" s="1" t="str">
        <f>Paris!M$32</f>
        <v>Guramoti</v>
      </c>
      <c r="O123" s="1" t="s">
        <v>575</v>
      </c>
      <c r="P123" s="1" t="s">
        <v>684</v>
      </c>
    </row>
    <row r="124" spans="6:16" x14ac:dyDescent="0.35">
      <c r="F124" s="1" t="str">
        <f>CONCATENATE(tblCong[[#This Row],[parishCode]],"-",tblCong[[#This Row],[kCode]])</f>
        <v>D01-S04-P01-K06</v>
      </c>
      <c r="G124" s="1" t="str">
        <f>Distrik!F$5</f>
        <v>D01</v>
      </c>
      <c r="H124" s="1" t="str">
        <f>VLOOKUP(tblCong[[#This Row],[distCode]],tblDistrict[#All],2)</f>
        <v>Kâte</v>
      </c>
      <c r="I124" s="1" t="str">
        <f>Seket!I$8</f>
        <v>S04</v>
      </c>
      <c r="J124" s="1" t="str">
        <f>CONCATENATE(tblCong[[#This Row],[distCode]],"-",tblCong[[#This Row],[sCode]])</f>
        <v>D01-S04</v>
      </c>
      <c r="K124" s="1" t="str">
        <f>VLOOKUP(tblCong[[#This Row],[seketCode]],tblSeket[#All],5,FALSE)</f>
        <v>Qembung</v>
      </c>
      <c r="L124" s="1" t="str">
        <f>Paris!L$32</f>
        <v>P01</v>
      </c>
      <c r="M124" s="1" t="str">
        <f>CONCATENATE(tblCong[[#This Row],[seketCode]],"-",tblCong[[#This Row],[pCode]])</f>
        <v>D01-S04-P01</v>
      </c>
      <c r="N124" s="1" t="str">
        <f>Paris!M$32</f>
        <v>Guramoti</v>
      </c>
      <c r="O124" s="1" t="s">
        <v>576</v>
      </c>
      <c r="P124" s="1" t="s">
        <v>685</v>
      </c>
    </row>
    <row r="125" spans="6:16" x14ac:dyDescent="0.35">
      <c r="F125" s="1" t="str">
        <f>CONCATENATE(tblCong[[#This Row],[parishCode]],"-",tblCong[[#This Row],[kCode]])</f>
        <v>D01-S04-P02-K01</v>
      </c>
      <c r="G125" s="1" t="str">
        <f>Distrik!F$5</f>
        <v>D01</v>
      </c>
      <c r="H125" s="1" t="str">
        <f>VLOOKUP(tblCong[[#This Row],[distCode]],tblDistrict[#All],2)</f>
        <v>Kâte</v>
      </c>
      <c r="I125" s="1" t="str">
        <f>Seket!I$8</f>
        <v>S04</v>
      </c>
      <c r="J125" s="1" t="str">
        <f>CONCATENATE(tblCong[[#This Row],[distCode]],"-",tblCong[[#This Row],[sCode]])</f>
        <v>D01-S04</v>
      </c>
      <c r="K125" s="1" t="str">
        <f>VLOOKUP(tblCong[[#This Row],[seketCode]],tblSeket[#All],5,FALSE)</f>
        <v>Qembung</v>
      </c>
      <c r="L125" s="1" t="str">
        <f>Paris!L$33</f>
        <v>P02</v>
      </c>
      <c r="M125" s="1" t="str">
        <f>CONCATENATE(tblCong[[#This Row],[seketCode]],"-",tblCong[[#This Row],[pCode]])</f>
        <v>D01-S04-P02</v>
      </c>
      <c r="N125" s="1" t="str">
        <f>Paris!M$33</f>
        <v>Hamaka</v>
      </c>
      <c r="O125" s="1" t="s">
        <v>567</v>
      </c>
      <c r="P125" s="1" t="s">
        <v>686</v>
      </c>
    </row>
    <row r="126" spans="6:16" x14ac:dyDescent="0.35">
      <c r="F126" s="1" t="str">
        <f>CONCATENATE(tblCong[[#This Row],[parishCode]],"-",tblCong[[#This Row],[kCode]])</f>
        <v>D01-S04-P02-K02</v>
      </c>
      <c r="G126" s="1" t="str">
        <f>Distrik!F$5</f>
        <v>D01</v>
      </c>
      <c r="H126" s="1" t="str">
        <f>VLOOKUP(tblCong[[#This Row],[distCode]],tblDistrict[#All],2)</f>
        <v>Kâte</v>
      </c>
      <c r="I126" s="1" t="str">
        <f>Seket!I$8</f>
        <v>S04</v>
      </c>
      <c r="J126" s="1" t="str">
        <f>CONCATENATE(tblCong[[#This Row],[distCode]],"-",tblCong[[#This Row],[sCode]])</f>
        <v>D01-S04</v>
      </c>
      <c r="K126" s="1" t="str">
        <f>VLOOKUP(tblCong[[#This Row],[seketCode]],tblSeket[#All],5,FALSE)</f>
        <v>Qembung</v>
      </c>
      <c r="L126" s="1" t="str">
        <f>Paris!L$33</f>
        <v>P02</v>
      </c>
      <c r="M126" s="1" t="str">
        <f>CONCATENATE(tblCong[[#This Row],[seketCode]],"-",tblCong[[#This Row],[pCode]])</f>
        <v>D01-S04-P02</v>
      </c>
      <c r="N126" s="1" t="str">
        <f>Paris!M$33</f>
        <v>Hamaka</v>
      </c>
      <c r="O126" s="1" t="s">
        <v>569</v>
      </c>
      <c r="P126" s="1" t="s">
        <v>687</v>
      </c>
    </row>
    <row r="127" spans="6:16" x14ac:dyDescent="0.35">
      <c r="F127" s="1" t="str">
        <f>CONCATENATE(tblCong[[#This Row],[parishCode]],"-",tblCong[[#This Row],[kCode]])</f>
        <v>D01-S04-P02-K03</v>
      </c>
      <c r="G127" s="1" t="str">
        <f>Distrik!F$5</f>
        <v>D01</v>
      </c>
      <c r="H127" s="1" t="str">
        <f>VLOOKUP(tblCong[[#This Row],[distCode]],tblDistrict[#All],2)</f>
        <v>Kâte</v>
      </c>
      <c r="I127" s="1" t="str">
        <f>Seket!I$8</f>
        <v>S04</v>
      </c>
      <c r="J127" s="1" t="str">
        <f>CONCATENATE(tblCong[[#This Row],[distCode]],"-",tblCong[[#This Row],[sCode]])</f>
        <v>D01-S04</v>
      </c>
      <c r="K127" s="1" t="str">
        <f>VLOOKUP(tblCong[[#This Row],[seketCode]],tblSeket[#All],5,FALSE)</f>
        <v>Qembung</v>
      </c>
      <c r="L127" s="1" t="str">
        <f>Paris!L$33</f>
        <v>P02</v>
      </c>
      <c r="M127" s="1" t="str">
        <f>CONCATENATE(tblCong[[#This Row],[seketCode]],"-",tblCong[[#This Row],[pCode]])</f>
        <v>D01-S04-P02</v>
      </c>
      <c r="N127" s="1" t="str">
        <f>Paris!M$33</f>
        <v>Hamaka</v>
      </c>
      <c r="O127" s="1" t="s">
        <v>571</v>
      </c>
      <c r="P127" s="1" t="s">
        <v>688</v>
      </c>
    </row>
    <row r="128" spans="6:16" x14ac:dyDescent="0.35">
      <c r="F128" s="1" t="str">
        <f>CONCATENATE(tblCong[[#This Row],[parishCode]],"-",tblCong[[#This Row],[kCode]])</f>
        <v>D01-S04-P02-K04</v>
      </c>
      <c r="G128" s="1" t="str">
        <f>Distrik!F$5</f>
        <v>D01</v>
      </c>
      <c r="H128" s="1" t="str">
        <f>VLOOKUP(tblCong[[#This Row],[distCode]],tblDistrict[#All],2)</f>
        <v>Kâte</v>
      </c>
      <c r="I128" s="1" t="str">
        <f>Seket!I$8</f>
        <v>S04</v>
      </c>
      <c r="J128" s="1" t="str">
        <f>CONCATENATE(tblCong[[#This Row],[distCode]],"-",tblCong[[#This Row],[sCode]])</f>
        <v>D01-S04</v>
      </c>
      <c r="K128" s="1" t="str">
        <f>VLOOKUP(tblCong[[#This Row],[seketCode]],tblSeket[#All],5,FALSE)</f>
        <v>Qembung</v>
      </c>
      <c r="L128" s="1" t="str">
        <f>Paris!L$33</f>
        <v>P02</v>
      </c>
      <c r="M128" s="1" t="str">
        <f>CONCATENATE(tblCong[[#This Row],[seketCode]],"-",tblCong[[#This Row],[pCode]])</f>
        <v>D01-S04-P02</v>
      </c>
      <c r="N128" s="1" t="str">
        <f>Paris!M$33</f>
        <v>Hamaka</v>
      </c>
      <c r="O128" s="1" t="s">
        <v>573</v>
      </c>
      <c r="P128" s="1" t="s">
        <v>689</v>
      </c>
    </row>
    <row r="129" spans="6:16" x14ac:dyDescent="0.35">
      <c r="F129" s="1" t="str">
        <f>CONCATENATE(tblCong[[#This Row],[parishCode]],"-",tblCong[[#This Row],[kCode]])</f>
        <v>D01-S04-P02-K05</v>
      </c>
      <c r="G129" s="1" t="str">
        <f>Distrik!F$5</f>
        <v>D01</v>
      </c>
      <c r="H129" s="1" t="str">
        <f>VLOOKUP(tblCong[[#This Row],[distCode]],tblDistrict[#All],2)</f>
        <v>Kâte</v>
      </c>
      <c r="I129" s="1" t="str">
        <f>Seket!I$8</f>
        <v>S04</v>
      </c>
      <c r="J129" s="1" t="str">
        <f>CONCATENATE(tblCong[[#This Row],[distCode]],"-",tblCong[[#This Row],[sCode]])</f>
        <v>D01-S04</v>
      </c>
      <c r="K129" s="1" t="str">
        <f>VLOOKUP(tblCong[[#This Row],[seketCode]],tblSeket[#All],5,FALSE)</f>
        <v>Qembung</v>
      </c>
      <c r="L129" s="1" t="str">
        <f>Paris!L$33</f>
        <v>P02</v>
      </c>
      <c r="M129" s="1" t="str">
        <f>CONCATENATE(tblCong[[#This Row],[seketCode]],"-",tblCong[[#This Row],[pCode]])</f>
        <v>D01-S04-P02</v>
      </c>
      <c r="N129" s="1" t="str">
        <f>Paris!M$33</f>
        <v>Hamaka</v>
      </c>
      <c r="O129" s="1" t="s">
        <v>575</v>
      </c>
      <c r="P129" s="1" t="s">
        <v>690</v>
      </c>
    </row>
    <row r="130" spans="6:16" x14ac:dyDescent="0.35">
      <c r="F130" s="1" t="str">
        <f>CONCATENATE(tblCong[[#This Row],[parishCode]],"-",tblCong[[#This Row],[kCode]])</f>
        <v>D01-S04-P03-K01</v>
      </c>
      <c r="G130" s="1" t="str">
        <f>Distrik!F$5</f>
        <v>D01</v>
      </c>
      <c r="H130" s="1" t="str">
        <f>VLOOKUP(tblCong[[#This Row],[distCode]],tblDistrict[#All],2)</f>
        <v>Kâte</v>
      </c>
      <c r="I130" s="1" t="str">
        <f>Seket!I$8</f>
        <v>S04</v>
      </c>
      <c r="J130" s="1" t="str">
        <f>CONCATENATE(tblCong[[#This Row],[distCode]],"-",tblCong[[#This Row],[sCode]])</f>
        <v>D01-S04</v>
      </c>
      <c r="K130" s="1" t="str">
        <f>VLOOKUP(tblCong[[#This Row],[seketCode]],tblSeket[#All],5,FALSE)</f>
        <v>Qembung</v>
      </c>
      <c r="L130" s="1" t="str">
        <f>Paris!L$34</f>
        <v>P03</v>
      </c>
      <c r="M130" s="1" t="str">
        <f>CONCATENATE(tblCong[[#This Row],[seketCode]],"-",tblCong[[#This Row],[pCode]])</f>
        <v>D01-S04-P03</v>
      </c>
      <c r="N130" s="1" t="str">
        <f>Paris!M$34</f>
        <v>Babuso</v>
      </c>
      <c r="O130" s="1" t="s">
        <v>567</v>
      </c>
      <c r="P130" s="1" t="s">
        <v>691</v>
      </c>
    </row>
    <row r="131" spans="6:16" x14ac:dyDescent="0.35">
      <c r="F131" s="1" t="str">
        <f>CONCATENATE(tblCong[[#This Row],[parishCode]],"-",tblCong[[#This Row],[kCode]])</f>
        <v>D01-S04-P03-K02</v>
      </c>
      <c r="G131" s="1" t="str">
        <f>Distrik!F$5</f>
        <v>D01</v>
      </c>
      <c r="H131" s="1" t="str">
        <f>VLOOKUP(tblCong[[#This Row],[distCode]],tblDistrict[#All],2)</f>
        <v>Kâte</v>
      </c>
      <c r="I131" s="1" t="str">
        <f>Seket!I$8</f>
        <v>S04</v>
      </c>
      <c r="J131" s="1" t="str">
        <f>CONCATENATE(tblCong[[#This Row],[distCode]],"-",tblCong[[#This Row],[sCode]])</f>
        <v>D01-S04</v>
      </c>
      <c r="K131" s="1" t="str">
        <f>VLOOKUP(tblCong[[#This Row],[seketCode]],tblSeket[#All],5,FALSE)</f>
        <v>Qembung</v>
      </c>
      <c r="L131" s="1" t="str">
        <f>Paris!L$34</f>
        <v>P03</v>
      </c>
      <c r="M131" s="1" t="str">
        <f>CONCATENATE(tblCong[[#This Row],[seketCode]],"-",tblCong[[#This Row],[pCode]])</f>
        <v>D01-S04-P03</v>
      </c>
      <c r="N131" s="1" t="str">
        <f>Paris!M$34</f>
        <v>Babuso</v>
      </c>
      <c r="O131" s="1" t="s">
        <v>569</v>
      </c>
      <c r="P131" s="1" t="s">
        <v>692</v>
      </c>
    </row>
    <row r="132" spans="6:16" x14ac:dyDescent="0.35">
      <c r="F132" s="1" t="str">
        <f>CONCATENATE(tblCong[[#This Row],[parishCode]],"-",tblCong[[#This Row],[kCode]])</f>
        <v>D01-S04-P03-K03</v>
      </c>
      <c r="G132" s="1" t="str">
        <f>Distrik!F$5</f>
        <v>D01</v>
      </c>
      <c r="H132" s="1" t="str">
        <f>VLOOKUP(tblCong[[#This Row],[distCode]],tblDistrict[#All],2)</f>
        <v>Kâte</v>
      </c>
      <c r="I132" s="1" t="str">
        <f>Seket!I$8</f>
        <v>S04</v>
      </c>
      <c r="J132" s="1" t="str">
        <f>CONCATENATE(tblCong[[#This Row],[distCode]],"-",tblCong[[#This Row],[sCode]])</f>
        <v>D01-S04</v>
      </c>
      <c r="K132" s="1" t="str">
        <f>VLOOKUP(tblCong[[#This Row],[seketCode]],tblSeket[#All],5,FALSE)</f>
        <v>Qembung</v>
      </c>
      <c r="L132" s="1" t="str">
        <f>Paris!L$34</f>
        <v>P03</v>
      </c>
      <c r="M132" s="1" t="str">
        <f>CONCATENATE(tblCong[[#This Row],[seketCode]],"-",tblCong[[#This Row],[pCode]])</f>
        <v>D01-S04-P03</v>
      </c>
      <c r="N132" s="1" t="str">
        <f>Paris!M$34</f>
        <v>Babuso</v>
      </c>
      <c r="O132" s="1" t="s">
        <v>571</v>
      </c>
      <c r="P132" s="1" t="s">
        <v>693</v>
      </c>
    </row>
    <row r="133" spans="6:16" x14ac:dyDescent="0.35">
      <c r="F133" s="1" t="str">
        <f>CONCATENATE(tblCong[[#This Row],[parishCode]],"-",tblCong[[#This Row],[kCode]])</f>
        <v>D01-S04-P03-K04</v>
      </c>
      <c r="G133" s="1" t="str">
        <f>Distrik!F$5</f>
        <v>D01</v>
      </c>
      <c r="H133" s="1" t="str">
        <f>VLOOKUP(tblCong[[#This Row],[distCode]],tblDistrict[#All],2)</f>
        <v>Kâte</v>
      </c>
      <c r="I133" s="1" t="str">
        <f>Seket!I$8</f>
        <v>S04</v>
      </c>
      <c r="J133" s="1" t="str">
        <f>CONCATENATE(tblCong[[#This Row],[distCode]],"-",tblCong[[#This Row],[sCode]])</f>
        <v>D01-S04</v>
      </c>
      <c r="K133" s="1" t="str">
        <f>VLOOKUP(tblCong[[#This Row],[seketCode]],tblSeket[#All],5,FALSE)</f>
        <v>Qembung</v>
      </c>
      <c r="L133" s="1" t="str">
        <f>Paris!L$34</f>
        <v>P03</v>
      </c>
      <c r="M133" s="1" t="str">
        <f>CONCATENATE(tblCong[[#This Row],[seketCode]],"-",tblCong[[#This Row],[pCode]])</f>
        <v>D01-S04-P03</v>
      </c>
      <c r="N133" s="1" t="str">
        <f>Paris!M$34</f>
        <v>Babuso</v>
      </c>
      <c r="O133" s="1" t="s">
        <v>573</v>
      </c>
      <c r="P133" s="1" t="s">
        <v>694</v>
      </c>
    </row>
    <row r="134" spans="6:16" x14ac:dyDescent="0.35">
      <c r="F134" s="1" t="str">
        <f>CONCATENATE(tblCong[[#This Row],[parishCode]],"-",tblCong[[#This Row],[kCode]])</f>
        <v>D01-S04-P03-K05</v>
      </c>
      <c r="G134" s="1" t="str">
        <f>Distrik!F$5</f>
        <v>D01</v>
      </c>
      <c r="H134" s="1" t="str">
        <f>VLOOKUP(tblCong[[#This Row],[distCode]],tblDistrict[#All],2)</f>
        <v>Kâte</v>
      </c>
      <c r="I134" s="1" t="str">
        <f>Seket!I$8</f>
        <v>S04</v>
      </c>
      <c r="J134" s="1" t="str">
        <f>CONCATENATE(tblCong[[#This Row],[distCode]],"-",tblCong[[#This Row],[sCode]])</f>
        <v>D01-S04</v>
      </c>
      <c r="K134" s="1" t="str">
        <f>VLOOKUP(tblCong[[#This Row],[seketCode]],tblSeket[#All],5,FALSE)</f>
        <v>Qembung</v>
      </c>
      <c r="L134" s="1" t="str">
        <f>Paris!L$34</f>
        <v>P03</v>
      </c>
      <c r="M134" s="1" t="str">
        <f>CONCATENATE(tblCong[[#This Row],[seketCode]],"-",tblCong[[#This Row],[pCode]])</f>
        <v>D01-S04-P03</v>
      </c>
      <c r="N134" s="1" t="str">
        <f>Paris!M$34</f>
        <v>Babuso</v>
      </c>
      <c r="O134" s="1" t="s">
        <v>575</v>
      </c>
      <c r="P134" s="1" t="s">
        <v>695</v>
      </c>
    </row>
    <row r="135" spans="6:16" x14ac:dyDescent="0.35">
      <c r="F135" s="1" t="str">
        <f>CONCATENATE(tblCong[[#This Row],[parishCode]],"-",tblCong[[#This Row],[kCode]])</f>
        <v>D01-S04-P03-K06</v>
      </c>
      <c r="G135" s="1" t="str">
        <f>Distrik!F$5</f>
        <v>D01</v>
      </c>
      <c r="H135" s="1" t="str">
        <f>VLOOKUP(tblCong[[#This Row],[distCode]],tblDistrict[#All],2)</f>
        <v>Kâte</v>
      </c>
      <c r="I135" s="1" t="str">
        <f>Seket!I$8</f>
        <v>S04</v>
      </c>
      <c r="J135" s="1" t="str">
        <f>CONCATENATE(tblCong[[#This Row],[distCode]],"-",tblCong[[#This Row],[sCode]])</f>
        <v>D01-S04</v>
      </c>
      <c r="K135" s="1" t="str">
        <f>VLOOKUP(tblCong[[#This Row],[seketCode]],tblSeket[#All],5,FALSE)</f>
        <v>Qembung</v>
      </c>
      <c r="L135" s="1" t="str">
        <f>Paris!L$34</f>
        <v>P03</v>
      </c>
      <c r="M135" s="1" t="str">
        <f>CONCATENATE(tblCong[[#This Row],[seketCode]],"-",tblCong[[#This Row],[pCode]])</f>
        <v>D01-S04-P03</v>
      </c>
      <c r="N135" s="1" t="str">
        <f>Paris!M$34</f>
        <v>Babuso</v>
      </c>
      <c r="O135" s="1" t="s">
        <v>576</v>
      </c>
      <c r="P135" s="1" t="s">
        <v>696</v>
      </c>
    </row>
    <row r="136" spans="6:16" x14ac:dyDescent="0.35">
      <c r="F136" s="1" t="str">
        <f>CONCATENATE(tblCong[[#This Row],[parishCode]],"-",tblCong[[#This Row],[kCode]])</f>
        <v>D01-S04-P03-K07</v>
      </c>
      <c r="G136" s="1" t="str">
        <f>Distrik!F$5</f>
        <v>D01</v>
      </c>
      <c r="H136" s="1" t="str">
        <f>VLOOKUP(tblCong[[#This Row],[distCode]],tblDistrict[#All],2)</f>
        <v>Kâte</v>
      </c>
      <c r="I136" s="1" t="str">
        <f>Seket!I$8</f>
        <v>S04</v>
      </c>
      <c r="J136" s="1" t="str">
        <f>CONCATENATE(tblCong[[#This Row],[distCode]],"-",tblCong[[#This Row],[sCode]])</f>
        <v>D01-S04</v>
      </c>
      <c r="K136" s="1" t="str">
        <f>VLOOKUP(tblCong[[#This Row],[seketCode]],tblSeket[#All],5,FALSE)</f>
        <v>Qembung</v>
      </c>
      <c r="L136" s="1" t="str">
        <f>Paris!L$34</f>
        <v>P03</v>
      </c>
      <c r="M136" s="1" t="str">
        <f>CONCATENATE(tblCong[[#This Row],[seketCode]],"-",tblCong[[#This Row],[pCode]])</f>
        <v>D01-S04-P03</v>
      </c>
      <c r="N136" s="1" t="str">
        <f>Paris!M$34</f>
        <v>Babuso</v>
      </c>
      <c r="O136" s="1" t="s">
        <v>578</v>
      </c>
      <c r="P136" s="1" t="s">
        <v>697</v>
      </c>
    </row>
    <row r="137" spans="6:16" x14ac:dyDescent="0.35">
      <c r="F137" s="1" t="str">
        <f>CONCATENATE(tblCong[[#This Row],[parishCode]],"-",tblCong[[#This Row],[kCode]])</f>
        <v>D01-S05-P01-K01</v>
      </c>
      <c r="G137" s="1" t="str">
        <f>Distrik!F$5</f>
        <v>D01</v>
      </c>
      <c r="H137" s="1" t="str">
        <f>VLOOKUP(tblCong[[#This Row],[distCode]],tblDistrict[#All],2)</f>
        <v>Kâte</v>
      </c>
      <c r="I137" s="1" t="str">
        <f>Seket!I$9</f>
        <v>S05</v>
      </c>
      <c r="J137" s="1" t="str">
        <f>CONCATENATE(tblCong[[#This Row],[distCode]],"-",tblCong[[#This Row],[sCode]])</f>
        <v>D01-S05</v>
      </c>
      <c r="K137" s="1" t="str">
        <f>VLOOKUP(tblCong[[#This Row],[seketCode]],tblSeket[#All],5,FALSE)</f>
        <v>Hube</v>
      </c>
      <c r="L137" s="1" t="str">
        <f>Paris!L$35</f>
        <v>P01</v>
      </c>
      <c r="M137" s="1" t="str">
        <f>CONCATENATE(tblCong[[#This Row],[seketCode]],"-",tblCong[[#This Row],[pCode]])</f>
        <v>D01-S05-P01</v>
      </c>
      <c r="N137" s="1" t="str">
        <f>Paris!M$35</f>
        <v>Kulungtufu</v>
      </c>
      <c r="O137" s="1" t="s">
        <v>567</v>
      </c>
      <c r="P137" s="1" t="s">
        <v>698</v>
      </c>
    </row>
    <row r="138" spans="6:16" x14ac:dyDescent="0.35">
      <c r="F138" s="1" t="str">
        <f>CONCATENATE(tblCong[[#This Row],[parishCode]],"-",tblCong[[#This Row],[kCode]])</f>
        <v>D01-S05-P01-K02</v>
      </c>
      <c r="G138" s="1" t="str">
        <f>Distrik!F$5</f>
        <v>D01</v>
      </c>
      <c r="H138" s="1" t="str">
        <f>VLOOKUP(tblCong[[#This Row],[distCode]],tblDistrict[#All],2)</f>
        <v>Kâte</v>
      </c>
      <c r="I138" s="1" t="str">
        <f>Seket!I$9</f>
        <v>S05</v>
      </c>
      <c r="J138" s="1" t="str">
        <f>CONCATENATE(tblCong[[#This Row],[distCode]],"-",tblCong[[#This Row],[sCode]])</f>
        <v>D01-S05</v>
      </c>
      <c r="K138" s="1" t="str">
        <f>VLOOKUP(tblCong[[#This Row],[seketCode]],tblSeket[#All],5,FALSE)</f>
        <v>Hube</v>
      </c>
      <c r="L138" s="1" t="str">
        <f>Paris!L$35</f>
        <v>P01</v>
      </c>
      <c r="M138" s="1" t="str">
        <f>CONCATENATE(tblCong[[#This Row],[seketCode]],"-",tblCong[[#This Row],[pCode]])</f>
        <v>D01-S05-P01</v>
      </c>
      <c r="N138" s="1" t="str">
        <f>Paris!M$35</f>
        <v>Kulungtufu</v>
      </c>
      <c r="O138" s="1" t="s">
        <v>569</v>
      </c>
      <c r="P138" s="1" t="s">
        <v>699</v>
      </c>
    </row>
    <row r="139" spans="6:16" x14ac:dyDescent="0.35">
      <c r="F139" s="1" t="str">
        <f>CONCATENATE(tblCong[[#This Row],[parishCode]],"-",tblCong[[#This Row],[kCode]])</f>
        <v>D01-S05-P01-K03</v>
      </c>
      <c r="G139" s="1" t="str">
        <f>Distrik!F$5</f>
        <v>D01</v>
      </c>
      <c r="H139" s="1" t="str">
        <f>VLOOKUP(tblCong[[#This Row],[distCode]],tblDistrict[#All],2)</f>
        <v>Kâte</v>
      </c>
      <c r="I139" s="1" t="str">
        <f>Seket!I$9</f>
        <v>S05</v>
      </c>
      <c r="J139" s="1" t="str">
        <f>CONCATENATE(tblCong[[#This Row],[distCode]],"-",tblCong[[#This Row],[sCode]])</f>
        <v>D01-S05</v>
      </c>
      <c r="K139" s="1" t="str">
        <f>VLOOKUP(tblCong[[#This Row],[seketCode]],tblSeket[#All],5,FALSE)</f>
        <v>Hube</v>
      </c>
      <c r="L139" s="1" t="str">
        <f>Paris!L$35</f>
        <v>P01</v>
      </c>
      <c r="M139" s="1" t="str">
        <f>CONCATENATE(tblCong[[#This Row],[seketCode]],"-",tblCong[[#This Row],[pCode]])</f>
        <v>D01-S05-P01</v>
      </c>
      <c r="N139" s="1" t="str">
        <f>Paris!M$35</f>
        <v>Kulungtufu</v>
      </c>
      <c r="O139" s="1" t="s">
        <v>571</v>
      </c>
      <c r="P139" s="1" t="s">
        <v>700</v>
      </c>
    </row>
    <row r="140" spans="6:16" x14ac:dyDescent="0.35">
      <c r="F140" s="1" t="str">
        <f>CONCATENATE(tblCong[[#This Row],[parishCode]],"-",tblCong[[#This Row],[kCode]])</f>
        <v>D01-S05-P01-K04</v>
      </c>
      <c r="G140" s="1" t="str">
        <f>Distrik!F$5</f>
        <v>D01</v>
      </c>
      <c r="H140" s="1" t="str">
        <f>VLOOKUP(tblCong[[#This Row],[distCode]],tblDistrict[#All],2)</f>
        <v>Kâte</v>
      </c>
      <c r="I140" s="1" t="str">
        <f>Seket!I$9</f>
        <v>S05</v>
      </c>
      <c r="J140" s="1" t="str">
        <f>CONCATENATE(tblCong[[#This Row],[distCode]],"-",tblCong[[#This Row],[sCode]])</f>
        <v>D01-S05</v>
      </c>
      <c r="K140" s="1" t="str">
        <f>VLOOKUP(tblCong[[#This Row],[seketCode]],tblSeket[#All],5,FALSE)</f>
        <v>Hube</v>
      </c>
      <c r="L140" s="1" t="str">
        <f>Paris!L$35</f>
        <v>P01</v>
      </c>
      <c r="M140" s="1" t="str">
        <f>CONCATENATE(tblCong[[#This Row],[seketCode]],"-",tblCong[[#This Row],[pCode]])</f>
        <v>D01-S05-P01</v>
      </c>
      <c r="N140" s="1" t="str">
        <f>Paris!M$35</f>
        <v>Kulungtufu</v>
      </c>
      <c r="O140" s="1" t="s">
        <v>573</v>
      </c>
      <c r="P140" s="1" t="s">
        <v>681</v>
      </c>
    </row>
    <row r="141" spans="6:16" x14ac:dyDescent="0.35">
      <c r="F141" s="1" t="str">
        <f>CONCATENATE(tblCong[[#This Row],[parishCode]],"-",tblCong[[#This Row],[kCode]])</f>
        <v>D01-S05-P01-K05</v>
      </c>
      <c r="G141" s="1" t="str">
        <f>Distrik!F$5</f>
        <v>D01</v>
      </c>
      <c r="H141" s="1" t="str">
        <f>VLOOKUP(tblCong[[#This Row],[distCode]],tblDistrict[#All],2)</f>
        <v>Kâte</v>
      </c>
      <c r="I141" s="1" t="str">
        <f>Seket!I$9</f>
        <v>S05</v>
      </c>
      <c r="J141" s="1" t="str">
        <f>CONCATENATE(tblCong[[#This Row],[distCode]],"-",tblCong[[#This Row],[sCode]])</f>
        <v>D01-S05</v>
      </c>
      <c r="K141" s="1" t="str">
        <f>VLOOKUP(tblCong[[#This Row],[seketCode]],tblSeket[#All],5,FALSE)</f>
        <v>Hube</v>
      </c>
      <c r="L141" s="1" t="str">
        <f>Paris!L$35</f>
        <v>P01</v>
      </c>
      <c r="M141" s="1" t="str">
        <f>CONCATENATE(tblCong[[#This Row],[seketCode]],"-",tblCong[[#This Row],[pCode]])</f>
        <v>D01-S05-P01</v>
      </c>
      <c r="N141" s="1" t="str">
        <f>Paris!M$35</f>
        <v>Kulungtufu</v>
      </c>
      <c r="O141" s="1" t="s">
        <v>575</v>
      </c>
      <c r="P141" s="1" t="s">
        <v>701</v>
      </c>
    </row>
    <row r="142" spans="6:16" x14ac:dyDescent="0.35">
      <c r="F142" s="1" t="str">
        <f>CONCATENATE(tblCong[[#This Row],[parishCode]],"-",tblCong[[#This Row],[kCode]])</f>
        <v>D01-S05-P01-K06</v>
      </c>
      <c r="G142" s="1" t="str">
        <f>Distrik!F$5</f>
        <v>D01</v>
      </c>
      <c r="H142" s="1" t="str">
        <f>VLOOKUP(tblCong[[#This Row],[distCode]],tblDistrict[#All],2)</f>
        <v>Kâte</v>
      </c>
      <c r="I142" s="1" t="str">
        <f>Seket!I$9</f>
        <v>S05</v>
      </c>
      <c r="J142" s="1" t="str">
        <f>CONCATENATE(tblCong[[#This Row],[distCode]],"-",tblCong[[#This Row],[sCode]])</f>
        <v>D01-S05</v>
      </c>
      <c r="K142" s="1" t="str">
        <f>VLOOKUP(tblCong[[#This Row],[seketCode]],tblSeket[#All],5,FALSE)</f>
        <v>Hube</v>
      </c>
      <c r="L142" s="1" t="str">
        <f>Paris!L$35</f>
        <v>P01</v>
      </c>
      <c r="M142" s="1" t="str">
        <f>CONCATENATE(tblCong[[#This Row],[seketCode]],"-",tblCong[[#This Row],[pCode]])</f>
        <v>D01-S05-P01</v>
      </c>
      <c r="N142" s="1" t="str">
        <f>Paris!M$35</f>
        <v>Kulungtufu</v>
      </c>
      <c r="O142" s="1" t="s">
        <v>576</v>
      </c>
      <c r="P142" s="1" t="s">
        <v>702</v>
      </c>
    </row>
    <row r="143" spans="6:16" x14ac:dyDescent="0.35">
      <c r="F143" s="1" t="str">
        <f>CONCATENATE(tblCong[[#This Row],[parishCode]],"-",tblCong[[#This Row],[kCode]])</f>
        <v>D01-S05-P01-K07</v>
      </c>
      <c r="G143" s="1" t="str">
        <f>Distrik!F$5</f>
        <v>D01</v>
      </c>
      <c r="H143" s="1" t="str">
        <f>VLOOKUP(tblCong[[#This Row],[distCode]],tblDistrict[#All],2)</f>
        <v>Kâte</v>
      </c>
      <c r="I143" s="1" t="str">
        <f>Seket!I$9</f>
        <v>S05</v>
      </c>
      <c r="J143" s="1" t="str">
        <f>CONCATENATE(tblCong[[#This Row],[distCode]],"-",tblCong[[#This Row],[sCode]])</f>
        <v>D01-S05</v>
      </c>
      <c r="K143" s="1" t="str">
        <f>VLOOKUP(tblCong[[#This Row],[seketCode]],tblSeket[#All],5,FALSE)</f>
        <v>Hube</v>
      </c>
      <c r="L143" s="1" t="str">
        <f>Paris!L$35</f>
        <v>P01</v>
      </c>
      <c r="M143" s="1" t="str">
        <f>CONCATENATE(tblCong[[#This Row],[seketCode]],"-",tblCong[[#This Row],[pCode]])</f>
        <v>D01-S05-P01</v>
      </c>
      <c r="N143" s="1" t="str">
        <f>Paris!M$35</f>
        <v>Kulungtufu</v>
      </c>
      <c r="O143" s="1" t="s">
        <v>578</v>
      </c>
      <c r="P143" s="1" t="s">
        <v>703</v>
      </c>
    </row>
    <row r="144" spans="6:16" x14ac:dyDescent="0.35">
      <c r="F144" s="1" t="str">
        <f>CONCATENATE(tblCong[[#This Row],[parishCode]],"-",tblCong[[#This Row],[kCode]])</f>
        <v>D01-S05-P01-K08</v>
      </c>
      <c r="G144" s="1" t="str">
        <f>Distrik!F$5</f>
        <v>D01</v>
      </c>
      <c r="H144" s="1" t="str">
        <f>VLOOKUP(tblCong[[#This Row],[distCode]],tblDistrict[#All],2)</f>
        <v>Kâte</v>
      </c>
      <c r="I144" s="1" t="str">
        <f>Seket!I$9</f>
        <v>S05</v>
      </c>
      <c r="J144" s="1" t="str">
        <f>CONCATENATE(tblCong[[#This Row],[distCode]],"-",tblCong[[#This Row],[sCode]])</f>
        <v>D01-S05</v>
      </c>
      <c r="K144" s="1" t="str">
        <f>VLOOKUP(tblCong[[#This Row],[seketCode]],tblSeket[#All],5,FALSE)</f>
        <v>Hube</v>
      </c>
      <c r="L144" s="1" t="str">
        <f>Paris!L$35</f>
        <v>P01</v>
      </c>
      <c r="M144" s="1" t="str">
        <f>CONCATENATE(tblCong[[#This Row],[seketCode]],"-",tblCong[[#This Row],[pCode]])</f>
        <v>D01-S05-P01</v>
      </c>
      <c r="N144" s="1" t="str">
        <f>Paris!M$35</f>
        <v>Kulungtufu</v>
      </c>
      <c r="O144" s="1" t="s">
        <v>651</v>
      </c>
      <c r="P144" s="1" t="s">
        <v>704</v>
      </c>
    </row>
    <row r="145" spans="6:16" x14ac:dyDescent="0.35">
      <c r="F145" s="1" t="str">
        <f>CONCATENATE(tblCong[[#This Row],[parishCode]],"-",tblCong[[#This Row],[kCode]])</f>
        <v>D01-S05-P01-K09</v>
      </c>
      <c r="G145" s="1" t="str">
        <f>Distrik!F$5</f>
        <v>D01</v>
      </c>
      <c r="H145" s="1" t="str">
        <f>VLOOKUP(tblCong[[#This Row],[distCode]],tblDistrict[#All],2)</f>
        <v>Kâte</v>
      </c>
      <c r="I145" s="1" t="str">
        <f>Seket!I$9</f>
        <v>S05</v>
      </c>
      <c r="J145" s="1" t="str">
        <f>CONCATENATE(tblCong[[#This Row],[distCode]],"-",tblCong[[#This Row],[sCode]])</f>
        <v>D01-S05</v>
      </c>
      <c r="K145" s="1" t="str">
        <f>VLOOKUP(tblCong[[#This Row],[seketCode]],tblSeket[#All],5,FALSE)</f>
        <v>Hube</v>
      </c>
      <c r="L145" s="1" t="str">
        <f>Paris!L$35</f>
        <v>P01</v>
      </c>
      <c r="M145" s="1" t="str">
        <f>CONCATENATE(tblCong[[#This Row],[seketCode]],"-",tblCong[[#This Row],[pCode]])</f>
        <v>D01-S05-P01</v>
      </c>
      <c r="N145" s="1" t="str">
        <f>Paris!M$35</f>
        <v>Kulungtufu</v>
      </c>
      <c r="O145" s="1" t="s">
        <v>653</v>
      </c>
      <c r="P145" s="1" t="s">
        <v>705</v>
      </c>
    </row>
    <row r="146" spans="6:16" x14ac:dyDescent="0.35">
      <c r="F146" s="1" t="str">
        <f>CONCATENATE(tblCong[[#This Row],[parishCode]],"-",tblCong[[#This Row],[kCode]])</f>
        <v>D01-S05-P02-K01</v>
      </c>
      <c r="G146" s="1" t="str">
        <f>Distrik!F$5</f>
        <v>D01</v>
      </c>
      <c r="H146" s="1" t="str">
        <f>VLOOKUP(tblCong[[#This Row],[distCode]],tblDistrict[#All],2)</f>
        <v>Kâte</v>
      </c>
      <c r="I146" s="1" t="str">
        <f>Seket!I$9</f>
        <v>S05</v>
      </c>
      <c r="J146" s="1" t="str">
        <f>CONCATENATE(tblCong[[#This Row],[distCode]],"-",tblCong[[#This Row],[sCode]])</f>
        <v>D01-S05</v>
      </c>
      <c r="K146" s="1" t="str">
        <f>VLOOKUP(tblCong[[#This Row],[seketCode]],tblSeket[#All],5,FALSE)</f>
        <v>Hube</v>
      </c>
      <c r="L146" s="1" t="str">
        <f>Paris!L$36</f>
        <v>P02</v>
      </c>
      <c r="M146" s="1" t="str">
        <f>CONCATENATE(tblCong[[#This Row],[seketCode]],"-",tblCong[[#This Row],[pCode]])</f>
        <v>D01-S05-P02</v>
      </c>
      <c r="N146" s="1" t="str">
        <f>Paris!M$36</f>
        <v>Joangeng</v>
      </c>
      <c r="O146" s="1" t="s">
        <v>567</v>
      </c>
      <c r="P146" s="1" t="s">
        <v>706</v>
      </c>
    </row>
    <row r="147" spans="6:16" x14ac:dyDescent="0.35">
      <c r="F147" s="1" t="str">
        <f>CONCATENATE(tblCong[[#This Row],[parishCode]],"-",tblCong[[#This Row],[kCode]])</f>
        <v>D01-S05-P02-K02</v>
      </c>
      <c r="G147" s="1" t="str">
        <f>Distrik!F$5</f>
        <v>D01</v>
      </c>
      <c r="H147" s="1" t="str">
        <f>VLOOKUP(tblCong[[#This Row],[distCode]],tblDistrict[#All],2)</f>
        <v>Kâte</v>
      </c>
      <c r="I147" s="1" t="str">
        <f>Seket!I$9</f>
        <v>S05</v>
      </c>
      <c r="J147" s="1" t="str">
        <f>CONCATENATE(tblCong[[#This Row],[distCode]],"-",tblCong[[#This Row],[sCode]])</f>
        <v>D01-S05</v>
      </c>
      <c r="K147" s="1" t="str">
        <f>VLOOKUP(tblCong[[#This Row],[seketCode]],tblSeket[#All],5,FALSE)</f>
        <v>Hube</v>
      </c>
      <c r="L147" s="1" t="str">
        <f>Paris!L$36</f>
        <v>P02</v>
      </c>
      <c r="M147" s="1" t="str">
        <f>CONCATENATE(tblCong[[#This Row],[seketCode]],"-",tblCong[[#This Row],[pCode]])</f>
        <v>D01-S05-P02</v>
      </c>
      <c r="N147" s="1" t="str">
        <f>Paris!M$36</f>
        <v>Joangeng</v>
      </c>
      <c r="O147" s="1" t="s">
        <v>569</v>
      </c>
      <c r="P147" s="1" t="s">
        <v>707</v>
      </c>
    </row>
    <row r="148" spans="6:16" x14ac:dyDescent="0.35">
      <c r="F148" s="1" t="str">
        <f>CONCATENATE(tblCong[[#This Row],[parishCode]],"-",tblCong[[#This Row],[kCode]])</f>
        <v>D01-S05-P02-K03</v>
      </c>
      <c r="G148" s="1" t="str">
        <f>Distrik!F$5</f>
        <v>D01</v>
      </c>
      <c r="H148" s="1" t="str">
        <f>VLOOKUP(tblCong[[#This Row],[distCode]],tblDistrict[#All],2)</f>
        <v>Kâte</v>
      </c>
      <c r="I148" s="1" t="str">
        <f>Seket!I$9</f>
        <v>S05</v>
      </c>
      <c r="J148" s="1" t="str">
        <f>CONCATENATE(tblCong[[#This Row],[distCode]],"-",tblCong[[#This Row],[sCode]])</f>
        <v>D01-S05</v>
      </c>
      <c r="K148" s="1" t="str">
        <f>VLOOKUP(tblCong[[#This Row],[seketCode]],tblSeket[#All],5,FALSE)</f>
        <v>Hube</v>
      </c>
      <c r="L148" s="1" t="str">
        <f>Paris!L$36</f>
        <v>P02</v>
      </c>
      <c r="M148" s="1" t="str">
        <f>CONCATENATE(tblCong[[#This Row],[seketCode]],"-",tblCong[[#This Row],[pCode]])</f>
        <v>D01-S05-P02</v>
      </c>
      <c r="N148" s="1" t="str">
        <f>Paris!M$36</f>
        <v>Joangeng</v>
      </c>
      <c r="O148" s="1" t="s">
        <v>571</v>
      </c>
      <c r="P148" s="1" t="s">
        <v>708</v>
      </c>
    </row>
    <row r="149" spans="6:16" x14ac:dyDescent="0.35">
      <c r="F149" s="1" t="str">
        <f>CONCATENATE(tblCong[[#This Row],[parishCode]],"-",tblCong[[#This Row],[kCode]])</f>
        <v>D01-S05-P02-K04</v>
      </c>
      <c r="G149" s="1" t="str">
        <f>Distrik!F$5</f>
        <v>D01</v>
      </c>
      <c r="H149" s="1" t="str">
        <f>VLOOKUP(tblCong[[#This Row],[distCode]],tblDistrict[#All],2)</f>
        <v>Kâte</v>
      </c>
      <c r="I149" s="1" t="str">
        <f>Seket!I$9</f>
        <v>S05</v>
      </c>
      <c r="J149" s="1" t="str">
        <f>CONCATENATE(tblCong[[#This Row],[distCode]],"-",tblCong[[#This Row],[sCode]])</f>
        <v>D01-S05</v>
      </c>
      <c r="K149" s="1" t="str">
        <f>VLOOKUP(tblCong[[#This Row],[seketCode]],tblSeket[#All],5,FALSE)</f>
        <v>Hube</v>
      </c>
      <c r="L149" s="1" t="str">
        <f>Paris!L$36</f>
        <v>P02</v>
      </c>
      <c r="M149" s="1" t="str">
        <f>CONCATENATE(tblCong[[#This Row],[seketCode]],"-",tblCong[[#This Row],[pCode]])</f>
        <v>D01-S05-P02</v>
      </c>
      <c r="N149" s="1" t="str">
        <f>Paris!M$36</f>
        <v>Joangeng</v>
      </c>
      <c r="O149" s="1" t="s">
        <v>573</v>
      </c>
      <c r="P149" s="1" t="s">
        <v>709</v>
      </c>
    </row>
    <row r="150" spans="6:16" x14ac:dyDescent="0.35">
      <c r="F150" s="1" t="str">
        <f>CONCATENATE(tblCong[[#This Row],[parishCode]],"-",tblCong[[#This Row],[kCode]])</f>
        <v>D01-S05-P02-K05</v>
      </c>
      <c r="G150" s="1" t="str">
        <f>Distrik!F$5</f>
        <v>D01</v>
      </c>
      <c r="H150" s="1" t="str">
        <f>VLOOKUP(tblCong[[#This Row],[distCode]],tblDistrict[#All],2)</f>
        <v>Kâte</v>
      </c>
      <c r="I150" s="1" t="str">
        <f>Seket!I$9</f>
        <v>S05</v>
      </c>
      <c r="J150" s="1" t="str">
        <f>CONCATENATE(tblCong[[#This Row],[distCode]],"-",tblCong[[#This Row],[sCode]])</f>
        <v>D01-S05</v>
      </c>
      <c r="K150" s="1" t="str">
        <f>VLOOKUP(tblCong[[#This Row],[seketCode]],tblSeket[#All],5,FALSE)</f>
        <v>Hube</v>
      </c>
      <c r="L150" s="1" t="str">
        <f>Paris!L$36</f>
        <v>P02</v>
      </c>
      <c r="M150" s="1" t="str">
        <f>CONCATENATE(tblCong[[#This Row],[seketCode]],"-",tblCong[[#This Row],[pCode]])</f>
        <v>D01-S05-P02</v>
      </c>
      <c r="N150" s="1" t="str">
        <f>Paris!M$36</f>
        <v>Joangeng</v>
      </c>
      <c r="O150" s="1" t="s">
        <v>575</v>
      </c>
      <c r="P150" s="1" t="s">
        <v>710</v>
      </c>
    </row>
    <row r="151" spans="6:16" x14ac:dyDescent="0.35">
      <c r="F151" s="1" t="str">
        <f>CONCATENATE(tblCong[[#This Row],[parishCode]],"-",tblCong[[#This Row],[kCode]])</f>
        <v>D01-S05-P02-K06</v>
      </c>
      <c r="G151" s="1" t="str">
        <f>Distrik!F$5</f>
        <v>D01</v>
      </c>
      <c r="H151" s="1" t="str">
        <f>VLOOKUP(tblCong[[#This Row],[distCode]],tblDistrict[#All],2)</f>
        <v>Kâte</v>
      </c>
      <c r="I151" s="1" t="str">
        <f>Seket!I$9</f>
        <v>S05</v>
      </c>
      <c r="J151" s="1" t="str">
        <f>CONCATENATE(tblCong[[#This Row],[distCode]],"-",tblCong[[#This Row],[sCode]])</f>
        <v>D01-S05</v>
      </c>
      <c r="K151" s="1" t="str">
        <f>VLOOKUP(tblCong[[#This Row],[seketCode]],tblSeket[#All],5,FALSE)</f>
        <v>Hube</v>
      </c>
      <c r="L151" s="1" t="str">
        <f>Paris!L$36</f>
        <v>P02</v>
      </c>
      <c r="M151" s="1" t="str">
        <f>CONCATENATE(tblCong[[#This Row],[seketCode]],"-",tblCong[[#This Row],[pCode]])</f>
        <v>D01-S05-P02</v>
      </c>
      <c r="N151" s="1" t="str">
        <f>Paris!M$36</f>
        <v>Joangeng</v>
      </c>
      <c r="O151" s="1" t="s">
        <v>576</v>
      </c>
      <c r="P151" s="1" t="s">
        <v>711</v>
      </c>
    </row>
    <row r="152" spans="6:16" x14ac:dyDescent="0.35">
      <c r="F152" s="1" t="str">
        <f>CONCATENATE(tblCong[[#This Row],[parishCode]],"-",tblCong[[#This Row],[kCode]])</f>
        <v>D01-S05-P02-K07</v>
      </c>
      <c r="G152" s="1" t="str">
        <f>Distrik!F$5</f>
        <v>D01</v>
      </c>
      <c r="H152" s="1" t="str">
        <f>VLOOKUP(tblCong[[#This Row],[distCode]],tblDistrict[#All],2)</f>
        <v>Kâte</v>
      </c>
      <c r="I152" s="1" t="str">
        <f>Seket!I$9</f>
        <v>S05</v>
      </c>
      <c r="J152" s="1" t="str">
        <f>CONCATENATE(tblCong[[#This Row],[distCode]],"-",tblCong[[#This Row],[sCode]])</f>
        <v>D01-S05</v>
      </c>
      <c r="K152" s="1" t="str">
        <f>VLOOKUP(tblCong[[#This Row],[seketCode]],tblSeket[#All],5,FALSE)</f>
        <v>Hube</v>
      </c>
      <c r="L152" s="1" t="str">
        <f>Paris!L$36</f>
        <v>P02</v>
      </c>
      <c r="M152" s="1" t="str">
        <f>CONCATENATE(tblCong[[#This Row],[seketCode]],"-",tblCong[[#This Row],[pCode]])</f>
        <v>D01-S05-P02</v>
      </c>
      <c r="N152" s="1" t="str">
        <f>Paris!M$36</f>
        <v>Joangeng</v>
      </c>
      <c r="O152" s="1" t="s">
        <v>578</v>
      </c>
      <c r="P152" s="1" t="s">
        <v>712</v>
      </c>
    </row>
    <row r="153" spans="6:16" x14ac:dyDescent="0.35">
      <c r="F153" s="1" t="str">
        <f>CONCATENATE(tblCong[[#This Row],[parishCode]],"-",tblCong[[#This Row],[kCode]])</f>
        <v>D01-S05-P03-K01</v>
      </c>
      <c r="G153" s="1" t="str">
        <f>Distrik!F$5</f>
        <v>D01</v>
      </c>
      <c r="H153" s="1" t="str">
        <f>VLOOKUP(tblCong[[#This Row],[distCode]],tblDistrict[#All],2)</f>
        <v>Kâte</v>
      </c>
      <c r="I153" s="1" t="str">
        <f>Seket!I$9</f>
        <v>S05</v>
      </c>
      <c r="J153" s="1" t="str">
        <f>CONCATENATE(tblCong[[#This Row],[distCode]],"-",tblCong[[#This Row],[sCode]])</f>
        <v>D01-S05</v>
      </c>
      <c r="K153" s="1" t="str">
        <f>VLOOKUP(tblCong[[#This Row],[seketCode]],tblSeket[#All],5,FALSE)</f>
        <v>Hube</v>
      </c>
      <c r="L153" s="1" t="str">
        <f>Paris!L$37</f>
        <v>P03</v>
      </c>
      <c r="M153" s="1" t="str">
        <f>CONCATENATE(tblCong[[#This Row],[seketCode]],"-",tblCong[[#This Row],[pCode]])</f>
        <v>D01-S05-P03</v>
      </c>
      <c r="N153" s="1" t="str">
        <f>Paris!M$37</f>
        <v>Kuma</v>
      </c>
      <c r="O153" s="1" t="s">
        <v>567</v>
      </c>
      <c r="P153" s="1" t="s">
        <v>713</v>
      </c>
    </row>
    <row r="154" spans="6:16" x14ac:dyDescent="0.35">
      <c r="F154" s="1" t="str">
        <f>CONCATENATE(tblCong[[#This Row],[parishCode]],"-",tblCong[[#This Row],[kCode]])</f>
        <v>D01-S05-P03-K02</v>
      </c>
      <c r="G154" s="1" t="str">
        <f>Distrik!F$5</f>
        <v>D01</v>
      </c>
      <c r="H154" s="1" t="str">
        <f>VLOOKUP(tblCong[[#This Row],[distCode]],tblDistrict[#All],2)</f>
        <v>Kâte</v>
      </c>
      <c r="I154" s="1" t="str">
        <f>Seket!I$9</f>
        <v>S05</v>
      </c>
      <c r="J154" s="1" t="str">
        <f>CONCATENATE(tblCong[[#This Row],[distCode]],"-",tblCong[[#This Row],[sCode]])</f>
        <v>D01-S05</v>
      </c>
      <c r="K154" s="1" t="str">
        <f>VLOOKUP(tblCong[[#This Row],[seketCode]],tblSeket[#All],5,FALSE)</f>
        <v>Hube</v>
      </c>
      <c r="L154" s="1" t="str">
        <f>Paris!L$37</f>
        <v>P03</v>
      </c>
      <c r="M154" s="1" t="str">
        <f>CONCATENATE(tblCong[[#This Row],[seketCode]],"-",tblCong[[#This Row],[pCode]])</f>
        <v>D01-S05-P03</v>
      </c>
      <c r="N154" s="1" t="str">
        <f>Paris!M$37</f>
        <v>Kuma</v>
      </c>
      <c r="O154" s="1" t="s">
        <v>569</v>
      </c>
      <c r="P154" s="1" t="s">
        <v>714</v>
      </c>
    </row>
    <row r="155" spans="6:16" x14ac:dyDescent="0.35">
      <c r="F155" s="1" t="str">
        <f>CONCATENATE(tblCong[[#This Row],[parishCode]],"-",tblCong[[#This Row],[kCode]])</f>
        <v>D01-S05-P03-K03</v>
      </c>
      <c r="G155" s="1" t="str">
        <f>Distrik!F$5</f>
        <v>D01</v>
      </c>
      <c r="H155" s="1" t="str">
        <f>VLOOKUP(tblCong[[#This Row],[distCode]],tblDistrict[#All],2)</f>
        <v>Kâte</v>
      </c>
      <c r="I155" s="1" t="str">
        <f>Seket!I$9</f>
        <v>S05</v>
      </c>
      <c r="J155" s="1" t="str">
        <f>CONCATENATE(tblCong[[#This Row],[distCode]],"-",tblCong[[#This Row],[sCode]])</f>
        <v>D01-S05</v>
      </c>
      <c r="K155" s="1" t="str">
        <f>VLOOKUP(tblCong[[#This Row],[seketCode]],tblSeket[#All],5,FALSE)</f>
        <v>Hube</v>
      </c>
      <c r="L155" s="1" t="str">
        <f>Paris!L$37</f>
        <v>P03</v>
      </c>
      <c r="M155" s="1" t="str">
        <f>CONCATENATE(tblCong[[#This Row],[seketCode]],"-",tblCong[[#This Row],[pCode]])</f>
        <v>D01-S05-P03</v>
      </c>
      <c r="N155" s="1" t="str">
        <f>Paris!M$37</f>
        <v>Kuma</v>
      </c>
      <c r="O155" s="1" t="s">
        <v>571</v>
      </c>
      <c r="P155" s="1" t="s">
        <v>715</v>
      </c>
    </row>
    <row r="156" spans="6:16" x14ac:dyDescent="0.35">
      <c r="F156" s="1" t="str">
        <f>CONCATENATE(tblCong[[#This Row],[parishCode]],"-",tblCong[[#This Row],[kCode]])</f>
        <v>D01-S05-P03-K04</v>
      </c>
      <c r="G156" s="1" t="str">
        <f>Distrik!F$5</f>
        <v>D01</v>
      </c>
      <c r="H156" s="1" t="str">
        <f>VLOOKUP(tblCong[[#This Row],[distCode]],tblDistrict[#All],2)</f>
        <v>Kâte</v>
      </c>
      <c r="I156" s="1" t="str">
        <f>Seket!I$9</f>
        <v>S05</v>
      </c>
      <c r="J156" s="1" t="str">
        <f>CONCATENATE(tblCong[[#This Row],[distCode]],"-",tblCong[[#This Row],[sCode]])</f>
        <v>D01-S05</v>
      </c>
      <c r="K156" s="1" t="str">
        <f>VLOOKUP(tblCong[[#This Row],[seketCode]],tblSeket[#All],5,FALSE)</f>
        <v>Hube</v>
      </c>
      <c r="L156" s="1" t="str">
        <f>Paris!L$37</f>
        <v>P03</v>
      </c>
      <c r="M156" s="1" t="str">
        <f>CONCATENATE(tblCong[[#This Row],[seketCode]],"-",tblCong[[#This Row],[pCode]])</f>
        <v>D01-S05-P03</v>
      </c>
      <c r="N156" s="1" t="str">
        <f>Paris!M$37</f>
        <v>Kuma</v>
      </c>
      <c r="O156" s="1" t="s">
        <v>573</v>
      </c>
      <c r="P156" s="1" t="s">
        <v>716</v>
      </c>
    </row>
    <row r="157" spans="6:16" x14ac:dyDescent="0.35">
      <c r="F157" s="1" t="str">
        <f>CONCATENATE(tblCong[[#This Row],[parishCode]],"-",tblCong[[#This Row],[kCode]])</f>
        <v>D01-S05-P03-K05</v>
      </c>
      <c r="G157" s="1" t="str">
        <f>Distrik!F$5</f>
        <v>D01</v>
      </c>
      <c r="H157" s="1" t="str">
        <f>VLOOKUP(tblCong[[#This Row],[distCode]],tblDistrict[#All],2)</f>
        <v>Kâte</v>
      </c>
      <c r="I157" s="1" t="str">
        <f>Seket!I$9</f>
        <v>S05</v>
      </c>
      <c r="J157" s="1" t="str">
        <f>CONCATENATE(tblCong[[#This Row],[distCode]],"-",tblCong[[#This Row],[sCode]])</f>
        <v>D01-S05</v>
      </c>
      <c r="K157" s="1" t="str">
        <f>VLOOKUP(tblCong[[#This Row],[seketCode]],tblSeket[#All],5,FALSE)</f>
        <v>Hube</v>
      </c>
      <c r="L157" s="1" t="str">
        <f>Paris!L$37</f>
        <v>P03</v>
      </c>
      <c r="M157" s="1" t="str">
        <f>CONCATENATE(tblCong[[#This Row],[seketCode]],"-",tblCong[[#This Row],[pCode]])</f>
        <v>D01-S05-P03</v>
      </c>
      <c r="N157" s="1" t="str">
        <f>Paris!M$37</f>
        <v>Kuma</v>
      </c>
      <c r="O157" s="1" t="s">
        <v>575</v>
      </c>
      <c r="P157" s="1" t="s">
        <v>717</v>
      </c>
    </row>
    <row r="158" spans="6:16" x14ac:dyDescent="0.35">
      <c r="F158" s="1" t="str">
        <f>CONCATENATE(tblCong[[#This Row],[parishCode]],"-",tblCong[[#This Row],[kCode]])</f>
        <v>D01-S05-P03-K06</v>
      </c>
      <c r="G158" s="1" t="str">
        <f>Distrik!F$5</f>
        <v>D01</v>
      </c>
      <c r="H158" s="1" t="str">
        <f>VLOOKUP(tblCong[[#This Row],[distCode]],tblDistrict[#All],2)</f>
        <v>Kâte</v>
      </c>
      <c r="I158" s="1" t="str">
        <f>Seket!I$9</f>
        <v>S05</v>
      </c>
      <c r="J158" s="1" t="str">
        <f>CONCATENATE(tblCong[[#This Row],[distCode]],"-",tblCong[[#This Row],[sCode]])</f>
        <v>D01-S05</v>
      </c>
      <c r="K158" s="1" t="str">
        <f>VLOOKUP(tblCong[[#This Row],[seketCode]],tblSeket[#All],5,FALSE)</f>
        <v>Hube</v>
      </c>
      <c r="L158" s="1" t="str">
        <f>Paris!L$37</f>
        <v>P03</v>
      </c>
      <c r="M158" s="1" t="str">
        <f>CONCATENATE(tblCong[[#This Row],[seketCode]],"-",tblCong[[#This Row],[pCode]])</f>
        <v>D01-S05-P03</v>
      </c>
      <c r="N158" s="1" t="str">
        <f>Paris!M$37</f>
        <v>Kuma</v>
      </c>
      <c r="O158" s="1" t="s">
        <v>576</v>
      </c>
      <c r="P158" s="1" t="s">
        <v>718</v>
      </c>
    </row>
    <row r="159" spans="6:16" x14ac:dyDescent="0.35">
      <c r="F159" s="1" t="str">
        <f>CONCATENATE(tblCong[[#This Row],[parishCode]],"-",tblCong[[#This Row],[kCode]])</f>
        <v>D01-S05-P03-K07</v>
      </c>
      <c r="G159" s="1" t="str">
        <f>Distrik!F$5</f>
        <v>D01</v>
      </c>
      <c r="H159" s="1" t="str">
        <f>VLOOKUP(tblCong[[#This Row],[distCode]],tblDistrict[#All],2)</f>
        <v>Kâte</v>
      </c>
      <c r="I159" s="1" t="str">
        <f>Seket!I$9</f>
        <v>S05</v>
      </c>
      <c r="J159" s="1" t="str">
        <f>CONCATENATE(tblCong[[#This Row],[distCode]],"-",tblCong[[#This Row],[sCode]])</f>
        <v>D01-S05</v>
      </c>
      <c r="K159" s="1" t="str">
        <f>VLOOKUP(tblCong[[#This Row],[seketCode]],tblSeket[#All],5,FALSE)</f>
        <v>Hube</v>
      </c>
      <c r="L159" s="1" t="str">
        <f>Paris!L$37</f>
        <v>P03</v>
      </c>
      <c r="M159" s="1" t="str">
        <f>CONCATENATE(tblCong[[#This Row],[seketCode]],"-",tblCong[[#This Row],[pCode]])</f>
        <v>D01-S05-P03</v>
      </c>
      <c r="N159" s="1" t="str">
        <f>Paris!M$37</f>
        <v>Kuma</v>
      </c>
      <c r="O159" s="1" t="s">
        <v>578</v>
      </c>
      <c r="P159" s="1" t="s">
        <v>719</v>
      </c>
    </row>
    <row r="160" spans="6:16" x14ac:dyDescent="0.35">
      <c r="F160" s="1" t="str">
        <f>CONCATENATE(tblCong[[#This Row],[parishCode]],"-",tblCong[[#This Row],[kCode]])</f>
        <v>D01-S05-P04-K01</v>
      </c>
      <c r="G160" s="1" t="str">
        <f>Distrik!F$5</f>
        <v>D01</v>
      </c>
      <c r="H160" s="1" t="str">
        <f>VLOOKUP(tblCong[[#This Row],[distCode]],tblDistrict[#All],2)</f>
        <v>Kâte</v>
      </c>
      <c r="I160" s="1" t="str">
        <f>Seket!I$9</f>
        <v>S05</v>
      </c>
      <c r="J160" s="1" t="str">
        <f>CONCATENATE(tblCong[[#This Row],[distCode]],"-",tblCong[[#This Row],[sCode]])</f>
        <v>D01-S05</v>
      </c>
      <c r="K160" s="1" t="str">
        <f>VLOOKUP(tblCong[[#This Row],[seketCode]],tblSeket[#All],5,FALSE)</f>
        <v>Hube</v>
      </c>
      <c r="L160" s="1" t="str">
        <f>Paris!L$38</f>
        <v>P04</v>
      </c>
      <c r="M160" s="1" t="str">
        <f>CONCATENATE(tblCong[[#This Row],[seketCode]],"-",tblCong[[#This Row],[pCode]])</f>
        <v>D01-S05-P04</v>
      </c>
      <c r="N160" s="1" t="str">
        <f>Paris!M$38</f>
        <v>Dopi</v>
      </c>
      <c r="O160" s="1" t="s">
        <v>567</v>
      </c>
      <c r="P160" s="1" t="s">
        <v>570</v>
      </c>
    </row>
    <row r="161" spans="6:16" x14ac:dyDescent="0.35">
      <c r="F161" s="1" t="str">
        <f>CONCATENATE(tblCong[[#This Row],[parishCode]],"-",tblCong[[#This Row],[kCode]])</f>
        <v>D01-S05-P04-K02</v>
      </c>
      <c r="G161" s="1" t="str">
        <f>Distrik!F$5</f>
        <v>D01</v>
      </c>
      <c r="H161" s="1" t="str">
        <f>VLOOKUP(tblCong[[#This Row],[distCode]],tblDistrict[#All],2)</f>
        <v>Kâte</v>
      </c>
      <c r="I161" s="1" t="str">
        <f>Seket!I$9</f>
        <v>S05</v>
      </c>
      <c r="J161" s="1" t="str">
        <f>CONCATENATE(tblCong[[#This Row],[distCode]],"-",tblCong[[#This Row],[sCode]])</f>
        <v>D01-S05</v>
      </c>
      <c r="K161" s="1" t="str">
        <f>VLOOKUP(tblCong[[#This Row],[seketCode]],tblSeket[#All],5,FALSE)</f>
        <v>Hube</v>
      </c>
      <c r="L161" s="1" t="str">
        <f>Paris!L$38</f>
        <v>P04</v>
      </c>
      <c r="M161" s="1" t="str">
        <f>CONCATENATE(tblCong[[#This Row],[seketCode]],"-",tblCong[[#This Row],[pCode]])</f>
        <v>D01-S05-P04</v>
      </c>
      <c r="N161" s="1" t="str">
        <f>Paris!M$38</f>
        <v>Dopi</v>
      </c>
      <c r="O161" s="1" t="s">
        <v>569</v>
      </c>
      <c r="P161" s="1" t="s">
        <v>720</v>
      </c>
    </row>
    <row r="162" spans="6:16" x14ac:dyDescent="0.35">
      <c r="F162" s="1" t="str">
        <f>CONCATENATE(tblCong[[#This Row],[parishCode]],"-",tblCong[[#This Row],[kCode]])</f>
        <v>D01-S05-P04-K03</v>
      </c>
      <c r="G162" s="1" t="str">
        <f>Distrik!F$5</f>
        <v>D01</v>
      </c>
      <c r="H162" s="1" t="str">
        <f>VLOOKUP(tblCong[[#This Row],[distCode]],tblDistrict[#All],2)</f>
        <v>Kâte</v>
      </c>
      <c r="I162" s="1" t="str">
        <f>Seket!I$9</f>
        <v>S05</v>
      </c>
      <c r="J162" s="1" t="str">
        <f>CONCATENATE(tblCong[[#This Row],[distCode]],"-",tblCong[[#This Row],[sCode]])</f>
        <v>D01-S05</v>
      </c>
      <c r="K162" s="1" t="str">
        <f>VLOOKUP(tblCong[[#This Row],[seketCode]],tblSeket[#All],5,FALSE)</f>
        <v>Hube</v>
      </c>
      <c r="L162" s="1" t="str">
        <f>Paris!L$38</f>
        <v>P04</v>
      </c>
      <c r="M162" s="1" t="str">
        <f>CONCATENATE(tblCong[[#This Row],[seketCode]],"-",tblCong[[#This Row],[pCode]])</f>
        <v>D01-S05-P04</v>
      </c>
      <c r="N162" s="1" t="str">
        <f>Paris!M$38</f>
        <v>Dopi</v>
      </c>
      <c r="O162" s="1" t="s">
        <v>571</v>
      </c>
      <c r="P162" s="1" t="s">
        <v>721</v>
      </c>
    </row>
    <row r="163" spans="6:16" x14ac:dyDescent="0.35">
      <c r="F163" s="1" t="str">
        <f>CONCATENATE(tblCong[[#This Row],[parishCode]],"-",tblCong[[#This Row],[kCode]])</f>
        <v>D01-S05-P04-K04</v>
      </c>
      <c r="G163" s="1" t="str">
        <f>Distrik!F$5</f>
        <v>D01</v>
      </c>
      <c r="H163" s="1" t="str">
        <f>VLOOKUP(tblCong[[#This Row],[distCode]],tblDistrict[#All],2)</f>
        <v>Kâte</v>
      </c>
      <c r="I163" s="1" t="str">
        <f>Seket!I$9</f>
        <v>S05</v>
      </c>
      <c r="J163" s="1" t="str">
        <f>CONCATENATE(tblCong[[#This Row],[distCode]],"-",tblCong[[#This Row],[sCode]])</f>
        <v>D01-S05</v>
      </c>
      <c r="K163" s="1" t="str">
        <f>VLOOKUP(tblCong[[#This Row],[seketCode]],tblSeket[#All],5,FALSE)</f>
        <v>Hube</v>
      </c>
      <c r="L163" s="1" t="str">
        <f>Paris!L$38</f>
        <v>P04</v>
      </c>
      <c r="M163" s="1" t="str">
        <f>CONCATENATE(tblCong[[#This Row],[seketCode]],"-",tblCong[[#This Row],[pCode]])</f>
        <v>D01-S05-P04</v>
      </c>
      <c r="N163" s="1" t="str">
        <f>Paris!M$38</f>
        <v>Dopi</v>
      </c>
      <c r="O163" s="1" t="s">
        <v>573</v>
      </c>
      <c r="P163" s="1" t="s">
        <v>722</v>
      </c>
    </row>
    <row r="164" spans="6:16" x14ac:dyDescent="0.35">
      <c r="F164" s="1" t="str">
        <f>CONCATENATE(tblCong[[#This Row],[parishCode]],"-",tblCong[[#This Row],[kCode]])</f>
        <v>D01-S05-P04-K05</v>
      </c>
      <c r="G164" s="1" t="str">
        <f>Distrik!F$5</f>
        <v>D01</v>
      </c>
      <c r="H164" s="1" t="str">
        <f>VLOOKUP(tblCong[[#This Row],[distCode]],tblDistrict[#All],2)</f>
        <v>Kâte</v>
      </c>
      <c r="I164" s="1" t="str">
        <f>Seket!I$9</f>
        <v>S05</v>
      </c>
      <c r="J164" s="1" t="str">
        <f>CONCATENATE(tblCong[[#This Row],[distCode]],"-",tblCong[[#This Row],[sCode]])</f>
        <v>D01-S05</v>
      </c>
      <c r="K164" s="1" t="str">
        <f>VLOOKUP(tblCong[[#This Row],[seketCode]],tblSeket[#All],5,FALSE)</f>
        <v>Hube</v>
      </c>
      <c r="L164" s="1" t="str">
        <f>Paris!L$38</f>
        <v>P04</v>
      </c>
      <c r="M164" s="1" t="str">
        <f>CONCATENATE(tblCong[[#This Row],[seketCode]],"-",tblCong[[#This Row],[pCode]])</f>
        <v>D01-S05-P04</v>
      </c>
      <c r="N164" s="1" t="str">
        <f>Paris!M$38</f>
        <v>Dopi</v>
      </c>
      <c r="O164" s="1" t="s">
        <v>575</v>
      </c>
      <c r="P164" s="1" t="s">
        <v>723</v>
      </c>
    </row>
    <row r="165" spans="6:16" x14ac:dyDescent="0.35">
      <c r="F165" s="1" t="str">
        <f>CONCATENATE(tblCong[[#This Row],[parishCode]],"-",tblCong[[#This Row],[kCode]])</f>
        <v>D01-S05-P04-K06</v>
      </c>
      <c r="G165" s="1" t="str">
        <f>Distrik!F$5</f>
        <v>D01</v>
      </c>
      <c r="H165" s="1" t="str">
        <f>VLOOKUP(tblCong[[#This Row],[distCode]],tblDistrict[#All],2)</f>
        <v>Kâte</v>
      </c>
      <c r="I165" s="1" t="str">
        <f>Seket!I$9</f>
        <v>S05</v>
      </c>
      <c r="J165" s="1" t="str">
        <f>CONCATENATE(tblCong[[#This Row],[distCode]],"-",tblCong[[#This Row],[sCode]])</f>
        <v>D01-S05</v>
      </c>
      <c r="K165" s="1" t="str">
        <f>VLOOKUP(tblCong[[#This Row],[seketCode]],tblSeket[#All],5,FALSE)</f>
        <v>Hube</v>
      </c>
      <c r="L165" s="1" t="str">
        <f>Paris!L$38</f>
        <v>P04</v>
      </c>
      <c r="M165" s="1" t="str">
        <f>CONCATENATE(tblCong[[#This Row],[seketCode]],"-",tblCong[[#This Row],[pCode]])</f>
        <v>D01-S05-P04</v>
      </c>
      <c r="N165" s="1" t="str">
        <f>Paris!M$38</f>
        <v>Dopi</v>
      </c>
      <c r="O165" s="1" t="s">
        <v>576</v>
      </c>
      <c r="P165" s="1" t="s">
        <v>724</v>
      </c>
    </row>
    <row r="166" spans="6:16" x14ac:dyDescent="0.35">
      <c r="F166" s="1" t="str">
        <f>CONCATENATE(tblCong[[#This Row],[parishCode]],"-",tblCong[[#This Row],[kCode]])</f>
        <v>D01-S05-P04-K07</v>
      </c>
      <c r="G166" s="1" t="str">
        <f>Distrik!F$5</f>
        <v>D01</v>
      </c>
      <c r="H166" s="1" t="str">
        <f>VLOOKUP(tblCong[[#This Row],[distCode]],tblDistrict[#All],2)</f>
        <v>Kâte</v>
      </c>
      <c r="I166" s="1" t="str">
        <f>Seket!I$9</f>
        <v>S05</v>
      </c>
      <c r="J166" s="1" t="str">
        <f>CONCATENATE(tblCong[[#This Row],[distCode]],"-",tblCong[[#This Row],[sCode]])</f>
        <v>D01-S05</v>
      </c>
      <c r="K166" s="1" t="str">
        <f>VLOOKUP(tblCong[[#This Row],[seketCode]],tblSeket[#All],5,FALSE)</f>
        <v>Hube</v>
      </c>
      <c r="L166" s="1" t="str">
        <f>Paris!L$38</f>
        <v>P04</v>
      </c>
      <c r="M166" s="1" t="str">
        <f>CONCATENATE(tblCong[[#This Row],[seketCode]],"-",tblCong[[#This Row],[pCode]])</f>
        <v>D01-S05-P04</v>
      </c>
      <c r="N166" s="1" t="str">
        <f>Paris!M$38</f>
        <v>Dopi</v>
      </c>
      <c r="O166" s="1" t="s">
        <v>578</v>
      </c>
      <c r="P166" s="1" t="s">
        <v>725</v>
      </c>
    </row>
    <row r="167" spans="6:16" x14ac:dyDescent="0.35">
      <c r="F167" s="1" t="str">
        <f>CONCATENATE(tblCong[[#This Row],[parishCode]],"-",tblCong[[#This Row],[kCode]])</f>
        <v>D01-S05-P05-K01</v>
      </c>
      <c r="G167" s="1" t="str">
        <f>Distrik!F$5</f>
        <v>D01</v>
      </c>
      <c r="H167" s="1" t="str">
        <f>VLOOKUP(tblCong[[#This Row],[distCode]],tblDistrict[#All],2)</f>
        <v>Kâte</v>
      </c>
      <c r="I167" s="1" t="str">
        <f>Seket!I$9</f>
        <v>S05</v>
      </c>
      <c r="J167" s="1" t="str">
        <f>CONCATENATE(tblCong[[#This Row],[distCode]],"-",tblCong[[#This Row],[sCode]])</f>
        <v>D01-S05</v>
      </c>
      <c r="K167" s="1" t="str">
        <f>VLOOKUP(tblCong[[#This Row],[seketCode]],tblSeket[#All],5,FALSE)</f>
        <v>Hube</v>
      </c>
      <c r="L167" s="1" t="str">
        <f>Paris!L$39</f>
        <v>P05</v>
      </c>
      <c r="M167" s="1" t="str">
        <f>CONCATENATE(tblCong[[#This Row],[seketCode]],"-",tblCong[[#This Row],[pCode]])</f>
        <v>D01-S05-P05</v>
      </c>
      <c r="N167" s="1" t="str">
        <f>Paris!M$39</f>
        <v>Foria</v>
      </c>
      <c r="O167" s="1" t="s">
        <v>567</v>
      </c>
      <c r="P167" s="1" t="s">
        <v>726</v>
      </c>
    </row>
    <row r="168" spans="6:16" x14ac:dyDescent="0.35">
      <c r="F168" s="1" t="str">
        <f>CONCATENATE(tblCong[[#This Row],[parishCode]],"-",tblCong[[#This Row],[kCode]])</f>
        <v>D01-S05-P05-K02</v>
      </c>
      <c r="G168" s="1" t="str">
        <f>Distrik!F$5</f>
        <v>D01</v>
      </c>
      <c r="H168" s="1" t="str">
        <f>VLOOKUP(tblCong[[#This Row],[distCode]],tblDistrict[#All],2)</f>
        <v>Kâte</v>
      </c>
      <c r="I168" s="1" t="str">
        <f>Seket!I$9</f>
        <v>S05</v>
      </c>
      <c r="J168" s="1" t="str">
        <f>CONCATENATE(tblCong[[#This Row],[distCode]],"-",tblCong[[#This Row],[sCode]])</f>
        <v>D01-S05</v>
      </c>
      <c r="K168" s="1" t="str">
        <f>VLOOKUP(tblCong[[#This Row],[seketCode]],tblSeket[#All],5,FALSE)</f>
        <v>Hube</v>
      </c>
      <c r="L168" s="1" t="str">
        <f>Paris!L$39</f>
        <v>P05</v>
      </c>
      <c r="M168" s="1" t="str">
        <f>CONCATENATE(tblCong[[#This Row],[seketCode]],"-",tblCong[[#This Row],[pCode]])</f>
        <v>D01-S05-P05</v>
      </c>
      <c r="N168" s="1" t="str">
        <f>Paris!M$39</f>
        <v>Foria</v>
      </c>
      <c r="O168" s="1" t="s">
        <v>569</v>
      </c>
      <c r="P168" s="1" t="s">
        <v>727</v>
      </c>
    </row>
    <row r="169" spans="6:16" x14ac:dyDescent="0.35">
      <c r="F169" s="1" t="str">
        <f>CONCATENATE(tblCong[[#This Row],[parishCode]],"-",tblCong[[#This Row],[kCode]])</f>
        <v>D01-S05-P05-K03</v>
      </c>
      <c r="G169" s="1" t="str">
        <f>Distrik!F$5</f>
        <v>D01</v>
      </c>
      <c r="H169" s="1" t="str">
        <f>VLOOKUP(tblCong[[#This Row],[distCode]],tblDistrict[#All],2)</f>
        <v>Kâte</v>
      </c>
      <c r="I169" s="1" t="str">
        <f>Seket!I$9</f>
        <v>S05</v>
      </c>
      <c r="J169" s="1" t="str">
        <f>CONCATENATE(tblCong[[#This Row],[distCode]],"-",tblCong[[#This Row],[sCode]])</f>
        <v>D01-S05</v>
      </c>
      <c r="K169" s="1" t="str">
        <f>VLOOKUP(tblCong[[#This Row],[seketCode]],tblSeket[#All],5,FALSE)</f>
        <v>Hube</v>
      </c>
      <c r="L169" s="1" t="str">
        <f>Paris!L$39</f>
        <v>P05</v>
      </c>
      <c r="M169" s="1" t="str">
        <f>CONCATENATE(tblCong[[#This Row],[seketCode]],"-",tblCong[[#This Row],[pCode]])</f>
        <v>D01-S05-P05</v>
      </c>
      <c r="N169" s="1" t="str">
        <f>Paris!M$39</f>
        <v>Foria</v>
      </c>
      <c r="O169" s="1" t="s">
        <v>571</v>
      </c>
      <c r="P169" s="1" t="s">
        <v>728</v>
      </c>
    </row>
    <row r="170" spans="6:16" x14ac:dyDescent="0.35">
      <c r="F170" s="1" t="str">
        <f>CONCATENATE(tblCong[[#This Row],[parishCode]],"-",tblCong[[#This Row],[kCode]])</f>
        <v>D01-S05-P05-K04</v>
      </c>
      <c r="G170" s="1" t="str">
        <f>Distrik!F$5</f>
        <v>D01</v>
      </c>
      <c r="H170" s="1" t="str">
        <f>VLOOKUP(tblCong[[#This Row],[distCode]],tblDistrict[#All],2)</f>
        <v>Kâte</v>
      </c>
      <c r="I170" s="1" t="str">
        <f>Seket!I$9</f>
        <v>S05</v>
      </c>
      <c r="J170" s="1" t="str">
        <f>CONCATENATE(tblCong[[#This Row],[distCode]],"-",tblCong[[#This Row],[sCode]])</f>
        <v>D01-S05</v>
      </c>
      <c r="K170" s="1" t="str">
        <f>VLOOKUP(tblCong[[#This Row],[seketCode]],tblSeket[#All],5,FALSE)</f>
        <v>Hube</v>
      </c>
      <c r="L170" s="1" t="str">
        <f>Paris!L$39</f>
        <v>P05</v>
      </c>
      <c r="M170" s="1" t="str">
        <f>CONCATENATE(tblCong[[#This Row],[seketCode]],"-",tblCong[[#This Row],[pCode]])</f>
        <v>D01-S05-P05</v>
      </c>
      <c r="N170" s="1" t="str">
        <f>Paris!M$39</f>
        <v>Foria</v>
      </c>
      <c r="O170" s="1" t="s">
        <v>573</v>
      </c>
      <c r="P170" s="1" t="s">
        <v>729</v>
      </c>
    </row>
    <row r="171" spans="6:16" x14ac:dyDescent="0.35">
      <c r="F171" s="1" t="str">
        <f>CONCATENATE(tblCong[[#This Row],[parishCode]],"-",tblCong[[#This Row],[kCode]])</f>
        <v>D01-S05-P05-K05</v>
      </c>
      <c r="G171" s="1" t="str">
        <f>Distrik!F$5</f>
        <v>D01</v>
      </c>
      <c r="H171" s="1" t="str">
        <f>VLOOKUP(tblCong[[#This Row],[distCode]],tblDistrict[#All],2)</f>
        <v>Kâte</v>
      </c>
      <c r="I171" s="1" t="str">
        <f>Seket!I$9</f>
        <v>S05</v>
      </c>
      <c r="J171" s="1" t="str">
        <f>CONCATENATE(tblCong[[#This Row],[distCode]],"-",tblCong[[#This Row],[sCode]])</f>
        <v>D01-S05</v>
      </c>
      <c r="K171" s="1" t="str">
        <f>VLOOKUP(tblCong[[#This Row],[seketCode]],tblSeket[#All],5,FALSE)</f>
        <v>Hube</v>
      </c>
      <c r="L171" s="1" t="str">
        <f>Paris!L$39</f>
        <v>P05</v>
      </c>
      <c r="M171" s="1" t="str">
        <f>CONCATENATE(tblCong[[#This Row],[seketCode]],"-",tblCong[[#This Row],[pCode]])</f>
        <v>D01-S05-P05</v>
      </c>
      <c r="N171" s="1" t="str">
        <f>Paris!M$39</f>
        <v>Foria</v>
      </c>
      <c r="O171" s="1" t="s">
        <v>575</v>
      </c>
      <c r="P171" s="1" t="s">
        <v>730</v>
      </c>
    </row>
    <row r="172" spans="6:16" x14ac:dyDescent="0.35">
      <c r="F172" s="1" t="str">
        <f>CONCATENATE(tblCong[[#This Row],[parishCode]],"-",tblCong[[#This Row],[kCode]])</f>
        <v>D01-S05-P05-K06</v>
      </c>
      <c r="G172" s="1" t="str">
        <f>Distrik!F$5</f>
        <v>D01</v>
      </c>
      <c r="H172" s="1" t="str">
        <f>VLOOKUP(tblCong[[#This Row],[distCode]],tblDistrict[#All],2)</f>
        <v>Kâte</v>
      </c>
      <c r="I172" s="1" t="str">
        <f>Seket!I$9</f>
        <v>S05</v>
      </c>
      <c r="J172" s="1" t="str">
        <f>CONCATENATE(tblCong[[#This Row],[distCode]],"-",tblCong[[#This Row],[sCode]])</f>
        <v>D01-S05</v>
      </c>
      <c r="K172" s="1" t="str">
        <f>VLOOKUP(tblCong[[#This Row],[seketCode]],tblSeket[#All],5,FALSE)</f>
        <v>Hube</v>
      </c>
      <c r="L172" s="1" t="str">
        <f>Paris!L$39</f>
        <v>P05</v>
      </c>
      <c r="M172" s="1" t="str">
        <f>CONCATENATE(tblCong[[#This Row],[seketCode]],"-",tblCong[[#This Row],[pCode]])</f>
        <v>D01-S05-P05</v>
      </c>
      <c r="N172" s="1" t="str">
        <f>Paris!M$39</f>
        <v>Foria</v>
      </c>
      <c r="O172" s="1" t="s">
        <v>576</v>
      </c>
      <c r="P172" s="1" t="s">
        <v>731</v>
      </c>
    </row>
    <row r="173" spans="6:16" x14ac:dyDescent="0.35">
      <c r="F173" s="1" t="str">
        <f>CONCATENATE(tblCong[[#This Row],[parishCode]],"-",tblCong[[#This Row],[kCode]])</f>
        <v>D01-S05-P06-K01</v>
      </c>
      <c r="G173" s="1" t="str">
        <f>Distrik!F$5</f>
        <v>D01</v>
      </c>
      <c r="H173" s="1" t="str">
        <f>VLOOKUP(tblCong[[#This Row],[distCode]],tblDistrict[#All],2)</f>
        <v>Kâte</v>
      </c>
      <c r="I173" s="1" t="str">
        <f>Seket!I$9</f>
        <v>S05</v>
      </c>
      <c r="J173" s="1" t="str">
        <f>CONCATENATE(tblCong[[#This Row],[distCode]],"-",tblCong[[#This Row],[sCode]])</f>
        <v>D01-S05</v>
      </c>
      <c r="K173" s="1" t="str">
        <f>VLOOKUP(tblCong[[#This Row],[seketCode]],tblSeket[#All],5,FALSE)</f>
        <v>Hube</v>
      </c>
      <c r="L173" s="1" t="str">
        <f>Paris!L$40</f>
        <v>P06</v>
      </c>
      <c r="M173" s="1" t="str">
        <f>CONCATENATE(tblCong[[#This Row],[seketCode]],"-",tblCong[[#This Row],[pCode]])</f>
        <v>D01-S05-P06</v>
      </c>
      <c r="N173" s="1" t="str">
        <f>Paris!M$40</f>
        <v>Ebabang</v>
      </c>
      <c r="O173" s="1" t="s">
        <v>567</v>
      </c>
      <c r="P173" s="1" t="s">
        <v>251</v>
      </c>
    </row>
    <row r="174" spans="6:16" x14ac:dyDescent="0.35">
      <c r="F174" s="1" t="str">
        <f>CONCATENATE(tblCong[[#This Row],[parishCode]],"-",tblCong[[#This Row],[kCode]])</f>
        <v>D01-S05-P06-K02</v>
      </c>
      <c r="G174" s="1" t="str">
        <f>Distrik!F$5</f>
        <v>D01</v>
      </c>
      <c r="H174" s="1" t="str">
        <f>VLOOKUP(tblCong[[#This Row],[distCode]],tblDistrict[#All],2)</f>
        <v>Kâte</v>
      </c>
      <c r="I174" s="1" t="str">
        <f>Seket!I$9</f>
        <v>S05</v>
      </c>
      <c r="J174" s="1" t="str">
        <f>CONCATENATE(tblCong[[#This Row],[distCode]],"-",tblCong[[#This Row],[sCode]])</f>
        <v>D01-S05</v>
      </c>
      <c r="K174" s="1" t="str">
        <f>VLOOKUP(tblCong[[#This Row],[seketCode]],tblSeket[#All],5,FALSE)</f>
        <v>Hube</v>
      </c>
      <c r="L174" s="1" t="str">
        <f>Paris!L$40</f>
        <v>P06</v>
      </c>
      <c r="M174" s="1" t="str">
        <f>CONCATENATE(tblCong[[#This Row],[seketCode]],"-",tblCong[[#This Row],[pCode]])</f>
        <v>D01-S05-P06</v>
      </c>
      <c r="N174" s="1" t="str">
        <f>Paris!M$40</f>
        <v>Ebabang</v>
      </c>
      <c r="O174" s="1" t="s">
        <v>569</v>
      </c>
      <c r="P174" s="1" t="s">
        <v>732</v>
      </c>
    </row>
    <row r="175" spans="6:16" x14ac:dyDescent="0.35">
      <c r="F175" s="1" t="str">
        <f>CONCATENATE(tblCong[[#This Row],[parishCode]],"-",tblCong[[#This Row],[kCode]])</f>
        <v>D01-S05-P06-K03</v>
      </c>
      <c r="G175" s="1" t="str">
        <f>Distrik!F$5</f>
        <v>D01</v>
      </c>
      <c r="H175" s="1" t="str">
        <f>VLOOKUP(tblCong[[#This Row],[distCode]],tblDistrict[#All],2)</f>
        <v>Kâte</v>
      </c>
      <c r="I175" s="1" t="str">
        <f>Seket!I$9</f>
        <v>S05</v>
      </c>
      <c r="J175" s="1" t="str">
        <f>CONCATENATE(tblCong[[#This Row],[distCode]],"-",tblCong[[#This Row],[sCode]])</f>
        <v>D01-S05</v>
      </c>
      <c r="K175" s="1" t="str">
        <f>VLOOKUP(tblCong[[#This Row],[seketCode]],tblSeket[#All],5,FALSE)</f>
        <v>Hube</v>
      </c>
      <c r="L175" s="1" t="str">
        <f>Paris!L$40</f>
        <v>P06</v>
      </c>
      <c r="M175" s="1" t="str">
        <f>CONCATENATE(tblCong[[#This Row],[seketCode]],"-",tblCong[[#This Row],[pCode]])</f>
        <v>D01-S05-P06</v>
      </c>
      <c r="N175" s="1" t="str">
        <f>Paris!M$40</f>
        <v>Ebabang</v>
      </c>
      <c r="O175" s="1" t="s">
        <v>571</v>
      </c>
      <c r="P175" s="1" t="s">
        <v>733</v>
      </c>
    </row>
    <row r="176" spans="6:16" x14ac:dyDescent="0.35">
      <c r="F176" s="1" t="str">
        <f>CONCATENATE(tblCong[[#This Row],[parishCode]],"-",tblCong[[#This Row],[kCode]])</f>
        <v>D01-S05-P06-K04</v>
      </c>
      <c r="G176" s="1" t="str">
        <f>Distrik!F$5</f>
        <v>D01</v>
      </c>
      <c r="H176" s="1" t="str">
        <f>VLOOKUP(tblCong[[#This Row],[distCode]],tblDistrict[#All],2)</f>
        <v>Kâte</v>
      </c>
      <c r="I176" s="1" t="str">
        <f>Seket!I$9</f>
        <v>S05</v>
      </c>
      <c r="J176" s="1" t="str">
        <f>CONCATENATE(tblCong[[#This Row],[distCode]],"-",tblCong[[#This Row],[sCode]])</f>
        <v>D01-S05</v>
      </c>
      <c r="K176" s="1" t="str">
        <f>VLOOKUP(tblCong[[#This Row],[seketCode]],tblSeket[#All],5,FALSE)</f>
        <v>Hube</v>
      </c>
      <c r="L176" s="1" t="str">
        <f>Paris!L$40</f>
        <v>P06</v>
      </c>
      <c r="M176" s="1" t="str">
        <f>CONCATENATE(tblCong[[#This Row],[seketCode]],"-",tblCong[[#This Row],[pCode]])</f>
        <v>D01-S05-P06</v>
      </c>
      <c r="N176" s="1" t="str">
        <f>Paris!M$40</f>
        <v>Ebabang</v>
      </c>
      <c r="O176" s="1" t="s">
        <v>573</v>
      </c>
      <c r="P176" s="1" t="s">
        <v>734</v>
      </c>
    </row>
    <row r="177" spans="6:16" x14ac:dyDescent="0.35">
      <c r="F177" s="1" t="str">
        <f>CONCATENATE(tblCong[[#This Row],[parishCode]],"-",tblCong[[#This Row],[kCode]])</f>
        <v>D01-S05-P06-K05</v>
      </c>
      <c r="G177" s="1" t="str">
        <f>Distrik!F$5</f>
        <v>D01</v>
      </c>
      <c r="H177" s="1" t="str">
        <f>VLOOKUP(tblCong[[#This Row],[distCode]],tblDistrict[#All],2)</f>
        <v>Kâte</v>
      </c>
      <c r="I177" s="1" t="str">
        <f>Seket!I$9</f>
        <v>S05</v>
      </c>
      <c r="J177" s="1" t="str">
        <f>CONCATENATE(tblCong[[#This Row],[distCode]],"-",tblCong[[#This Row],[sCode]])</f>
        <v>D01-S05</v>
      </c>
      <c r="K177" s="1" t="str">
        <f>VLOOKUP(tblCong[[#This Row],[seketCode]],tblSeket[#All],5,FALSE)</f>
        <v>Hube</v>
      </c>
      <c r="L177" s="1" t="str">
        <f>Paris!L$40</f>
        <v>P06</v>
      </c>
      <c r="M177" s="1" t="str">
        <f>CONCATENATE(tblCong[[#This Row],[seketCode]],"-",tblCong[[#This Row],[pCode]])</f>
        <v>D01-S05-P06</v>
      </c>
      <c r="N177" s="1" t="str">
        <f>Paris!M$40</f>
        <v>Ebabang</v>
      </c>
      <c r="O177" s="1" t="s">
        <v>575</v>
      </c>
      <c r="P177" s="1" t="s">
        <v>735</v>
      </c>
    </row>
    <row r="178" spans="6:16" x14ac:dyDescent="0.35">
      <c r="F178" s="1" t="str">
        <f>CONCATENATE(tblCong[[#This Row],[parishCode]],"-",tblCong[[#This Row],[kCode]])</f>
        <v>D01-S05-P06-K06</v>
      </c>
      <c r="G178" s="1" t="str">
        <f>Distrik!F$5</f>
        <v>D01</v>
      </c>
      <c r="H178" s="1" t="str">
        <f>VLOOKUP(tblCong[[#This Row],[distCode]],tblDistrict[#All],2)</f>
        <v>Kâte</v>
      </c>
      <c r="I178" s="1" t="str">
        <f>Seket!I$9</f>
        <v>S05</v>
      </c>
      <c r="J178" s="1" t="str">
        <f>CONCATENATE(tblCong[[#This Row],[distCode]],"-",tblCong[[#This Row],[sCode]])</f>
        <v>D01-S05</v>
      </c>
      <c r="K178" s="1" t="str">
        <f>VLOOKUP(tblCong[[#This Row],[seketCode]],tblSeket[#All],5,FALSE)</f>
        <v>Hube</v>
      </c>
      <c r="L178" s="1" t="str">
        <f>Paris!L$40</f>
        <v>P06</v>
      </c>
      <c r="M178" s="1" t="str">
        <f>CONCATENATE(tblCong[[#This Row],[seketCode]],"-",tblCong[[#This Row],[pCode]])</f>
        <v>D01-S05-P06</v>
      </c>
      <c r="N178" s="1" t="str">
        <f>Paris!M$40</f>
        <v>Ebabang</v>
      </c>
      <c r="O178" s="1" t="s">
        <v>576</v>
      </c>
      <c r="P178" s="1" t="s">
        <v>736</v>
      </c>
    </row>
    <row r="179" spans="6:16" x14ac:dyDescent="0.35">
      <c r="F179" s="1" t="str">
        <f>CONCATENATE(tblCong[[#This Row],[parishCode]],"-",tblCong[[#This Row],[kCode]])</f>
        <v>D01-S05-P06-K07</v>
      </c>
      <c r="G179" s="1" t="str">
        <f>Distrik!F$5</f>
        <v>D01</v>
      </c>
      <c r="H179" s="1" t="str">
        <f>VLOOKUP(tblCong[[#This Row],[distCode]],tblDistrict[#All],2)</f>
        <v>Kâte</v>
      </c>
      <c r="I179" s="1" t="str">
        <f>Seket!I$9</f>
        <v>S05</v>
      </c>
      <c r="J179" s="1" t="str">
        <f>CONCATENATE(tblCong[[#This Row],[distCode]],"-",tblCong[[#This Row],[sCode]])</f>
        <v>D01-S05</v>
      </c>
      <c r="K179" s="1" t="str">
        <f>VLOOKUP(tblCong[[#This Row],[seketCode]],tblSeket[#All],5,FALSE)</f>
        <v>Hube</v>
      </c>
      <c r="L179" s="1" t="str">
        <f>Paris!L$40</f>
        <v>P06</v>
      </c>
      <c r="M179" s="1" t="str">
        <f>CONCATENATE(tblCong[[#This Row],[seketCode]],"-",tblCong[[#This Row],[pCode]])</f>
        <v>D01-S05-P06</v>
      </c>
      <c r="N179" s="1" t="str">
        <f>Paris!M$40</f>
        <v>Ebabang</v>
      </c>
      <c r="O179" s="1" t="s">
        <v>578</v>
      </c>
      <c r="P179" s="1" t="s">
        <v>737</v>
      </c>
    </row>
    <row r="180" spans="6:16" x14ac:dyDescent="0.35">
      <c r="F180" s="1" t="str">
        <f>CONCATENATE(tblCong[[#This Row],[parishCode]],"-",tblCong[[#This Row],[kCode]])</f>
        <v>D01-S05-P06-K08</v>
      </c>
      <c r="G180" s="1" t="str">
        <f>Distrik!F$5</f>
        <v>D01</v>
      </c>
      <c r="H180" s="1" t="str">
        <f>VLOOKUP(tblCong[[#This Row],[distCode]],tblDistrict[#All],2)</f>
        <v>Kâte</v>
      </c>
      <c r="I180" s="1" t="str">
        <f>Seket!I$9</f>
        <v>S05</v>
      </c>
      <c r="J180" s="1" t="str">
        <f>CONCATENATE(tblCong[[#This Row],[distCode]],"-",tblCong[[#This Row],[sCode]])</f>
        <v>D01-S05</v>
      </c>
      <c r="K180" s="1" t="str">
        <f>VLOOKUP(tblCong[[#This Row],[seketCode]],tblSeket[#All],5,FALSE)</f>
        <v>Hube</v>
      </c>
      <c r="L180" s="1" t="str">
        <f>Paris!L$40</f>
        <v>P06</v>
      </c>
      <c r="M180" s="1" t="str">
        <f>CONCATENATE(tblCong[[#This Row],[seketCode]],"-",tblCong[[#This Row],[pCode]])</f>
        <v>D01-S05-P06</v>
      </c>
      <c r="N180" s="1" t="str">
        <f>Paris!M$40</f>
        <v>Ebabang</v>
      </c>
      <c r="O180" s="1" t="s">
        <v>651</v>
      </c>
      <c r="P180" s="1" t="s">
        <v>738</v>
      </c>
    </row>
    <row r="181" spans="6:16" x14ac:dyDescent="0.35">
      <c r="F181" s="1" t="str">
        <f>CONCATENATE(tblCong[[#This Row],[parishCode]],"-",tblCong[[#This Row],[kCode]])</f>
        <v>D01-S05-P06-K09</v>
      </c>
      <c r="G181" s="1" t="str">
        <f>Distrik!F$5</f>
        <v>D01</v>
      </c>
      <c r="H181" s="1" t="str">
        <f>VLOOKUP(tblCong[[#This Row],[distCode]],tblDistrict[#All],2)</f>
        <v>Kâte</v>
      </c>
      <c r="I181" s="1" t="str">
        <f>Seket!I$9</f>
        <v>S05</v>
      </c>
      <c r="J181" s="1" t="str">
        <f>CONCATENATE(tblCong[[#This Row],[distCode]],"-",tblCong[[#This Row],[sCode]])</f>
        <v>D01-S05</v>
      </c>
      <c r="K181" s="1" t="str">
        <f>VLOOKUP(tblCong[[#This Row],[seketCode]],tblSeket[#All],5,FALSE)</f>
        <v>Hube</v>
      </c>
      <c r="L181" s="1" t="str">
        <f>Paris!L$40</f>
        <v>P06</v>
      </c>
      <c r="M181" s="1" t="str">
        <f>CONCATENATE(tblCong[[#This Row],[seketCode]],"-",tblCong[[#This Row],[pCode]])</f>
        <v>D01-S05-P06</v>
      </c>
      <c r="N181" s="1" t="str">
        <f>Paris!M$40</f>
        <v>Ebabang</v>
      </c>
      <c r="O181" s="1" t="s">
        <v>653</v>
      </c>
      <c r="P181" s="1" t="s">
        <v>739</v>
      </c>
    </row>
    <row r="182" spans="6:16" x14ac:dyDescent="0.35">
      <c r="F182" s="1" t="str">
        <f>CONCATENATE(tblCong[[#This Row],[parishCode]],"-",tblCong[[#This Row],[kCode]])</f>
        <v>D01-S05-P07-K01</v>
      </c>
      <c r="G182" s="1" t="str">
        <f>Distrik!F$5</f>
        <v>D01</v>
      </c>
      <c r="H182" s="1" t="str">
        <f>VLOOKUP(tblCong[[#This Row],[distCode]],tblDistrict[#All],2)</f>
        <v>Kâte</v>
      </c>
      <c r="I182" s="1" t="str">
        <f>Seket!I$9</f>
        <v>S05</v>
      </c>
      <c r="J182" s="1" t="str">
        <f>CONCATENATE(tblCong[[#This Row],[distCode]],"-",tblCong[[#This Row],[sCode]])</f>
        <v>D01-S05</v>
      </c>
      <c r="K182" s="1" t="str">
        <f>VLOOKUP(tblCong[[#This Row],[seketCode]],tblSeket[#All],5,FALSE)</f>
        <v>Hube</v>
      </c>
      <c r="L182" s="1" t="str">
        <f>Paris!L$41</f>
        <v>P07</v>
      </c>
      <c r="M182" s="1" t="str">
        <f>CONCATENATE(tblCong[[#This Row],[seketCode]],"-",tblCong[[#This Row],[pCode]])</f>
        <v>D01-S05-P07</v>
      </c>
      <c r="N182" s="1" t="str">
        <f>Paris!M$41</f>
        <v>Jowacnuc</v>
      </c>
      <c r="O182" s="1" t="s">
        <v>567</v>
      </c>
      <c r="P182" s="1" t="s">
        <v>740</v>
      </c>
    </row>
    <row r="183" spans="6:16" x14ac:dyDescent="0.35">
      <c r="F183" s="1" t="str">
        <f>CONCATENATE(tblCong[[#This Row],[parishCode]],"-",tblCong[[#This Row],[kCode]])</f>
        <v>D01-S05-P07-K02</v>
      </c>
      <c r="G183" s="1" t="str">
        <f>Distrik!F$5</f>
        <v>D01</v>
      </c>
      <c r="H183" s="1" t="str">
        <f>VLOOKUP(tblCong[[#This Row],[distCode]],tblDistrict[#All],2)</f>
        <v>Kâte</v>
      </c>
      <c r="I183" s="1" t="str">
        <f>Seket!I$9</f>
        <v>S05</v>
      </c>
      <c r="J183" s="1" t="str">
        <f>CONCATENATE(tblCong[[#This Row],[distCode]],"-",tblCong[[#This Row],[sCode]])</f>
        <v>D01-S05</v>
      </c>
      <c r="K183" s="1" t="str">
        <f>VLOOKUP(tblCong[[#This Row],[seketCode]],tblSeket[#All],5,FALSE)</f>
        <v>Hube</v>
      </c>
      <c r="L183" s="1" t="str">
        <f>Paris!L$41</f>
        <v>P07</v>
      </c>
      <c r="M183" s="1" t="str">
        <f>CONCATENATE(tblCong[[#This Row],[seketCode]],"-",tblCong[[#This Row],[pCode]])</f>
        <v>D01-S05-P07</v>
      </c>
      <c r="N183" s="1" t="str">
        <f>Paris!M$41</f>
        <v>Jowacnuc</v>
      </c>
      <c r="O183" s="1" t="s">
        <v>569</v>
      </c>
      <c r="P183" s="1" t="s">
        <v>741</v>
      </c>
    </row>
    <row r="184" spans="6:16" x14ac:dyDescent="0.35">
      <c r="F184" s="1" t="str">
        <f>CONCATENATE(tblCong[[#This Row],[parishCode]],"-",tblCong[[#This Row],[kCode]])</f>
        <v>D01-S05-P07-K03</v>
      </c>
      <c r="G184" s="1" t="str">
        <f>Distrik!F$5</f>
        <v>D01</v>
      </c>
      <c r="H184" s="1" t="str">
        <f>VLOOKUP(tblCong[[#This Row],[distCode]],tblDistrict[#All],2)</f>
        <v>Kâte</v>
      </c>
      <c r="I184" s="1" t="str">
        <f>Seket!I$9</f>
        <v>S05</v>
      </c>
      <c r="J184" s="1" t="str">
        <f>CONCATENATE(tblCong[[#This Row],[distCode]],"-",tblCong[[#This Row],[sCode]])</f>
        <v>D01-S05</v>
      </c>
      <c r="K184" s="1" t="str">
        <f>VLOOKUP(tblCong[[#This Row],[seketCode]],tblSeket[#All],5,FALSE)</f>
        <v>Hube</v>
      </c>
      <c r="L184" s="1" t="str">
        <f>Paris!L$41</f>
        <v>P07</v>
      </c>
      <c r="M184" s="1" t="str">
        <f>CONCATENATE(tblCong[[#This Row],[seketCode]],"-",tblCong[[#This Row],[pCode]])</f>
        <v>D01-S05-P07</v>
      </c>
      <c r="N184" s="1" t="str">
        <f>Paris!M$41</f>
        <v>Jowacnuc</v>
      </c>
      <c r="O184" s="1" t="s">
        <v>571</v>
      </c>
      <c r="P184" s="1" t="s">
        <v>742</v>
      </c>
    </row>
    <row r="185" spans="6:16" x14ac:dyDescent="0.35">
      <c r="F185" s="1" t="str">
        <f>CONCATENATE(tblCong[[#This Row],[parishCode]],"-",tblCong[[#This Row],[kCode]])</f>
        <v>D01-S05-P07-K04</v>
      </c>
      <c r="G185" s="1" t="str">
        <f>Distrik!F$5</f>
        <v>D01</v>
      </c>
      <c r="H185" s="1" t="str">
        <f>VLOOKUP(tblCong[[#This Row],[distCode]],tblDistrict[#All],2)</f>
        <v>Kâte</v>
      </c>
      <c r="I185" s="1" t="str">
        <f>Seket!I$9</f>
        <v>S05</v>
      </c>
      <c r="J185" s="1" t="str">
        <f>CONCATENATE(tblCong[[#This Row],[distCode]],"-",tblCong[[#This Row],[sCode]])</f>
        <v>D01-S05</v>
      </c>
      <c r="K185" s="1" t="str">
        <f>VLOOKUP(tblCong[[#This Row],[seketCode]],tblSeket[#All],5,FALSE)</f>
        <v>Hube</v>
      </c>
      <c r="L185" s="1" t="str">
        <f>Paris!L$41</f>
        <v>P07</v>
      </c>
      <c r="M185" s="1" t="str">
        <f>CONCATENATE(tblCong[[#This Row],[seketCode]],"-",tblCong[[#This Row],[pCode]])</f>
        <v>D01-S05-P07</v>
      </c>
      <c r="N185" s="1" t="str">
        <f>Paris!M$41</f>
        <v>Jowacnuc</v>
      </c>
      <c r="O185" s="1" t="s">
        <v>573</v>
      </c>
      <c r="P185" s="1" t="s">
        <v>743</v>
      </c>
    </row>
    <row r="186" spans="6:16" x14ac:dyDescent="0.35">
      <c r="F186" s="1" t="str">
        <f>CONCATENATE(tblCong[[#This Row],[parishCode]],"-",tblCong[[#This Row],[kCode]])</f>
        <v>D01-S05-P07-K05</v>
      </c>
      <c r="G186" s="1" t="str">
        <f>Distrik!F$5</f>
        <v>D01</v>
      </c>
      <c r="H186" s="1" t="str">
        <f>VLOOKUP(tblCong[[#This Row],[distCode]],tblDistrict[#All],2)</f>
        <v>Kâte</v>
      </c>
      <c r="I186" s="1" t="str">
        <f>Seket!I$9</f>
        <v>S05</v>
      </c>
      <c r="J186" s="1" t="str">
        <f>CONCATENATE(tblCong[[#This Row],[distCode]],"-",tblCong[[#This Row],[sCode]])</f>
        <v>D01-S05</v>
      </c>
      <c r="K186" s="1" t="str">
        <f>VLOOKUP(tblCong[[#This Row],[seketCode]],tblSeket[#All],5,FALSE)</f>
        <v>Hube</v>
      </c>
      <c r="L186" s="1" t="str">
        <f>Paris!L$41</f>
        <v>P07</v>
      </c>
      <c r="M186" s="1" t="str">
        <f>CONCATENATE(tblCong[[#This Row],[seketCode]],"-",tblCong[[#This Row],[pCode]])</f>
        <v>D01-S05-P07</v>
      </c>
      <c r="N186" s="1" t="str">
        <f>Paris!M$41</f>
        <v>Jowacnuc</v>
      </c>
      <c r="O186" s="1" t="s">
        <v>575</v>
      </c>
      <c r="P186" s="1" t="s">
        <v>744</v>
      </c>
    </row>
    <row r="187" spans="6:16" x14ac:dyDescent="0.35">
      <c r="F187" s="1" t="str">
        <f>CONCATENATE(tblCong[[#This Row],[parishCode]],"-",tblCong[[#This Row],[kCode]])</f>
        <v>D01-S05-P08-K01</v>
      </c>
      <c r="G187" s="1" t="str">
        <f>Distrik!F$5</f>
        <v>D01</v>
      </c>
      <c r="H187" s="1" t="str">
        <f>VLOOKUP(tblCong[[#This Row],[distCode]],tblDistrict[#All],2)</f>
        <v>Kâte</v>
      </c>
      <c r="I187" s="1" t="str">
        <f>Seket!I$9</f>
        <v>S05</v>
      </c>
      <c r="J187" s="1" t="str">
        <f>CONCATENATE(tblCong[[#This Row],[distCode]],"-",tblCong[[#This Row],[sCode]])</f>
        <v>D01-S05</v>
      </c>
      <c r="K187" s="1" t="str">
        <f>VLOOKUP(tblCong[[#This Row],[seketCode]],tblSeket[#All],5,FALSE)</f>
        <v>Hube</v>
      </c>
      <c r="L187" s="1" t="str">
        <f>Paris!L$42</f>
        <v>P08</v>
      </c>
      <c r="M187" s="1" t="str">
        <f>CONCATENATE(tblCong[[#This Row],[seketCode]],"-",tblCong[[#This Row],[pCode]])</f>
        <v>D01-S05-P08</v>
      </c>
      <c r="N187" s="1" t="str">
        <f>Paris!M$42</f>
        <v>Lalang</v>
      </c>
      <c r="O187" s="1" t="s">
        <v>567</v>
      </c>
      <c r="P187" s="1" t="s">
        <v>253</v>
      </c>
    </row>
    <row r="188" spans="6:16" x14ac:dyDescent="0.35">
      <c r="F188" s="1" t="str">
        <f>CONCATENATE(tblCong[[#This Row],[parishCode]],"-",tblCong[[#This Row],[kCode]])</f>
        <v>D01-S05-P08-K02</v>
      </c>
      <c r="G188" s="1" t="str">
        <f>Distrik!F$5</f>
        <v>D01</v>
      </c>
      <c r="H188" s="1" t="str">
        <f>VLOOKUP(tblCong[[#This Row],[distCode]],tblDistrict[#All],2)</f>
        <v>Kâte</v>
      </c>
      <c r="I188" s="1" t="str">
        <f>Seket!I$9</f>
        <v>S05</v>
      </c>
      <c r="J188" s="1" t="str">
        <f>CONCATENATE(tblCong[[#This Row],[distCode]],"-",tblCong[[#This Row],[sCode]])</f>
        <v>D01-S05</v>
      </c>
      <c r="K188" s="1" t="str">
        <f>VLOOKUP(tblCong[[#This Row],[seketCode]],tblSeket[#All],5,FALSE)</f>
        <v>Hube</v>
      </c>
      <c r="L188" s="1" t="str">
        <f>Paris!L$42</f>
        <v>P08</v>
      </c>
      <c r="M188" s="1" t="str">
        <f>CONCATENATE(tblCong[[#This Row],[seketCode]],"-",tblCong[[#This Row],[pCode]])</f>
        <v>D01-S05-P08</v>
      </c>
      <c r="N188" s="1" t="str">
        <f>Paris!M$42</f>
        <v>Lalang</v>
      </c>
      <c r="O188" s="1" t="s">
        <v>569</v>
      </c>
      <c r="P188" s="1" t="s">
        <v>745</v>
      </c>
    </row>
    <row r="189" spans="6:16" x14ac:dyDescent="0.35">
      <c r="F189" s="1" t="str">
        <f>CONCATENATE(tblCong[[#This Row],[parishCode]],"-",tblCong[[#This Row],[kCode]])</f>
        <v>D01-S05-P08-K03</v>
      </c>
      <c r="G189" s="1" t="str">
        <f>Distrik!F$5</f>
        <v>D01</v>
      </c>
      <c r="H189" s="1" t="str">
        <f>VLOOKUP(tblCong[[#This Row],[distCode]],tblDistrict[#All],2)</f>
        <v>Kâte</v>
      </c>
      <c r="I189" s="1" t="str">
        <f>Seket!I$9</f>
        <v>S05</v>
      </c>
      <c r="J189" s="1" t="str">
        <f>CONCATENATE(tblCong[[#This Row],[distCode]],"-",tblCong[[#This Row],[sCode]])</f>
        <v>D01-S05</v>
      </c>
      <c r="K189" s="1" t="str">
        <f>VLOOKUP(tblCong[[#This Row],[seketCode]],tblSeket[#All],5,FALSE)</f>
        <v>Hube</v>
      </c>
      <c r="L189" s="1" t="str">
        <f>Paris!L$42</f>
        <v>P08</v>
      </c>
      <c r="M189" s="1" t="str">
        <f>CONCATENATE(tblCong[[#This Row],[seketCode]],"-",tblCong[[#This Row],[pCode]])</f>
        <v>D01-S05-P08</v>
      </c>
      <c r="N189" s="1" t="str">
        <f>Paris!M$42</f>
        <v>Lalang</v>
      </c>
      <c r="O189" s="1" t="s">
        <v>571</v>
      </c>
      <c r="P189" s="1" t="s">
        <v>746</v>
      </c>
    </row>
    <row r="190" spans="6:16" x14ac:dyDescent="0.35">
      <c r="F190" s="1" t="str">
        <f>CONCATENATE(tblCong[[#This Row],[parishCode]],"-",tblCong[[#This Row],[kCode]])</f>
        <v>D01-S05-P08-K04</v>
      </c>
      <c r="G190" s="1" t="str">
        <f>Distrik!F$5</f>
        <v>D01</v>
      </c>
      <c r="H190" s="1" t="str">
        <f>VLOOKUP(tblCong[[#This Row],[distCode]],tblDistrict[#All],2)</f>
        <v>Kâte</v>
      </c>
      <c r="I190" s="1" t="str">
        <f>Seket!I$9</f>
        <v>S05</v>
      </c>
      <c r="J190" s="1" t="str">
        <f>CONCATENATE(tblCong[[#This Row],[distCode]],"-",tblCong[[#This Row],[sCode]])</f>
        <v>D01-S05</v>
      </c>
      <c r="K190" s="1" t="str">
        <f>VLOOKUP(tblCong[[#This Row],[seketCode]],tblSeket[#All],5,FALSE)</f>
        <v>Hube</v>
      </c>
      <c r="L190" s="1" t="str">
        <f>Paris!L$42</f>
        <v>P08</v>
      </c>
      <c r="M190" s="1" t="str">
        <f>CONCATENATE(tblCong[[#This Row],[seketCode]],"-",tblCong[[#This Row],[pCode]])</f>
        <v>D01-S05-P08</v>
      </c>
      <c r="N190" s="1" t="str">
        <f>Paris!M$42</f>
        <v>Lalang</v>
      </c>
      <c r="O190" s="1" t="s">
        <v>573</v>
      </c>
      <c r="P190" s="1" t="s">
        <v>747</v>
      </c>
    </row>
    <row r="191" spans="6:16" x14ac:dyDescent="0.35">
      <c r="F191" s="1" t="str">
        <f>CONCATENATE(tblCong[[#This Row],[parishCode]],"-",tblCong[[#This Row],[kCode]])</f>
        <v>D01-S05-P08-K05</v>
      </c>
      <c r="G191" s="1" t="str">
        <f>Distrik!F$5</f>
        <v>D01</v>
      </c>
      <c r="H191" s="1" t="str">
        <f>VLOOKUP(tblCong[[#This Row],[distCode]],tblDistrict[#All],2)</f>
        <v>Kâte</v>
      </c>
      <c r="I191" s="1" t="str">
        <f>Seket!I$9</f>
        <v>S05</v>
      </c>
      <c r="J191" s="1" t="str">
        <f>CONCATENATE(tblCong[[#This Row],[distCode]],"-",tblCong[[#This Row],[sCode]])</f>
        <v>D01-S05</v>
      </c>
      <c r="K191" s="1" t="str">
        <f>VLOOKUP(tblCong[[#This Row],[seketCode]],tblSeket[#All],5,FALSE)</f>
        <v>Hube</v>
      </c>
      <c r="L191" s="1" t="str">
        <f>Paris!L$42</f>
        <v>P08</v>
      </c>
      <c r="M191" s="1" t="str">
        <f>CONCATENATE(tblCong[[#This Row],[seketCode]],"-",tblCong[[#This Row],[pCode]])</f>
        <v>D01-S05-P08</v>
      </c>
      <c r="N191" s="1" t="str">
        <f>Paris!M$42</f>
        <v>Lalang</v>
      </c>
      <c r="O191" s="1" t="s">
        <v>575</v>
      </c>
      <c r="P191" s="1" t="s">
        <v>748</v>
      </c>
    </row>
    <row r="192" spans="6:16" x14ac:dyDescent="0.35">
      <c r="F192" s="1" t="str">
        <f>CONCATENATE(tblCong[[#This Row],[parishCode]],"-",tblCong[[#This Row],[kCode]])</f>
        <v>D01-S05-P09-K01</v>
      </c>
      <c r="G192" s="1" t="str">
        <f>Distrik!F$5</f>
        <v>D01</v>
      </c>
      <c r="H192" s="1" t="str">
        <f>VLOOKUP(tblCong[[#This Row],[distCode]],tblDistrict[#All],2)</f>
        <v>Kâte</v>
      </c>
      <c r="I192" s="1" t="str">
        <f>Seket!I$9</f>
        <v>S05</v>
      </c>
      <c r="J192" s="1" t="str">
        <f>CONCATENATE(tblCong[[#This Row],[distCode]],"-",tblCong[[#This Row],[sCode]])</f>
        <v>D01-S05</v>
      </c>
      <c r="K192" s="1" t="str">
        <f>VLOOKUP(tblCong[[#This Row],[seketCode]],tblSeket[#All],5,FALSE)</f>
        <v>Hube</v>
      </c>
      <c r="L192" s="1" t="str">
        <f>Paris!L$43</f>
        <v>P09</v>
      </c>
      <c r="M192" s="1" t="str">
        <f>CONCATENATE(tblCong[[#This Row],[seketCode]],"-",tblCong[[#This Row],[pCode]])</f>
        <v>D01-S05-P09</v>
      </c>
      <c r="N192" s="1" t="str">
        <f>Paris!M$43</f>
        <v>Siri</v>
      </c>
      <c r="O192" s="1" t="s">
        <v>567</v>
      </c>
      <c r="P192" s="1" t="s">
        <v>749</v>
      </c>
    </row>
    <row r="193" spans="6:16" x14ac:dyDescent="0.35">
      <c r="F193" s="1" t="str">
        <f>CONCATENATE(tblCong[[#This Row],[parishCode]],"-",tblCong[[#This Row],[kCode]])</f>
        <v>D01-S05-P09-K02</v>
      </c>
      <c r="G193" s="1" t="str">
        <f>Distrik!F$5</f>
        <v>D01</v>
      </c>
      <c r="H193" s="1" t="str">
        <f>VLOOKUP(tblCong[[#This Row],[distCode]],tblDistrict[#All],2)</f>
        <v>Kâte</v>
      </c>
      <c r="I193" s="1" t="str">
        <f>Seket!I$9</f>
        <v>S05</v>
      </c>
      <c r="J193" s="1" t="str">
        <f>CONCATENATE(tblCong[[#This Row],[distCode]],"-",tblCong[[#This Row],[sCode]])</f>
        <v>D01-S05</v>
      </c>
      <c r="K193" s="1" t="str">
        <f>VLOOKUP(tblCong[[#This Row],[seketCode]],tblSeket[#All],5,FALSE)</f>
        <v>Hube</v>
      </c>
      <c r="L193" s="1" t="str">
        <f>Paris!L$43</f>
        <v>P09</v>
      </c>
      <c r="M193" s="1" t="str">
        <f>CONCATENATE(tblCong[[#This Row],[seketCode]],"-",tblCong[[#This Row],[pCode]])</f>
        <v>D01-S05-P09</v>
      </c>
      <c r="N193" s="1" t="str">
        <f>Paris!M$43</f>
        <v>Siri</v>
      </c>
      <c r="O193" s="1" t="s">
        <v>569</v>
      </c>
      <c r="P193" s="1" t="s">
        <v>750</v>
      </c>
    </row>
    <row r="194" spans="6:16" x14ac:dyDescent="0.35">
      <c r="F194" s="1" t="str">
        <f>CONCATENATE(tblCong[[#This Row],[parishCode]],"-",tblCong[[#This Row],[kCode]])</f>
        <v>D01-S05-P09-K03</v>
      </c>
      <c r="G194" s="1" t="str">
        <f>Distrik!F$5</f>
        <v>D01</v>
      </c>
      <c r="H194" s="1" t="str">
        <f>VLOOKUP(tblCong[[#This Row],[distCode]],tblDistrict[#All],2)</f>
        <v>Kâte</v>
      </c>
      <c r="I194" s="1" t="str">
        <f>Seket!I$9</f>
        <v>S05</v>
      </c>
      <c r="J194" s="1" t="str">
        <f>CONCATENATE(tblCong[[#This Row],[distCode]],"-",tblCong[[#This Row],[sCode]])</f>
        <v>D01-S05</v>
      </c>
      <c r="K194" s="1" t="str">
        <f>VLOOKUP(tblCong[[#This Row],[seketCode]],tblSeket[#All],5,FALSE)</f>
        <v>Hube</v>
      </c>
      <c r="L194" s="1" t="str">
        <f>Paris!L$43</f>
        <v>P09</v>
      </c>
      <c r="M194" s="1" t="str">
        <f>CONCATENATE(tblCong[[#This Row],[seketCode]],"-",tblCong[[#This Row],[pCode]])</f>
        <v>D01-S05-P09</v>
      </c>
      <c r="N194" s="1" t="str">
        <f>Paris!M$43</f>
        <v>Siri</v>
      </c>
      <c r="O194" s="1" t="s">
        <v>571</v>
      </c>
      <c r="P194" s="1" t="s">
        <v>751</v>
      </c>
    </row>
    <row r="195" spans="6:16" x14ac:dyDescent="0.35">
      <c r="F195" s="1" t="str">
        <f>CONCATENATE(tblCong[[#This Row],[parishCode]],"-",tblCong[[#This Row],[kCode]])</f>
        <v>D01-S05-P09-K04</v>
      </c>
      <c r="G195" s="1" t="str">
        <f>Distrik!F$5</f>
        <v>D01</v>
      </c>
      <c r="H195" s="1" t="str">
        <f>VLOOKUP(tblCong[[#This Row],[distCode]],tblDistrict[#All],2)</f>
        <v>Kâte</v>
      </c>
      <c r="I195" s="1" t="str">
        <f>Seket!I$9</f>
        <v>S05</v>
      </c>
      <c r="J195" s="1" t="str">
        <f>CONCATENATE(tblCong[[#This Row],[distCode]],"-",tblCong[[#This Row],[sCode]])</f>
        <v>D01-S05</v>
      </c>
      <c r="K195" s="1" t="str">
        <f>VLOOKUP(tblCong[[#This Row],[seketCode]],tblSeket[#All],5,FALSE)</f>
        <v>Hube</v>
      </c>
      <c r="L195" s="1" t="str">
        <f>Paris!L$43</f>
        <v>P09</v>
      </c>
      <c r="M195" s="1" t="str">
        <f>CONCATENATE(tblCong[[#This Row],[seketCode]],"-",tblCong[[#This Row],[pCode]])</f>
        <v>D01-S05-P09</v>
      </c>
      <c r="N195" s="1" t="str">
        <f>Paris!M$43</f>
        <v>Siri</v>
      </c>
      <c r="O195" s="1" t="s">
        <v>573</v>
      </c>
      <c r="P195" s="1" t="s">
        <v>752</v>
      </c>
    </row>
    <row r="196" spans="6:16" x14ac:dyDescent="0.35">
      <c r="F196" s="1" t="str">
        <f>CONCATENATE(tblCong[[#This Row],[parishCode]],"-",tblCong[[#This Row],[kCode]])</f>
        <v>D01-S05-P09-K05</v>
      </c>
      <c r="G196" s="1" t="str">
        <f>Distrik!F$5</f>
        <v>D01</v>
      </c>
      <c r="H196" s="1" t="str">
        <f>VLOOKUP(tblCong[[#This Row],[distCode]],tblDistrict[#All],2)</f>
        <v>Kâte</v>
      </c>
      <c r="I196" s="1" t="str">
        <f>Seket!I$9</f>
        <v>S05</v>
      </c>
      <c r="J196" s="1" t="str">
        <f>CONCATENATE(tblCong[[#This Row],[distCode]],"-",tblCong[[#This Row],[sCode]])</f>
        <v>D01-S05</v>
      </c>
      <c r="K196" s="1" t="str">
        <f>VLOOKUP(tblCong[[#This Row],[seketCode]],tblSeket[#All],5,FALSE)</f>
        <v>Hube</v>
      </c>
      <c r="L196" s="1" t="str">
        <f>Paris!L$43</f>
        <v>P09</v>
      </c>
      <c r="M196" s="1" t="str">
        <f>CONCATENATE(tblCong[[#This Row],[seketCode]],"-",tblCong[[#This Row],[pCode]])</f>
        <v>D01-S05-P09</v>
      </c>
      <c r="N196" s="1" t="str">
        <f>Paris!M$43</f>
        <v>Siri</v>
      </c>
      <c r="O196" s="1" t="s">
        <v>575</v>
      </c>
      <c r="P196" s="1" t="s">
        <v>753</v>
      </c>
    </row>
    <row r="197" spans="6:16" x14ac:dyDescent="0.35">
      <c r="F197" s="1" t="str">
        <f>CONCATENATE(tblCong[[#This Row],[parishCode]],"-",tblCong[[#This Row],[kCode]])</f>
        <v>D01-S05-P10-K01</v>
      </c>
      <c r="G197" s="1" t="str">
        <f>Distrik!F$5</f>
        <v>D01</v>
      </c>
      <c r="H197" s="1" t="str">
        <f>VLOOKUP(tblCong[[#This Row],[distCode]],tblDistrict[#All],2)</f>
        <v>Kâte</v>
      </c>
      <c r="I197" s="1" t="str">
        <f>Seket!I$9</f>
        <v>S05</v>
      </c>
      <c r="J197" s="1" t="str">
        <f>CONCATENATE(tblCong[[#This Row],[distCode]],"-",tblCong[[#This Row],[sCode]])</f>
        <v>D01-S05</v>
      </c>
      <c r="K197" s="1" t="str">
        <f>VLOOKUP(tblCong[[#This Row],[seketCode]],tblSeket[#All],5,FALSE)</f>
        <v>Hube</v>
      </c>
      <c r="L197" s="1" t="str">
        <f>Paris!L$44</f>
        <v>P10</v>
      </c>
      <c r="M197" s="1" t="str">
        <f>CONCATENATE(tblCong[[#This Row],[seketCode]],"-",tblCong[[#This Row],[pCode]])</f>
        <v>D01-S05-P10</v>
      </c>
      <c r="N197" s="1" t="str">
        <f>Paris!M$44</f>
        <v>Tobou</v>
      </c>
      <c r="O197" s="1" t="s">
        <v>567</v>
      </c>
      <c r="P197" s="1" t="s">
        <v>255</v>
      </c>
    </row>
    <row r="198" spans="6:16" x14ac:dyDescent="0.35">
      <c r="F198" s="1" t="str">
        <f>CONCATENATE(tblCong[[#This Row],[parishCode]],"-",tblCong[[#This Row],[kCode]])</f>
        <v>D01-S05-P10-K02</v>
      </c>
      <c r="G198" s="1" t="str">
        <f>Distrik!F$5</f>
        <v>D01</v>
      </c>
      <c r="H198" s="1" t="str">
        <f>VLOOKUP(tblCong[[#This Row],[distCode]],tblDistrict[#All],2)</f>
        <v>Kâte</v>
      </c>
      <c r="I198" s="1" t="str">
        <f>Seket!I$9</f>
        <v>S05</v>
      </c>
      <c r="J198" s="1" t="str">
        <f>CONCATENATE(tblCong[[#This Row],[distCode]],"-",tblCong[[#This Row],[sCode]])</f>
        <v>D01-S05</v>
      </c>
      <c r="K198" s="1" t="str">
        <f>VLOOKUP(tblCong[[#This Row],[seketCode]],tblSeket[#All],5,FALSE)</f>
        <v>Hube</v>
      </c>
      <c r="L198" s="1" t="str">
        <f>Paris!L$44</f>
        <v>P10</v>
      </c>
      <c r="M198" s="1" t="str">
        <f>CONCATENATE(tblCong[[#This Row],[seketCode]],"-",tblCong[[#This Row],[pCode]])</f>
        <v>D01-S05-P10</v>
      </c>
      <c r="N198" s="1" t="str">
        <f>Paris!M$44</f>
        <v>Tobou</v>
      </c>
      <c r="O198" s="1" t="s">
        <v>569</v>
      </c>
      <c r="P198" s="1" t="s">
        <v>754</v>
      </c>
    </row>
    <row r="199" spans="6:16" x14ac:dyDescent="0.35">
      <c r="F199" s="1" t="str">
        <f>CONCATENATE(tblCong[[#This Row],[parishCode]],"-",tblCong[[#This Row],[kCode]])</f>
        <v>D01-S05-P10-K03</v>
      </c>
      <c r="G199" s="1" t="str">
        <f>Distrik!F$5</f>
        <v>D01</v>
      </c>
      <c r="H199" s="1" t="str">
        <f>VLOOKUP(tblCong[[#This Row],[distCode]],tblDistrict[#All],2)</f>
        <v>Kâte</v>
      </c>
      <c r="I199" s="1" t="str">
        <f>Seket!I$9</f>
        <v>S05</v>
      </c>
      <c r="J199" s="1" t="str">
        <f>CONCATENATE(tblCong[[#This Row],[distCode]],"-",tblCong[[#This Row],[sCode]])</f>
        <v>D01-S05</v>
      </c>
      <c r="K199" s="1" t="str">
        <f>VLOOKUP(tblCong[[#This Row],[seketCode]],tblSeket[#All],5,FALSE)</f>
        <v>Hube</v>
      </c>
      <c r="L199" s="1" t="str">
        <f>Paris!L$44</f>
        <v>P10</v>
      </c>
      <c r="M199" s="1" t="str">
        <f>CONCATENATE(tblCong[[#This Row],[seketCode]],"-",tblCong[[#This Row],[pCode]])</f>
        <v>D01-S05-P10</v>
      </c>
      <c r="N199" s="1" t="str">
        <f>Paris!M$44</f>
        <v>Tobou</v>
      </c>
      <c r="O199" s="1" t="s">
        <v>571</v>
      </c>
      <c r="P199" s="1" t="s">
        <v>755</v>
      </c>
    </row>
    <row r="200" spans="6:16" x14ac:dyDescent="0.35">
      <c r="F200" s="1" t="str">
        <f>CONCATENATE(tblCong[[#This Row],[parishCode]],"-",tblCong[[#This Row],[kCode]])</f>
        <v>D01-S05-P10-K04</v>
      </c>
      <c r="G200" s="1" t="str">
        <f>Distrik!F$5</f>
        <v>D01</v>
      </c>
      <c r="H200" s="1" t="str">
        <f>VLOOKUP(tblCong[[#This Row],[distCode]],tblDistrict[#All],2)</f>
        <v>Kâte</v>
      </c>
      <c r="I200" s="1" t="str">
        <f>Seket!I$9</f>
        <v>S05</v>
      </c>
      <c r="J200" s="1" t="str">
        <f>CONCATENATE(tblCong[[#This Row],[distCode]],"-",tblCong[[#This Row],[sCode]])</f>
        <v>D01-S05</v>
      </c>
      <c r="K200" s="1" t="str">
        <f>VLOOKUP(tblCong[[#This Row],[seketCode]],tblSeket[#All],5,FALSE)</f>
        <v>Hube</v>
      </c>
      <c r="L200" s="1" t="str">
        <f>Paris!L$44</f>
        <v>P10</v>
      </c>
      <c r="M200" s="1" t="str">
        <f>CONCATENATE(tblCong[[#This Row],[seketCode]],"-",tblCong[[#This Row],[pCode]])</f>
        <v>D01-S05-P10</v>
      </c>
      <c r="N200" s="1" t="str">
        <f>Paris!M$44</f>
        <v>Tobou</v>
      </c>
      <c r="O200" s="1" t="s">
        <v>573</v>
      </c>
      <c r="P200" s="1" t="s">
        <v>756</v>
      </c>
    </row>
    <row r="201" spans="6:16" x14ac:dyDescent="0.35">
      <c r="F201" s="1" t="str">
        <f>CONCATENATE(tblCong[[#This Row],[parishCode]],"-",tblCong[[#This Row],[kCode]])</f>
        <v>D01-S05-P10-K05</v>
      </c>
      <c r="G201" s="1" t="str">
        <f>Distrik!F$5</f>
        <v>D01</v>
      </c>
      <c r="H201" s="1" t="str">
        <f>VLOOKUP(tblCong[[#This Row],[distCode]],tblDistrict[#All],2)</f>
        <v>Kâte</v>
      </c>
      <c r="I201" s="1" t="str">
        <f>Seket!I$9</f>
        <v>S05</v>
      </c>
      <c r="J201" s="1" t="str">
        <f>CONCATENATE(tblCong[[#This Row],[distCode]],"-",tblCong[[#This Row],[sCode]])</f>
        <v>D01-S05</v>
      </c>
      <c r="K201" s="1" t="str">
        <f>VLOOKUP(tblCong[[#This Row],[seketCode]],tblSeket[#All],5,FALSE)</f>
        <v>Hube</v>
      </c>
      <c r="L201" s="1" t="str">
        <f>Paris!L$44</f>
        <v>P10</v>
      </c>
      <c r="M201" s="1" t="str">
        <f>CONCATENATE(tblCong[[#This Row],[seketCode]],"-",tblCong[[#This Row],[pCode]])</f>
        <v>D01-S05-P10</v>
      </c>
      <c r="N201" s="1" t="str">
        <f>Paris!M$44</f>
        <v>Tobou</v>
      </c>
      <c r="O201" s="1" t="s">
        <v>575</v>
      </c>
      <c r="P201" s="1" t="s">
        <v>340</v>
      </c>
    </row>
    <row r="202" spans="6:16" x14ac:dyDescent="0.35">
      <c r="F202" s="1" t="str">
        <f>CONCATENATE(tblCong[[#This Row],[parishCode]],"-",tblCong[[#This Row],[kCode]])</f>
        <v>D01-S05-P10-K06</v>
      </c>
      <c r="G202" s="1" t="str">
        <f>Distrik!F$5</f>
        <v>D01</v>
      </c>
      <c r="H202" s="1" t="str">
        <f>VLOOKUP(tblCong[[#This Row],[distCode]],tblDistrict[#All],2)</f>
        <v>Kâte</v>
      </c>
      <c r="I202" s="1" t="str">
        <f>Seket!I$9</f>
        <v>S05</v>
      </c>
      <c r="J202" s="1" t="str">
        <f>CONCATENATE(tblCong[[#This Row],[distCode]],"-",tblCong[[#This Row],[sCode]])</f>
        <v>D01-S05</v>
      </c>
      <c r="K202" s="1" t="str">
        <f>VLOOKUP(tblCong[[#This Row],[seketCode]],tblSeket[#All],5,FALSE)</f>
        <v>Hube</v>
      </c>
      <c r="L202" s="1" t="str">
        <f>Paris!L$44</f>
        <v>P10</v>
      </c>
      <c r="M202" s="1" t="str">
        <f>CONCATENATE(tblCong[[#This Row],[seketCode]],"-",tblCong[[#This Row],[pCode]])</f>
        <v>D01-S05-P10</v>
      </c>
      <c r="N202" s="1" t="str">
        <f>Paris!M$44</f>
        <v>Tobou</v>
      </c>
      <c r="O202" s="1" t="s">
        <v>576</v>
      </c>
      <c r="P202" s="1" t="s">
        <v>757</v>
      </c>
    </row>
    <row r="203" spans="6:16" x14ac:dyDescent="0.35">
      <c r="F203" s="1" t="str">
        <f>CONCATENATE(tblCong[[#This Row],[parishCode]],"-",tblCong[[#This Row],[kCode]])</f>
        <v>D01-S05-P10-K07</v>
      </c>
      <c r="G203" s="1" t="str">
        <f>Distrik!F$5</f>
        <v>D01</v>
      </c>
      <c r="H203" s="1" t="str">
        <f>VLOOKUP(tblCong[[#This Row],[distCode]],tblDistrict[#All],2)</f>
        <v>Kâte</v>
      </c>
      <c r="I203" s="1" t="str">
        <f>Seket!I$9</f>
        <v>S05</v>
      </c>
      <c r="J203" s="1" t="str">
        <f>CONCATENATE(tblCong[[#This Row],[distCode]],"-",tblCong[[#This Row],[sCode]])</f>
        <v>D01-S05</v>
      </c>
      <c r="K203" s="1" t="str">
        <f>VLOOKUP(tblCong[[#This Row],[seketCode]],tblSeket[#All],5,FALSE)</f>
        <v>Hube</v>
      </c>
      <c r="L203" s="1" t="str">
        <f>Paris!L$44</f>
        <v>P10</v>
      </c>
      <c r="M203" s="1" t="str">
        <f>CONCATENATE(tblCong[[#This Row],[seketCode]],"-",tblCong[[#This Row],[pCode]])</f>
        <v>D01-S05-P10</v>
      </c>
      <c r="N203" s="1" t="str">
        <f>Paris!M$44</f>
        <v>Tobou</v>
      </c>
      <c r="O203" s="1" t="s">
        <v>578</v>
      </c>
      <c r="P203" s="1" t="s">
        <v>758</v>
      </c>
    </row>
    <row r="204" spans="6:16" x14ac:dyDescent="0.35">
      <c r="F204" s="1" t="str">
        <f>CONCATENATE(tblCong[[#This Row],[parishCode]],"-",tblCong[[#This Row],[kCode]])</f>
        <v>D01-S05-P11-K01</v>
      </c>
      <c r="G204" s="1" t="str">
        <f>Distrik!F$5</f>
        <v>D01</v>
      </c>
      <c r="H204" s="1" t="str">
        <f>VLOOKUP(tblCong[[#This Row],[distCode]],tblDistrict[#All],2)</f>
        <v>Kâte</v>
      </c>
      <c r="I204" s="1" t="str">
        <f>Seket!I$9</f>
        <v>S05</v>
      </c>
      <c r="J204" s="1" t="str">
        <f>CONCATENATE(tblCong[[#This Row],[distCode]],"-",tblCong[[#This Row],[sCode]])</f>
        <v>D01-S05</v>
      </c>
      <c r="K204" s="1" t="str">
        <f>VLOOKUP(tblCong[[#This Row],[seketCode]],tblSeket[#All],5,FALSE)</f>
        <v>Hube</v>
      </c>
      <c r="L204" s="1" t="str">
        <f>Paris!L$45</f>
        <v>P11</v>
      </c>
      <c r="M204" s="1" t="str">
        <f>CONCATENATE(tblCong[[#This Row],[seketCode]],"-",tblCong[[#This Row],[pCode]])</f>
        <v>D01-S05-P11</v>
      </c>
      <c r="N204" s="1" t="str">
        <f>Paris!M$45</f>
        <v>Wengai</v>
      </c>
      <c r="O204" s="1" t="s">
        <v>567</v>
      </c>
      <c r="P204" s="1" t="s">
        <v>759</v>
      </c>
    </row>
    <row r="205" spans="6:16" x14ac:dyDescent="0.35">
      <c r="F205" s="1" t="str">
        <f>CONCATENATE(tblCong[[#This Row],[parishCode]],"-",tblCong[[#This Row],[kCode]])</f>
        <v>D01-S05-P11-K02</v>
      </c>
      <c r="G205" s="1" t="str">
        <f>Distrik!F$5</f>
        <v>D01</v>
      </c>
      <c r="H205" s="1" t="str">
        <f>VLOOKUP(tblCong[[#This Row],[distCode]],tblDistrict[#All],2)</f>
        <v>Kâte</v>
      </c>
      <c r="I205" s="1" t="str">
        <f>Seket!I$9</f>
        <v>S05</v>
      </c>
      <c r="J205" s="1" t="str">
        <f>CONCATENATE(tblCong[[#This Row],[distCode]],"-",tblCong[[#This Row],[sCode]])</f>
        <v>D01-S05</v>
      </c>
      <c r="K205" s="1" t="str">
        <f>VLOOKUP(tblCong[[#This Row],[seketCode]],tblSeket[#All],5,FALSE)</f>
        <v>Hube</v>
      </c>
      <c r="L205" s="1" t="str">
        <f>Paris!L$45</f>
        <v>P11</v>
      </c>
      <c r="M205" s="1" t="str">
        <f>CONCATENATE(tblCong[[#This Row],[seketCode]],"-",tblCong[[#This Row],[pCode]])</f>
        <v>D01-S05-P11</v>
      </c>
      <c r="N205" s="1" t="str">
        <f>Paris!M$45</f>
        <v>Wengai</v>
      </c>
      <c r="O205" s="1" t="s">
        <v>569</v>
      </c>
      <c r="P205" s="1" t="s">
        <v>760</v>
      </c>
    </row>
    <row r="206" spans="6:16" x14ac:dyDescent="0.35">
      <c r="F206" s="1" t="str">
        <f>CONCATENATE(tblCong[[#This Row],[parishCode]],"-",tblCong[[#This Row],[kCode]])</f>
        <v>D01-S05-P11-K03</v>
      </c>
      <c r="G206" s="1" t="str">
        <f>Distrik!F$5</f>
        <v>D01</v>
      </c>
      <c r="H206" s="1" t="str">
        <f>VLOOKUP(tblCong[[#This Row],[distCode]],tblDistrict[#All],2)</f>
        <v>Kâte</v>
      </c>
      <c r="I206" s="1" t="str">
        <f>Seket!I$9</f>
        <v>S05</v>
      </c>
      <c r="J206" s="1" t="str">
        <f>CONCATENATE(tblCong[[#This Row],[distCode]],"-",tblCong[[#This Row],[sCode]])</f>
        <v>D01-S05</v>
      </c>
      <c r="K206" s="1" t="str">
        <f>VLOOKUP(tblCong[[#This Row],[seketCode]],tblSeket[#All],5,FALSE)</f>
        <v>Hube</v>
      </c>
      <c r="L206" s="1" t="str">
        <f>Paris!L$45</f>
        <v>P11</v>
      </c>
      <c r="M206" s="1" t="str">
        <f>CONCATENATE(tblCong[[#This Row],[seketCode]],"-",tblCong[[#This Row],[pCode]])</f>
        <v>D01-S05-P11</v>
      </c>
      <c r="N206" s="1" t="str">
        <f>Paris!M$45</f>
        <v>Wengai</v>
      </c>
      <c r="O206" s="1" t="s">
        <v>571</v>
      </c>
      <c r="P206" s="1" t="s">
        <v>761</v>
      </c>
    </row>
    <row r="207" spans="6:16" x14ac:dyDescent="0.35">
      <c r="F207" s="1" t="str">
        <f>CONCATENATE(tblCong[[#This Row],[parishCode]],"-",tblCong[[#This Row],[kCode]])</f>
        <v>D01-S05-P11-K04</v>
      </c>
      <c r="G207" s="1" t="str">
        <f>Distrik!F$5</f>
        <v>D01</v>
      </c>
      <c r="H207" s="1" t="str">
        <f>VLOOKUP(tblCong[[#This Row],[distCode]],tblDistrict[#All],2)</f>
        <v>Kâte</v>
      </c>
      <c r="I207" s="1" t="str">
        <f>Seket!I$9</f>
        <v>S05</v>
      </c>
      <c r="J207" s="1" t="str">
        <f>CONCATENATE(tblCong[[#This Row],[distCode]],"-",tblCong[[#This Row],[sCode]])</f>
        <v>D01-S05</v>
      </c>
      <c r="K207" s="1" t="str">
        <f>VLOOKUP(tblCong[[#This Row],[seketCode]],tblSeket[#All],5,FALSE)</f>
        <v>Hube</v>
      </c>
      <c r="L207" s="1" t="str">
        <f>Paris!L$45</f>
        <v>P11</v>
      </c>
      <c r="M207" s="1" t="str">
        <f>CONCATENATE(tblCong[[#This Row],[seketCode]],"-",tblCong[[#This Row],[pCode]])</f>
        <v>D01-S05-P11</v>
      </c>
      <c r="N207" s="1" t="str">
        <f>Paris!M$45</f>
        <v>Wengai</v>
      </c>
      <c r="O207" s="1" t="s">
        <v>573</v>
      </c>
      <c r="P207" s="1" t="s">
        <v>762</v>
      </c>
    </row>
    <row r="208" spans="6:16" x14ac:dyDescent="0.35">
      <c r="F208" s="1" t="str">
        <f>CONCATENATE(tblCong[[#This Row],[parishCode]],"-",tblCong[[#This Row],[kCode]])</f>
        <v>D01-S05-P11-K05</v>
      </c>
      <c r="G208" s="1" t="str">
        <f>Distrik!F$5</f>
        <v>D01</v>
      </c>
      <c r="H208" s="1" t="str">
        <f>VLOOKUP(tblCong[[#This Row],[distCode]],tblDistrict[#All],2)</f>
        <v>Kâte</v>
      </c>
      <c r="I208" s="1" t="str">
        <f>Seket!I$9</f>
        <v>S05</v>
      </c>
      <c r="J208" s="1" t="str">
        <f>CONCATENATE(tblCong[[#This Row],[distCode]],"-",tblCong[[#This Row],[sCode]])</f>
        <v>D01-S05</v>
      </c>
      <c r="K208" s="1" t="str">
        <f>VLOOKUP(tblCong[[#This Row],[seketCode]],tblSeket[#All],5,FALSE)</f>
        <v>Hube</v>
      </c>
      <c r="L208" s="1" t="str">
        <f>Paris!L$45</f>
        <v>P11</v>
      </c>
      <c r="M208" s="1" t="str">
        <f>CONCATENATE(tblCong[[#This Row],[seketCode]],"-",tblCong[[#This Row],[pCode]])</f>
        <v>D01-S05-P11</v>
      </c>
      <c r="N208" s="1" t="str">
        <f>Paris!M$45</f>
        <v>Wengai</v>
      </c>
      <c r="O208" s="1" t="s">
        <v>575</v>
      </c>
      <c r="P208" s="1" t="s">
        <v>763</v>
      </c>
    </row>
    <row r="209" spans="6:16" x14ac:dyDescent="0.35">
      <c r="F209" s="1" t="str">
        <f>CONCATENATE(tblCong[[#This Row],[parishCode]],"-",tblCong[[#This Row],[kCode]])</f>
        <v>D01-S06-P01-K01</v>
      </c>
      <c r="G209" s="1" t="str">
        <f>Distrik!F$5</f>
        <v>D01</v>
      </c>
      <c r="H209" s="1" t="str">
        <f>VLOOKUP(tblCong[[#This Row],[distCode]],tblDistrict[#All],2)</f>
        <v>Kâte</v>
      </c>
      <c r="I209" s="1" t="str">
        <f>Seket!I$10</f>
        <v>S06</v>
      </c>
      <c r="J209" s="1" t="str">
        <f>CONCATENATE(tblCong[[#This Row],[distCode]],"-",tblCong[[#This Row],[sCode]])</f>
        <v>D01-S06</v>
      </c>
      <c r="K209" s="1" t="str">
        <f>VLOOKUP(tblCong[[#This Row],[seketCode]],tblSeket[#All],5,FALSE)</f>
        <v>Somba</v>
      </c>
      <c r="L209" s="1" t="str">
        <f>Paris!L$46</f>
        <v>P01</v>
      </c>
      <c r="M209" s="1" t="str">
        <f>CONCATENATE(tblCong[[#This Row],[seketCode]],"-",tblCong[[#This Row],[pCode]])</f>
        <v>D01-S06-P01</v>
      </c>
      <c r="N209" s="1" t="str">
        <f>Paris!M$46</f>
        <v>Gang</v>
      </c>
      <c r="O209" s="1" t="s">
        <v>567</v>
      </c>
      <c r="P209" s="1" t="s">
        <v>764</v>
      </c>
    </row>
    <row r="210" spans="6:16" x14ac:dyDescent="0.35">
      <c r="F210" s="1" t="str">
        <f>CONCATENATE(tblCong[[#This Row],[parishCode]],"-",tblCong[[#This Row],[kCode]])</f>
        <v>D01-S06-P01-K02</v>
      </c>
      <c r="G210" s="1" t="str">
        <f>Distrik!F$5</f>
        <v>D01</v>
      </c>
      <c r="H210" s="1" t="str">
        <f>VLOOKUP(tblCong[[#This Row],[distCode]],tblDistrict[#All],2)</f>
        <v>Kâte</v>
      </c>
      <c r="I210" s="1" t="str">
        <f>Seket!I$10</f>
        <v>S06</v>
      </c>
      <c r="J210" s="1" t="str">
        <f>CONCATENATE(tblCong[[#This Row],[distCode]],"-",tblCong[[#This Row],[sCode]])</f>
        <v>D01-S06</v>
      </c>
      <c r="K210" s="1" t="str">
        <f>VLOOKUP(tblCong[[#This Row],[seketCode]],tblSeket[#All],5,FALSE)</f>
        <v>Somba</v>
      </c>
      <c r="L210" s="1" t="str">
        <f>Paris!L$46</f>
        <v>P01</v>
      </c>
      <c r="M210" s="1" t="str">
        <f>CONCATENATE(tblCong[[#This Row],[seketCode]],"-",tblCong[[#This Row],[pCode]])</f>
        <v>D01-S06-P01</v>
      </c>
      <c r="N210" s="1" t="str">
        <f>Paris!M$46</f>
        <v>Gang</v>
      </c>
      <c r="O210" s="1" t="s">
        <v>569</v>
      </c>
      <c r="P210" s="1" t="s">
        <v>765</v>
      </c>
    </row>
    <row r="211" spans="6:16" x14ac:dyDescent="0.35">
      <c r="F211" s="1" t="str">
        <f>CONCATENATE(tblCong[[#This Row],[parishCode]],"-",tblCong[[#This Row],[kCode]])</f>
        <v>D01-S06-P01-K03</v>
      </c>
      <c r="G211" s="1" t="str">
        <f>Distrik!F$5</f>
        <v>D01</v>
      </c>
      <c r="H211" s="1" t="str">
        <f>VLOOKUP(tblCong[[#This Row],[distCode]],tblDistrict[#All],2)</f>
        <v>Kâte</v>
      </c>
      <c r="I211" s="1" t="str">
        <f>Seket!I$10</f>
        <v>S06</v>
      </c>
      <c r="J211" s="1" t="str">
        <f>CONCATENATE(tblCong[[#This Row],[distCode]],"-",tblCong[[#This Row],[sCode]])</f>
        <v>D01-S06</v>
      </c>
      <c r="K211" s="1" t="str">
        <f>VLOOKUP(tblCong[[#This Row],[seketCode]],tblSeket[#All],5,FALSE)</f>
        <v>Somba</v>
      </c>
      <c r="L211" s="1" t="str">
        <f>Paris!L$46</f>
        <v>P01</v>
      </c>
      <c r="M211" s="1" t="str">
        <f>CONCATENATE(tblCong[[#This Row],[seketCode]],"-",tblCong[[#This Row],[pCode]])</f>
        <v>D01-S06-P01</v>
      </c>
      <c r="N211" s="1" t="str">
        <f>Paris!M$46</f>
        <v>Gang</v>
      </c>
      <c r="O211" s="1" t="s">
        <v>571</v>
      </c>
      <c r="P211" s="1" t="s">
        <v>766</v>
      </c>
    </row>
    <row r="212" spans="6:16" x14ac:dyDescent="0.35">
      <c r="F212" s="1" t="str">
        <f>CONCATENATE(tblCong[[#This Row],[parishCode]],"-",tblCong[[#This Row],[kCode]])</f>
        <v>D01-S06-P01-K04</v>
      </c>
      <c r="G212" s="1" t="str">
        <f>Distrik!F$5</f>
        <v>D01</v>
      </c>
      <c r="H212" s="1" t="str">
        <f>VLOOKUP(tblCong[[#This Row],[distCode]],tblDistrict[#All],2)</f>
        <v>Kâte</v>
      </c>
      <c r="I212" s="1" t="str">
        <f>Seket!I$10</f>
        <v>S06</v>
      </c>
      <c r="J212" s="1" t="str">
        <f>CONCATENATE(tblCong[[#This Row],[distCode]],"-",tblCong[[#This Row],[sCode]])</f>
        <v>D01-S06</v>
      </c>
      <c r="K212" s="1" t="str">
        <f>VLOOKUP(tblCong[[#This Row],[seketCode]],tblSeket[#All],5,FALSE)</f>
        <v>Somba</v>
      </c>
      <c r="L212" s="1" t="str">
        <f>Paris!L$46</f>
        <v>P01</v>
      </c>
      <c r="M212" s="1" t="str">
        <f>CONCATENATE(tblCong[[#This Row],[seketCode]],"-",tblCong[[#This Row],[pCode]])</f>
        <v>D01-S06-P01</v>
      </c>
      <c r="N212" s="1" t="str">
        <f>Paris!M$46</f>
        <v>Gang</v>
      </c>
      <c r="O212" s="1" t="s">
        <v>573</v>
      </c>
      <c r="P212" s="1" t="s">
        <v>767</v>
      </c>
    </row>
    <row r="213" spans="6:16" x14ac:dyDescent="0.35">
      <c r="F213" s="1" t="str">
        <f>CONCATENATE(tblCong[[#This Row],[parishCode]],"-",tblCong[[#This Row],[kCode]])</f>
        <v>D01-S06-P01-K05</v>
      </c>
      <c r="G213" s="1" t="str">
        <f>Distrik!F$5</f>
        <v>D01</v>
      </c>
      <c r="H213" s="1" t="str">
        <f>VLOOKUP(tblCong[[#This Row],[distCode]],tblDistrict[#All],2)</f>
        <v>Kâte</v>
      </c>
      <c r="I213" s="1" t="str">
        <f>Seket!I$10</f>
        <v>S06</v>
      </c>
      <c r="J213" s="1" t="str">
        <f>CONCATENATE(tblCong[[#This Row],[distCode]],"-",tblCong[[#This Row],[sCode]])</f>
        <v>D01-S06</v>
      </c>
      <c r="K213" s="1" t="str">
        <f>VLOOKUP(tblCong[[#This Row],[seketCode]],tblSeket[#All],5,FALSE)</f>
        <v>Somba</v>
      </c>
      <c r="L213" s="1" t="str">
        <f>Paris!L$46</f>
        <v>P01</v>
      </c>
      <c r="M213" s="1" t="str">
        <f>CONCATENATE(tblCong[[#This Row],[seketCode]],"-",tblCong[[#This Row],[pCode]])</f>
        <v>D01-S06-P01</v>
      </c>
      <c r="N213" s="1" t="str">
        <f>Paris!M$46</f>
        <v>Gang</v>
      </c>
      <c r="O213" s="1" t="s">
        <v>575</v>
      </c>
      <c r="P213" s="1" t="s">
        <v>768</v>
      </c>
    </row>
    <row r="214" spans="6:16" x14ac:dyDescent="0.35">
      <c r="F214" s="1" t="str">
        <f>CONCATENATE(tblCong[[#This Row],[parishCode]],"-",tblCong[[#This Row],[kCode]])</f>
        <v>D01-S06-P01-K06</v>
      </c>
      <c r="G214" s="1" t="str">
        <f>Distrik!F$5</f>
        <v>D01</v>
      </c>
      <c r="H214" s="1" t="str">
        <f>VLOOKUP(tblCong[[#This Row],[distCode]],tblDistrict[#All],2)</f>
        <v>Kâte</v>
      </c>
      <c r="I214" s="1" t="str">
        <f>Seket!I$10</f>
        <v>S06</v>
      </c>
      <c r="J214" s="1" t="str">
        <f>CONCATENATE(tblCong[[#This Row],[distCode]],"-",tblCong[[#This Row],[sCode]])</f>
        <v>D01-S06</v>
      </c>
      <c r="K214" s="1" t="str">
        <f>VLOOKUP(tblCong[[#This Row],[seketCode]],tblSeket[#All],5,FALSE)</f>
        <v>Somba</v>
      </c>
      <c r="L214" s="1" t="str">
        <f>Paris!L$46</f>
        <v>P01</v>
      </c>
      <c r="M214" s="1" t="str">
        <f>CONCATENATE(tblCong[[#This Row],[seketCode]],"-",tblCong[[#This Row],[pCode]])</f>
        <v>D01-S06-P01</v>
      </c>
      <c r="N214" s="1" t="str">
        <f>Paris!M$46</f>
        <v>Gang</v>
      </c>
      <c r="O214" s="1" t="s">
        <v>576</v>
      </c>
      <c r="P214" s="1" t="s">
        <v>769</v>
      </c>
    </row>
    <row r="215" spans="6:16" x14ac:dyDescent="0.35">
      <c r="F215" s="1" t="str">
        <f>CONCATENATE(tblCong[[#This Row],[parishCode]],"-",tblCong[[#This Row],[kCode]])</f>
        <v>D01-S06-P02-K01</v>
      </c>
      <c r="G215" s="1" t="str">
        <f>Distrik!F$5</f>
        <v>D01</v>
      </c>
      <c r="H215" s="1" t="str">
        <f>VLOOKUP(tblCong[[#This Row],[distCode]],tblDistrict[#All],2)</f>
        <v>Kâte</v>
      </c>
      <c r="I215" s="1" t="str">
        <f>Seket!I$10</f>
        <v>S06</v>
      </c>
      <c r="J215" s="1" t="str">
        <f>CONCATENATE(tblCong[[#This Row],[distCode]],"-",tblCong[[#This Row],[sCode]])</f>
        <v>D01-S06</v>
      </c>
      <c r="K215" s="1" t="str">
        <f>VLOOKUP(tblCong[[#This Row],[seketCode]],tblSeket[#All],5,FALSE)</f>
        <v>Somba</v>
      </c>
      <c r="L215" s="1" t="str">
        <f>Paris!L$47</f>
        <v>P02</v>
      </c>
      <c r="M215" s="1" t="str">
        <f>CONCATENATE(tblCong[[#This Row],[seketCode]],"-",tblCong[[#This Row],[pCode]])</f>
        <v>D01-S06-P02</v>
      </c>
      <c r="N215" s="1" t="str">
        <f>Paris!M$47</f>
        <v>Buze</v>
      </c>
      <c r="O215" s="1" t="s">
        <v>567</v>
      </c>
      <c r="P215" s="1" t="s">
        <v>770</v>
      </c>
    </row>
    <row r="216" spans="6:16" x14ac:dyDescent="0.35">
      <c r="F216" s="1" t="str">
        <f>CONCATENATE(tblCong[[#This Row],[parishCode]],"-",tblCong[[#This Row],[kCode]])</f>
        <v>D01-S06-P02-K02</v>
      </c>
      <c r="G216" s="1" t="str">
        <f>Distrik!F$5</f>
        <v>D01</v>
      </c>
      <c r="H216" s="1" t="str">
        <f>VLOOKUP(tblCong[[#This Row],[distCode]],tblDistrict[#All],2)</f>
        <v>Kâte</v>
      </c>
      <c r="I216" s="1" t="str">
        <f>Seket!I$10</f>
        <v>S06</v>
      </c>
      <c r="J216" s="1" t="str">
        <f>CONCATENATE(tblCong[[#This Row],[distCode]],"-",tblCong[[#This Row],[sCode]])</f>
        <v>D01-S06</v>
      </c>
      <c r="K216" s="1" t="str">
        <f>VLOOKUP(tblCong[[#This Row],[seketCode]],tblSeket[#All],5,FALSE)</f>
        <v>Somba</v>
      </c>
      <c r="L216" s="1" t="str">
        <f>Paris!L$47</f>
        <v>P02</v>
      </c>
      <c r="M216" s="1" t="str">
        <f>CONCATENATE(tblCong[[#This Row],[seketCode]],"-",tblCong[[#This Row],[pCode]])</f>
        <v>D01-S06-P02</v>
      </c>
      <c r="N216" s="1" t="str">
        <f>Paris!M$47</f>
        <v>Buze</v>
      </c>
      <c r="O216" s="1" t="s">
        <v>569</v>
      </c>
      <c r="P216" s="1" t="s">
        <v>771</v>
      </c>
    </row>
    <row r="217" spans="6:16" x14ac:dyDescent="0.35">
      <c r="F217" s="1" t="str">
        <f>CONCATENATE(tblCong[[#This Row],[parishCode]],"-",tblCong[[#This Row],[kCode]])</f>
        <v>D01-S06-P02-K03</v>
      </c>
      <c r="G217" s="1" t="str">
        <f>Distrik!F$5</f>
        <v>D01</v>
      </c>
      <c r="H217" s="1" t="str">
        <f>VLOOKUP(tblCong[[#This Row],[distCode]],tblDistrict[#All],2)</f>
        <v>Kâte</v>
      </c>
      <c r="I217" s="1" t="str">
        <f>Seket!I$10</f>
        <v>S06</v>
      </c>
      <c r="J217" s="1" t="str">
        <f>CONCATENATE(tblCong[[#This Row],[distCode]],"-",tblCong[[#This Row],[sCode]])</f>
        <v>D01-S06</v>
      </c>
      <c r="K217" s="1" t="str">
        <f>VLOOKUP(tblCong[[#This Row],[seketCode]],tblSeket[#All],5,FALSE)</f>
        <v>Somba</v>
      </c>
      <c r="L217" s="1" t="str">
        <f>Paris!L$47</f>
        <v>P02</v>
      </c>
      <c r="M217" s="1" t="str">
        <f>CONCATENATE(tblCong[[#This Row],[seketCode]],"-",tblCong[[#This Row],[pCode]])</f>
        <v>D01-S06-P02</v>
      </c>
      <c r="N217" s="1" t="str">
        <f>Paris!M$47</f>
        <v>Buze</v>
      </c>
      <c r="O217" s="1" t="s">
        <v>571</v>
      </c>
      <c r="P217" s="1" t="s">
        <v>772</v>
      </c>
    </row>
    <row r="218" spans="6:16" x14ac:dyDescent="0.35">
      <c r="F218" s="1" t="str">
        <f>CONCATENATE(tblCong[[#This Row],[parishCode]],"-",tblCong[[#This Row],[kCode]])</f>
        <v>D01-S06-P02-K04</v>
      </c>
      <c r="G218" s="1" t="str">
        <f>Distrik!F$5</f>
        <v>D01</v>
      </c>
      <c r="H218" s="1" t="str">
        <f>VLOOKUP(tblCong[[#This Row],[distCode]],tblDistrict[#All],2)</f>
        <v>Kâte</v>
      </c>
      <c r="I218" s="1" t="str">
        <f>Seket!I$10</f>
        <v>S06</v>
      </c>
      <c r="J218" s="1" t="str">
        <f>CONCATENATE(tblCong[[#This Row],[distCode]],"-",tblCong[[#This Row],[sCode]])</f>
        <v>D01-S06</v>
      </c>
      <c r="K218" s="1" t="str">
        <f>VLOOKUP(tblCong[[#This Row],[seketCode]],tblSeket[#All],5,FALSE)</f>
        <v>Somba</v>
      </c>
      <c r="L218" s="1" t="str">
        <f>Paris!L$47</f>
        <v>P02</v>
      </c>
      <c r="M218" s="1" t="str">
        <f>CONCATENATE(tblCong[[#This Row],[seketCode]],"-",tblCong[[#This Row],[pCode]])</f>
        <v>D01-S06-P02</v>
      </c>
      <c r="N218" s="1" t="str">
        <f>Paris!M$47</f>
        <v>Buze</v>
      </c>
      <c r="O218" s="1" t="s">
        <v>573</v>
      </c>
      <c r="P218" s="1" t="s">
        <v>773</v>
      </c>
    </row>
    <row r="219" spans="6:16" x14ac:dyDescent="0.35">
      <c r="F219" s="1" t="str">
        <f>CONCATENATE(tblCong[[#This Row],[parishCode]],"-",tblCong[[#This Row],[kCode]])</f>
        <v>D01-S06-P02-K05</v>
      </c>
      <c r="G219" s="1" t="str">
        <f>Distrik!F$5</f>
        <v>D01</v>
      </c>
      <c r="H219" s="1" t="str">
        <f>VLOOKUP(tblCong[[#This Row],[distCode]],tblDistrict[#All],2)</f>
        <v>Kâte</v>
      </c>
      <c r="I219" s="1" t="str">
        <f>Seket!I$10</f>
        <v>S06</v>
      </c>
      <c r="J219" s="1" t="str">
        <f>CONCATENATE(tblCong[[#This Row],[distCode]],"-",tblCong[[#This Row],[sCode]])</f>
        <v>D01-S06</v>
      </c>
      <c r="K219" s="1" t="str">
        <f>VLOOKUP(tblCong[[#This Row],[seketCode]],tblSeket[#All],5,FALSE)</f>
        <v>Somba</v>
      </c>
      <c r="L219" s="1" t="str">
        <f>Paris!L$47</f>
        <v>P02</v>
      </c>
      <c r="M219" s="1" t="str">
        <f>CONCATENATE(tblCong[[#This Row],[seketCode]],"-",tblCong[[#This Row],[pCode]])</f>
        <v>D01-S06-P02</v>
      </c>
      <c r="N219" s="1" t="str">
        <f>Paris!M$47</f>
        <v>Buze</v>
      </c>
      <c r="O219" s="1" t="s">
        <v>575</v>
      </c>
      <c r="P219" s="1" t="s">
        <v>774</v>
      </c>
    </row>
    <row r="220" spans="6:16" x14ac:dyDescent="0.35">
      <c r="F220" s="1" t="str">
        <f>CONCATENATE(tblCong[[#This Row],[parishCode]],"-",tblCong[[#This Row],[kCode]])</f>
        <v>D01-S06-P02-K06</v>
      </c>
      <c r="G220" s="1" t="str">
        <f>Distrik!F$5</f>
        <v>D01</v>
      </c>
      <c r="H220" s="1" t="str">
        <f>VLOOKUP(tblCong[[#This Row],[distCode]],tblDistrict[#All],2)</f>
        <v>Kâte</v>
      </c>
      <c r="I220" s="1" t="str">
        <f>Seket!I$10</f>
        <v>S06</v>
      </c>
      <c r="J220" s="1" t="str">
        <f>CONCATENATE(tblCong[[#This Row],[distCode]],"-",tblCong[[#This Row],[sCode]])</f>
        <v>D01-S06</v>
      </c>
      <c r="K220" s="1" t="str">
        <f>VLOOKUP(tblCong[[#This Row],[seketCode]],tblSeket[#All],5,FALSE)</f>
        <v>Somba</v>
      </c>
      <c r="L220" s="1" t="str">
        <f>Paris!L$47</f>
        <v>P02</v>
      </c>
      <c r="M220" s="1" t="str">
        <f>CONCATENATE(tblCong[[#This Row],[seketCode]],"-",tblCong[[#This Row],[pCode]])</f>
        <v>D01-S06-P02</v>
      </c>
      <c r="N220" s="1" t="str">
        <f>Paris!M$47</f>
        <v>Buze</v>
      </c>
      <c r="O220" s="1" t="s">
        <v>576</v>
      </c>
      <c r="P220" s="1" t="s">
        <v>775</v>
      </c>
    </row>
    <row r="221" spans="6:16" x14ac:dyDescent="0.35">
      <c r="F221" s="1" t="str">
        <f>CONCATENATE(tblCong[[#This Row],[parishCode]],"-",tblCong[[#This Row],[kCode]])</f>
        <v>D01-S06-P03-K01</v>
      </c>
      <c r="G221" s="1" t="str">
        <f>Distrik!F$5</f>
        <v>D01</v>
      </c>
      <c r="H221" s="1" t="str">
        <f>VLOOKUP(tblCong[[#This Row],[distCode]],tblDistrict[#All],2)</f>
        <v>Kâte</v>
      </c>
      <c r="I221" s="1" t="str">
        <f>Seket!I$10</f>
        <v>S06</v>
      </c>
      <c r="J221" s="1" t="str">
        <f>CONCATENATE(tblCong[[#This Row],[distCode]],"-",tblCong[[#This Row],[sCode]])</f>
        <v>D01-S06</v>
      </c>
      <c r="K221" s="1" t="str">
        <f>VLOOKUP(tblCong[[#This Row],[seketCode]],tblSeket[#All],5,FALSE)</f>
        <v>Somba</v>
      </c>
      <c r="L221" s="1" t="str">
        <f>Paris!L$48</f>
        <v>P03</v>
      </c>
      <c r="M221" s="1" t="str">
        <f>CONCATENATE(tblCong[[#This Row],[seketCode]],"-",tblCong[[#This Row],[pCode]])</f>
        <v>D01-S06-P03</v>
      </c>
      <c r="N221" s="1" t="str">
        <f>Paris!M$48</f>
        <v>Sagiro</v>
      </c>
      <c r="O221" s="1" t="s">
        <v>567</v>
      </c>
      <c r="P221" s="1" t="s">
        <v>776</v>
      </c>
    </row>
    <row r="222" spans="6:16" x14ac:dyDescent="0.35">
      <c r="F222" s="1" t="str">
        <f>CONCATENATE(tblCong[[#This Row],[parishCode]],"-",tblCong[[#This Row],[kCode]])</f>
        <v>D01-S06-P03-K02</v>
      </c>
      <c r="G222" s="1" t="str">
        <f>Distrik!F$5</f>
        <v>D01</v>
      </c>
      <c r="H222" s="1" t="str">
        <f>VLOOKUP(tblCong[[#This Row],[distCode]],tblDistrict[#All],2)</f>
        <v>Kâte</v>
      </c>
      <c r="I222" s="1" t="str">
        <f>Seket!I$10</f>
        <v>S06</v>
      </c>
      <c r="J222" s="1" t="str">
        <f>CONCATENATE(tblCong[[#This Row],[distCode]],"-",tblCong[[#This Row],[sCode]])</f>
        <v>D01-S06</v>
      </c>
      <c r="K222" s="1" t="str">
        <f>VLOOKUP(tblCong[[#This Row],[seketCode]],tblSeket[#All],5,FALSE)</f>
        <v>Somba</v>
      </c>
      <c r="L222" s="1" t="str">
        <f>Paris!L$48</f>
        <v>P03</v>
      </c>
      <c r="M222" s="1" t="str">
        <f>CONCATENATE(tblCong[[#This Row],[seketCode]],"-",tblCong[[#This Row],[pCode]])</f>
        <v>D01-S06-P03</v>
      </c>
      <c r="N222" s="1" t="str">
        <f>Paris!M$48</f>
        <v>Sagiro</v>
      </c>
      <c r="O222" s="1" t="s">
        <v>569</v>
      </c>
      <c r="P222" s="1" t="s">
        <v>777</v>
      </c>
    </row>
    <row r="223" spans="6:16" x14ac:dyDescent="0.35">
      <c r="F223" s="1" t="str">
        <f>CONCATENATE(tblCong[[#This Row],[parishCode]],"-",tblCong[[#This Row],[kCode]])</f>
        <v>D01-S06-P03-K03</v>
      </c>
      <c r="G223" s="1" t="str">
        <f>Distrik!F$5</f>
        <v>D01</v>
      </c>
      <c r="H223" s="1" t="str">
        <f>VLOOKUP(tblCong[[#This Row],[distCode]],tblDistrict[#All],2)</f>
        <v>Kâte</v>
      </c>
      <c r="I223" s="1" t="str">
        <f>Seket!I$10</f>
        <v>S06</v>
      </c>
      <c r="J223" s="1" t="str">
        <f>CONCATENATE(tblCong[[#This Row],[distCode]],"-",tblCong[[#This Row],[sCode]])</f>
        <v>D01-S06</v>
      </c>
      <c r="K223" s="1" t="str">
        <f>VLOOKUP(tblCong[[#This Row],[seketCode]],tblSeket[#All],5,FALSE)</f>
        <v>Somba</v>
      </c>
      <c r="L223" s="1" t="str">
        <f>Paris!L$48</f>
        <v>P03</v>
      </c>
      <c r="M223" s="1" t="str">
        <f>CONCATENATE(tblCong[[#This Row],[seketCode]],"-",tblCong[[#This Row],[pCode]])</f>
        <v>D01-S06-P03</v>
      </c>
      <c r="N223" s="1" t="str">
        <f>Paris!M$48</f>
        <v>Sagiro</v>
      </c>
      <c r="O223" s="1" t="s">
        <v>571</v>
      </c>
      <c r="P223" s="1" t="s">
        <v>778</v>
      </c>
    </row>
    <row r="224" spans="6:16" x14ac:dyDescent="0.35">
      <c r="F224" s="1" t="str">
        <f>CONCATENATE(tblCong[[#This Row],[parishCode]],"-",tblCong[[#This Row],[kCode]])</f>
        <v>D01-S06-P03-K04</v>
      </c>
      <c r="G224" s="1" t="str">
        <f>Distrik!F$5</f>
        <v>D01</v>
      </c>
      <c r="H224" s="1" t="str">
        <f>VLOOKUP(tblCong[[#This Row],[distCode]],tblDistrict[#All],2)</f>
        <v>Kâte</v>
      </c>
      <c r="I224" s="1" t="str">
        <f>Seket!I$10</f>
        <v>S06</v>
      </c>
      <c r="J224" s="1" t="str">
        <f>CONCATENATE(tblCong[[#This Row],[distCode]],"-",tblCong[[#This Row],[sCode]])</f>
        <v>D01-S06</v>
      </c>
      <c r="K224" s="1" t="str">
        <f>VLOOKUP(tblCong[[#This Row],[seketCode]],tblSeket[#All],5,FALSE)</f>
        <v>Somba</v>
      </c>
      <c r="L224" s="1" t="str">
        <f>Paris!L$48</f>
        <v>P03</v>
      </c>
      <c r="M224" s="1" t="str">
        <f>CONCATENATE(tblCong[[#This Row],[seketCode]],"-",tblCong[[#This Row],[pCode]])</f>
        <v>D01-S06-P03</v>
      </c>
      <c r="N224" s="1" t="str">
        <f>Paris!M$48</f>
        <v>Sagiro</v>
      </c>
      <c r="O224" s="1" t="s">
        <v>573</v>
      </c>
      <c r="P224" s="1" t="s">
        <v>259</v>
      </c>
    </row>
    <row r="225" spans="6:16" x14ac:dyDescent="0.35">
      <c r="F225" s="1" t="str">
        <f>CONCATENATE(tblCong[[#This Row],[parishCode]],"-",tblCong[[#This Row],[kCode]])</f>
        <v>D01-S06-P03-K05</v>
      </c>
      <c r="G225" s="1" t="str">
        <f>Distrik!F$5</f>
        <v>D01</v>
      </c>
      <c r="H225" s="1" t="str">
        <f>VLOOKUP(tblCong[[#This Row],[distCode]],tblDistrict[#All],2)</f>
        <v>Kâte</v>
      </c>
      <c r="I225" s="1" t="str">
        <f>Seket!I$10</f>
        <v>S06</v>
      </c>
      <c r="J225" s="1" t="str">
        <f>CONCATENATE(tblCong[[#This Row],[distCode]],"-",tblCong[[#This Row],[sCode]])</f>
        <v>D01-S06</v>
      </c>
      <c r="K225" s="1" t="str">
        <f>VLOOKUP(tblCong[[#This Row],[seketCode]],tblSeket[#All],5,FALSE)</f>
        <v>Somba</v>
      </c>
      <c r="L225" s="1" t="str">
        <f>Paris!L$48</f>
        <v>P03</v>
      </c>
      <c r="M225" s="1" t="str">
        <f>CONCATENATE(tblCong[[#This Row],[seketCode]],"-",tblCong[[#This Row],[pCode]])</f>
        <v>D01-S06-P03</v>
      </c>
      <c r="N225" s="1" t="str">
        <f>Paris!M$48</f>
        <v>Sagiro</v>
      </c>
      <c r="O225" s="1" t="s">
        <v>575</v>
      </c>
      <c r="P225" s="1" t="s">
        <v>779</v>
      </c>
    </row>
    <row r="226" spans="6:16" x14ac:dyDescent="0.35">
      <c r="F226" s="1" t="str">
        <f>CONCATENATE(tblCong[[#This Row],[parishCode]],"-",tblCong[[#This Row],[kCode]])</f>
        <v>D01-S06-P04-K01</v>
      </c>
      <c r="G226" s="1" t="str">
        <f>Distrik!F$5</f>
        <v>D01</v>
      </c>
      <c r="H226" s="1" t="str">
        <f>VLOOKUP(tblCong[[#This Row],[distCode]],tblDistrict[#All],2)</f>
        <v>Kâte</v>
      </c>
      <c r="I226" s="1" t="str">
        <f>Seket!I$10</f>
        <v>S06</v>
      </c>
      <c r="J226" s="1" t="str">
        <f>CONCATENATE(tblCong[[#This Row],[distCode]],"-",tblCong[[#This Row],[sCode]])</f>
        <v>D01-S06</v>
      </c>
      <c r="K226" s="1" t="str">
        <f>VLOOKUP(tblCong[[#This Row],[seketCode]],tblSeket[#All],5,FALSE)</f>
        <v>Somba</v>
      </c>
      <c r="L226" s="1" t="str">
        <f>Paris!L$49</f>
        <v>P04</v>
      </c>
      <c r="M226" s="1" t="str">
        <f>CONCATENATE(tblCong[[#This Row],[seketCode]],"-",tblCong[[#This Row],[pCode]])</f>
        <v>D01-S06-P04</v>
      </c>
      <c r="N226" s="1" t="str">
        <f>Paris!M$49</f>
        <v>Kemaip</v>
      </c>
      <c r="O226" s="1" t="s">
        <v>567</v>
      </c>
      <c r="P226" s="1" t="s">
        <v>780</v>
      </c>
    </row>
    <row r="227" spans="6:16" x14ac:dyDescent="0.35">
      <c r="F227" s="1" t="str">
        <f>CONCATENATE(tblCong[[#This Row],[parishCode]],"-",tblCong[[#This Row],[kCode]])</f>
        <v>D01-S06-P04-K02</v>
      </c>
      <c r="G227" s="1" t="str">
        <f>Distrik!F$5</f>
        <v>D01</v>
      </c>
      <c r="H227" s="1" t="str">
        <f>VLOOKUP(tblCong[[#This Row],[distCode]],tblDistrict[#All],2)</f>
        <v>Kâte</v>
      </c>
      <c r="I227" s="1" t="str">
        <f>Seket!I$10</f>
        <v>S06</v>
      </c>
      <c r="J227" s="1" t="str">
        <f>CONCATENATE(tblCong[[#This Row],[distCode]],"-",tblCong[[#This Row],[sCode]])</f>
        <v>D01-S06</v>
      </c>
      <c r="K227" s="1" t="str">
        <f>VLOOKUP(tblCong[[#This Row],[seketCode]],tblSeket[#All],5,FALSE)</f>
        <v>Somba</v>
      </c>
      <c r="L227" s="1" t="str">
        <f>Paris!L$49</f>
        <v>P04</v>
      </c>
      <c r="M227" s="1" t="str">
        <f>CONCATENATE(tblCong[[#This Row],[seketCode]],"-",tblCong[[#This Row],[pCode]])</f>
        <v>D01-S06-P04</v>
      </c>
      <c r="N227" s="1" t="str">
        <f>Paris!M$49</f>
        <v>Kemaip</v>
      </c>
      <c r="O227" s="1" t="s">
        <v>569</v>
      </c>
      <c r="P227" s="1" t="s">
        <v>781</v>
      </c>
    </row>
    <row r="228" spans="6:16" x14ac:dyDescent="0.35">
      <c r="F228" s="1" t="str">
        <f>CONCATENATE(tblCong[[#This Row],[parishCode]],"-",tblCong[[#This Row],[kCode]])</f>
        <v>D01-S06-P04-K03</v>
      </c>
      <c r="G228" s="1" t="str">
        <f>Distrik!F$5</f>
        <v>D01</v>
      </c>
      <c r="H228" s="1" t="str">
        <f>VLOOKUP(tblCong[[#This Row],[distCode]],tblDistrict[#All],2)</f>
        <v>Kâte</v>
      </c>
      <c r="I228" s="1" t="str">
        <f>Seket!I$10</f>
        <v>S06</v>
      </c>
      <c r="J228" s="1" t="str">
        <f>CONCATENATE(tblCong[[#This Row],[distCode]],"-",tblCong[[#This Row],[sCode]])</f>
        <v>D01-S06</v>
      </c>
      <c r="K228" s="1" t="str">
        <f>VLOOKUP(tblCong[[#This Row],[seketCode]],tblSeket[#All],5,FALSE)</f>
        <v>Somba</v>
      </c>
      <c r="L228" s="1" t="str">
        <f>Paris!L$49</f>
        <v>P04</v>
      </c>
      <c r="M228" s="1" t="str">
        <f>CONCATENATE(tblCong[[#This Row],[seketCode]],"-",tblCong[[#This Row],[pCode]])</f>
        <v>D01-S06-P04</v>
      </c>
      <c r="N228" s="1" t="str">
        <f>Paris!M$49</f>
        <v>Kemaip</v>
      </c>
      <c r="O228" s="1" t="s">
        <v>571</v>
      </c>
      <c r="P228" s="1" t="s">
        <v>782</v>
      </c>
    </row>
    <row r="229" spans="6:16" x14ac:dyDescent="0.35">
      <c r="F229" s="1" t="str">
        <f>CONCATENATE(tblCong[[#This Row],[parishCode]],"-",tblCong[[#This Row],[kCode]])</f>
        <v>D01-S06-P04-K04</v>
      </c>
      <c r="G229" s="1" t="str">
        <f>Distrik!F$5</f>
        <v>D01</v>
      </c>
      <c r="H229" s="1" t="str">
        <f>VLOOKUP(tblCong[[#This Row],[distCode]],tblDistrict[#All],2)</f>
        <v>Kâte</v>
      </c>
      <c r="I229" s="1" t="str">
        <f>Seket!I$10</f>
        <v>S06</v>
      </c>
      <c r="J229" s="1" t="str">
        <f>CONCATENATE(tblCong[[#This Row],[distCode]],"-",tblCong[[#This Row],[sCode]])</f>
        <v>D01-S06</v>
      </c>
      <c r="K229" s="1" t="str">
        <f>VLOOKUP(tblCong[[#This Row],[seketCode]],tblSeket[#All],5,FALSE)</f>
        <v>Somba</v>
      </c>
      <c r="L229" s="1" t="str">
        <f>Paris!L$49</f>
        <v>P04</v>
      </c>
      <c r="M229" s="1" t="str">
        <f>CONCATENATE(tblCong[[#This Row],[seketCode]],"-",tblCong[[#This Row],[pCode]])</f>
        <v>D01-S06-P04</v>
      </c>
      <c r="N229" s="1" t="str">
        <f>Paris!M$49</f>
        <v>Kemaip</v>
      </c>
      <c r="O229" s="1" t="s">
        <v>573</v>
      </c>
      <c r="P229" s="1" t="s">
        <v>783</v>
      </c>
    </row>
    <row r="230" spans="6:16" x14ac:dyDescent="0.35">
      <c r="F230" s="1" t="str">
        <f>CONCATENATE(tblCong[[#This Row],[parishCode]],"-",tblCong[[#This Row],[kCode]])</f>
        <v>D01-S06-P04-K05</v>
      </c>
      <c r="G230" s="1" t="str">
        <f>Distrik!F$5</f>
        <v>D01</v>
      </c>
      <c r="H230" s="1" t="str">
        <f>VLOOKUP(tblCong[[#This Row],[distCode]],tblDistrict[#All],2)</f>
        <v>Kâte</v>
      </c>
      <c r="I230" s="1" t="str">
        <f>Seket!I$10</f>
        <v>S06</v>
      </c>
      <c r="J230" s="1" t="str">
        <f>CONCATENATE(tblCong[[#This Row],[distCode]],"-",tblCong[[#This Row],[sCode]])</f>
        <v>D01-S06</v>
      </c>
      <c r="K230" s="1" t="str">
        <f>VLOOKUP(tblCong[[#This Row],[seketCode]],tblSeket[#All],5,FALSE)</f>
        <v>Somba</v>
      </c>
      <c r="L230" s="1" t="str">
        <f>Paris!L$49</f>
        <v>P04</v>
      </c>
      <c r="M230" s="1" t="str">
        <f>CONCATENATE(tblCong[[#This Row],[seketCode]],"-",tblCong[[#This Row],[pCode]])</f>
        <v>D01-S06-P04</v>
      </c>
      <c r="N230" s="1" t="str">
        <f>Paris!M$49</f>
        <v>Kemaip</v>
      </c>
      <c r="O230" s="1" t="s">
        <v>575</v>
      </c>
      <c r="P230" s="1" t="s">
        <v>784</v>
      </c>
    </row>
    <row r="231" spans="6:16" x14ac:dyDescent="0.35">
      <c r="F231" s="1" t="str">
        <f>CONCATENATE(tblCong[[#This Row],[parishCode]],"-",tblCong[[#This Row],[kCode]])</f>
        <v>D01-S06-P04-K06</v>
      </c>
      <c r="G231" s="1" t="str">
        <f>Distrik!F$5</f>
        <v>D01</v>
      </c>
      <c r="H231" s="1" t="str">
        <f>VLOOKUP(tblCong[[#This Row],[distCode]],tblDistrict[#All],2)</f>
        <v>Kâte</v>
      </c>
      <c r="I231" s="1" t="str">
        <f>Seket!I$10</f>
        <v>S06</v>
      </c>
      <c r="J231" s="1" t="str">
        <f>CONCATENATE(tblCong[[#This Row],[distCode]],"-",tblCong[[#This Row],[sCode]])</f>
        <v>D01-S06</v>
      </c>
      <c r="K231" s="1" t="str">
        <f>VLOOKUP(tblCong[[#This Row],[seketCode]],tblSeket[#All],5,FALSE)</f>
        <v>Somba</v>
      </c>
      <c r="L231" s="1" t="str">
        <f>Paris!L$49</f>
        <v>P04</v>
      </c>
      <c r="M231" s="1" t="str">
        <f>CONCATENATE(tblCong[[#This Row],[seketCode]],"-",tblCong[[#This Row],[pCode]])</f>
        <v>D01-S06-P04</v>
      </c>
      <c r="N231" s="1" t="str">
        <f>Paris!M$49</f>
        <v>Kemaip</v>
      </c>
      <c r="O231" s="1" t="s">
        <v>576</v>
      </c>
      <c r="P231" s="1" t="s">
        <v>785</v>
      </c>
    </row>
    <row r="232" spans="6:16" x14ac:dyDescent="0.35">
      <c r="F232" s="1" t="str">
        <f>CONCATENATE(tblCong[[#This Row],[parishCode]],"-",tblCong[[#This Row],[kCode]])</f>
        <v>D01-S06-P04-K07</v>
      </c>
      <c r="G232" s="1" t="str">
        <f>Distrik!F$5</f>
        <v>D01</v>
      </c>
      <c r="H232" s="1" t="str">
        <f>VLOOKUP(tblCong[[#This Row],[distCode]],tblDistrict[#All],2)</f>
        <v>Kâte</v>
      </c>
      <c r="I232" s="1" t="str">
        <f>Seket!I$10</f>
        <v>S06</v>
      </c>
      <c r="J232" s="1" t="str">
        <f>CONCATENATE(tblCong[[#This Row],[distCode]],"-",tblCong[[#This Row],[sCode]])</f>
        <v>D01-S06</v>
      </c>
      <c r="K232" s="1" t="str">
        <f>VLOOKUP(tblCong[[#This Row],[seketCode]],tblSeket[#All],5,FALSE)</f>
        <v>Somba</v>
      </c>
      <c r="L232" s="1" t="str">
        <f>Paris!L$49</f>
        <v>P04</v>
      </c>
      <c r="M232" s="1" t="str">
        <f>CONCATENATE(tblCong[[#This Row],[seketCode]],"-",tblCong[[#This Row],[pCode]])</f>
        <v>D01-S06-P04</v>
      </c>
      <c r="N232" s="1" t="str">
        <f>Paris!M$49</f>
        <v>Kemaip</v>
      </c>
      <c r="O232" s="1" t="s">
        <v>578</v>
      </c>
      <c r="P232" s="1" t="s">
        <v>786</v>
      </c>
    </row>
    <row r="233" spans="6:16" x14ac:dyDescent="0.35">
      <c r="F233" s="1" t="str">
        <f>CONCATENATE(tblCong[[#This Row],[parishCode]],"-",tblCong[[#This Row],[kCode]])</f>
        <v>D01-S06-P04-K08</v>
      </c>
      <c r="G233" s="1" t="str">
        <f>Distrik!F$5</f>
        <v>D01</v>
      </c>
      <c r="H233" s="1" t="str">
        <f>VLOOKUP(tblCong[[#This Row],[distCode]],tblDistrict[#All],2)</f>
        <v>Kâte</v>
      </c>
      <c r="I233" s="1" t="str">
        <f>Seket!I$10</f>
        <v>S06</v>
      </c>
      <c r="J233" s="1" t="str">
        <f>CONCATENATE(tblCong[[#This Row],[distCode]],"-",tblCong[[#This Row],[sCode]])</f>
        <v>D01-S06</v>
      </c>
      <c r="K233" s="1" t="str">
        <f>VLOOKUP(tblCong[[#This Row],[seketCode]],tblSeket[#All],5,FALSE)</f>
        <v>Somba</v>
      </c>
      <c r="L233" s="1" t="str">
        <f>Paris!L$49</f>
        <v>P04</v>
      </c>
      <c r="M233" s="1" t="str">
        <f>CONCATENATE(tblCong[[#This Row],[seketCode]],"-",tblCong[[#This Row],[pCode]])</f>
        <v>D01-S06-P04</v>
      </c>
      <c r="N233" s="1" t="str">
        <f>Paris!M$49</f>
        <v>Kemaip</v>
      </c>
      <c r="O233" s="1" t="s">
        <v>651</v>
      </c>
      <c r="P233" s="1" t="s">
        <v>787</v>
      </c>
    </row>
    <row r="234" spans="6:16" x14ac:dyDescent="0.35">
      <c r="F234" s="1" t="str">
        <f>CONCATENATE(tblCong[[#This Row],[parishCode]],"-",tblCong[[#This Row],[kCode]])</f>
        <v>D01-S06-P04-K09</v>
      </c>
      <c r="G234" s="1" t="str">
        <f>Distrik!F$5</f>
        <v>D01</v>
      </c>
      <c r="H234" s="1" t="str">
        <f>VLOOKUP(tblCong[[#This Row],[distCode]],tblDistrict[#All],2)</f>
        <v>Kâte</v>
      </c>
      <c r="I234" s="1" t="str">
        <f>Seket!I$10</f>
        <v>S06</v>
      </c>
      <c r="J234" s="1" t="str">
        <f>CONCATENATE(tblCong[[#This Row],[distCode]],"-",tblCong[[#This Row],[sCode]])</f>
        <v>D01-S06</v>
      </c>
      <c r="K234" s="1" t="str">
        <f>VLOOKUP(tblCong[[#This Row],[seketCode]],tblSeket[#All],5,FALSE)</f>
        <v>Somba</v>
      </c>
      <c r="L234" s="1" t="str">
        <f>Paris!L$49</f>
        <v>P04</v>
      </c>
      <c r="M234" s="1" t="str">
        <f>CONCATENATE(tblCong[[#This Row],[seketCode]],"-",tblCong[[#This Row],[pCode]])</f>
        <v>D01-S06-P04</v>
      </c>
      <c r="N234" s="1" t="str">
        <f>Paris!M$49</f>
        <v>Kemaip</v>
      </c>
      <c r="O234" s="1" t="s">
        <v>653</v>
      </c>
      <c r="P234" s="1" t="s">
        <v>788</v>
      </c>
    </row>
    <row r="235" spans="6:16" x14ac:dyDescent="0.35">
      <c r="F235" s="1" t="str">
        <f>CONCATENATE(tblCong[[#This Row],[parishCode]],"-",tblCong[[#This Row],[kCode]])</f>
        <v>D01-S06-P04-K10</v>
      </c>
      <c r="G235" s="1" t="str">
        <f>Distrik!F$5</f>
        <v>D01</v>
      </c>
      <c r="H235" s="1" t="str">
        <f>VLOOKUP(tblCong[[#This Row],[distCode]],tblDistrict[#All],2)</f>
        <v>Kâte</v>
      </c>
      <c r="I235" s="1" t="str">
        <f>Seket!I$10</f>
        <v>S06</v>
      </c>
      <c r="J235" s="1" t="str">
        <f>CONCATENATE(tblCong[[#This Row],[distCode]],"-",tblCong[[#This Row],[sCode]])</f>
        <v>D01-S06</v>
      </c>
      <c r="K235" s="1" t="str">
        <f>VLOOKUP(tblCong[[#This Row],[seketCode]],tblSeket[#All],5,FALSE)</f>
        <v>Somba</v>
      </c>
      <c r="L235" s="1" t="str">
        <f>Paris!L$49</f>
        <v>P04</v>
      </c>
      <c r="M235" s="1" t="str">
        <f>CONCATENATE(tblCong[[#This Row],[seketCode]],"-",tblCong[[#This Row],[pCode]])</f>
        <v>D01-S06-P04</v>
      </c>
      <c r="N235" s="1" t="str">
        <f>Paris!M$49</f>
        <v>Kemaip</v>
      </c>
      <c r="O235" s="1" t="s">
        <v>655</v>
      </c>
      <c r="P235" s="1" t="s">
        <v>789</v>
      </c>
    </row>
    <row r="236" spans="6:16" x14ac:dyDescent="0.35">
      <c r="F236" s="1" t="str">
        <f>CONCATENATE(tblCong[[#This Row],[parishCode]],"-",tblCong[[#This Row],[kCode]])</f>
        <v>D01-S06-P05-K01</v>
      </c>
      <c r="G236" s="1" t="str">
        <f>Distrik!F$5</f>
        <v>D01</v>
      </c>
      <c r="H236" s="1" t="str">
        <f>VLOOKUP(tblCong[[#This Row],[distCode]],tblDistrict[#All],2)</f>
        <v>Kâte</v>
      </c>
      <c r="I236" s="1" t="str">
        <f>Seket!I$10</f>
        <v>S06</v>
      </c>
      <c r="J236" s="1" t="str">
        <f>CONCATENATE(tblCong[[#This Row],[distCode]],"-",tblCong[[#This Row],[sCode]])</f>
        <v>D01-S06</v>
      </c>
      <c r="K236" s="1" t="str">
        <f>VLOOKUP(tblCong[[#This Row],[seketCode]],tblSeket[#All],5,FALSE)</f>
        <v>Somba</v>
      </c>
      <c r="L236" s="1" t="str">
        <f>Paris!L$50</f>
        <v>P05</v>
      </c>
      <c r="M236" s="1" t="str">
        <f>CONCATENATE(tblCong[[#This Row],[seketCode]],"-",tblCong[[#This Row],[pCode]])</f>
        <v>D01-S06-P05</v>
      </c>
      <c r="N236" s="1" t="str">
        <f>Paris!M$50</f>
        <v>Batoneng</v>
      </c>
      <c r="O236" s="1" t="s">
        <v>567</v>
      </c>
      <c r="P236" s="1" t="s">
        <v>790</v>
      </c>
    </row>
    <row r="237" spans="6:16" x14ac:dyDescent="0.35">
      <c r="F237" s="1" t="str">
        <f>CONCATENATE(tblCong[[#This Row],[parishCode]],"-",tblCong[[#This Row],[kCode]])</f>
        <v>D01-S06-P05-K02</v>
      </c>
      <c r="G237" s="1" t="str">
        <f>Distrik!F$5</f>
        <v>D01</v>
      </c>
      <c r="H237" s="1" t="str">
        <f>VLOOKUP(tblCong[[#This Row],[distCode]],tblDistrict[#All],2)</f>
        <v>Kâte</v>
      </c>
      <c r="I237" s="1" t="str">
        <f>Seket!I$10</f>
        <v>S06</v>
      </c>
      <c r="J237" s="1" t="str">
        <f>CONCATENATE(tblCong[[#This Row],[distCode]],"-",tblCong[[#This Row],[sCode]])</f>
        <v>D01-S06</v>
      </c>
      <c r="K237" s="1" t="str">
        <f>VLOOKUP(tblCong[[#This Row],[seketCode]],tblSeket[#All],5,FALSE)</f>
        <v>Somba</v>
      </c>
      <c r="L237" s="1" t="str">
        <f>Paris!L$50</f>
        <v>P05</v>
      </c>
      <c r="M237" s="1" t="str">
        <f>CONCATENATE(tblCong[[#This Row],[seketCode]],"-",tblCong[[#This Row],[pCode]])</f>
        <v>D01-S06-P05</v>
      </c>
      <c r="N237" s="1" t="str">
        <f>Paris!M$50</f>
        <v>Batoneng</v>
      </c>
      <c r="O237" s="1" t="s">
        <v>569</v>
      </c>
      <c r="P237" s="1" t="s">
        <v>791</v>
      </c>
    </row>
    <row r="238" spans="6:16" x14ac:dyDescent="0.35">
      <c r="F238" s="1" t="str">
        <f>CONCATENATE(tblCong[[#This Row],[parishCode]],"-",tblCong[[#This Row],[kCode]])</f>
        <v>D01-S06-P05-K03</v>
      </c>
      <c r="G238" s="1" t="str">
        <f>Distrik!F$5</f>
        <v>D01</v>
      </c>
      <c r="H238" s="1" t="str">
        <f>VLOOKUP(tblCong[[#This Row],[distCode]],tblDistrict[#All],2)</f>
        <v>Kâte</v>
      </c>
      <c r="I238" s="1" t="str">
        <f>Seket!I$10</f>
        <v>S06</v>
      </c>
      <c r="J238" s="1" t="str">
        <f>CONCATENATE(tblCong[[#This Row],[distCode]],"-",tblCong[[#This Row],[sCode]])</f>
        <v>D01-S06</v>
      </c>
      <c r="K238" s="1" t="str">
        <f>VLOOKUP(tblCong[[#This Row],[seketCode]],tblSeket[#All],5,FALSE)</f>
        <v>Somba</v>
      </c>
      <c r="L238" s="1" t="str">
        <f>Paris!L$50</f>
        <v>P05</v>
      </c>
      <c r="M238" s="1" t="str">
        <f>CONCATENATE(tblCong[[#This Row],[seketCode]],"-",tblCong[[#This Row],[pCode]])</f>
        <v>D01-S06-P05</v>
      </c>
      <c r="N238" s="1" t="str">
        <f>Paris!M$50</f>
        <v>Batoneng</v>
      </c>
      <c r="O238" s="1" t="s">
        <v>571</v>
      </c>
      <c r="P238" s="1" t="s">
        <v>792</v>
      </c>
    </row>
    <row r="239" spans="6:16" x14ac:dyDescent="0.35">
      <c r="F239" s="1" t="str">
        <f>CONCATENATE(tblCong[[#This Row],[parishCode]],"-",tblCong[[#This Row],[kCode]])</f>
        <v>D01-S06-P05-K04</v>
      </c>
      <c r="G239" s="1" t="str">
        <f>Distrik!F$5</f>
        <v>D01</v>
      </c>
      <c r="H239" s="1" t="str">
        <f>VLOOKUP(tblCong[[#This Row],[distCode]],tblDistrict[#All],2)</f>
        <v>Kâte</v>
      </c>
      <c r="I239" s="1" t="str">
        <f>Seket!I$10</f>
        <v>S06</v>
      </c>
      <c r="J239" s="1" t="str">
        <f>CONCATENATE(tblCong[[#This Row],[distCode]],"-",tblCong[[#This Row],[sCode]])</f>
        <v>D01-S06</v>
      </c>
      <c r="K239" s="1" t="str">
        <f>VLOOKUP(tblCong[[#This Row],[seketCode]],tblSeket[#All],5,FALSE)</f>
        <v>Somba</v>
      </c>
      <c r="L239" s="1" t="str">
        <f>Paris!L$50</f>
        <v>P05</v>
      </c>
      <c r="M239" s="1" t="str">
        <f>CONCATENATE(tblCong[[#This Row],[seketCode]],"-",tblCong[[#This Row],[pCode]])</f>
        <v>D01-S06-P05</v>
      </c>
      <c r="N239" s="1" t="str">
        <f>Paris!M$50</f>
        <v>Batoneng</v>
      </c>
      <c r="O239" s="1" t="s">
        <v>573</v>
      </c>
      <c r="P239" s="1" t="s">
        <v>793</v>
      </c>
    </row>
    <row r="240" spans="6:16" x14ac:dyDescent="0.35">
      <c r="F240" s="1" t="str">
        <f>CONCATENATE(tblCong[[#This Row],[parishCode]],"-",tblCong[[#This Row],[kCode]])</f>
        <v>D01-S06-P05-K05</v>
      </c>
      <c r="G240" s="1" t="str">
        <f>Distrik!F$5</f>
        <v>D01</v>
      </c>
      <c r="H240" s="1" t="str">
        <f>VLOOKUP(tblCong[[#This Row],[distCode]],tblDistrict[#All],2)</f>
        <v>Kâte</v>
      </c>
      <c r="I240" s="1" t="str">
        <f>Seket!I$10</f>
        <v>S06</v>
      </c>
      <c r="J240" s="1" t="str">
        <f>CONCATENATE(tblCong[[#This Row],[distCode]],"-",tblCong[[#This Row],[sCode]])</f>
        <v>D01-S06</v>
      </c>
      <c r="K240" s="1" t="str">
        <f>VLOOKUP(tblCong[[#This Row],[seketCode]],tblSeket[#All],5,FALSE)</f>
        <v>Somba</v>
      </c>
      <c r="L240" s="1" t="str">
        <f>Paris!L$50</f>
        <v>P05</v>
      </c>
      <c r="M240" s="1" t="str">
        <f>CONCATENATE(tblCong[[#This Row],[seketCode]],"-",tblCong[[#This Row],[pCode]])</f>
        <v>D01-S06-P05</v>
      </c>
      <c r="N240" s="1" t="str">
        <f>Paris!M$50</f>
        <v>Batoneng</v>
      </c>
      <c r="O240" s="1" t="s">
        <v>575</v>
      </c>
      <c r="P240" s="1" t="s">
        <v>794</v>
      </c>
    </row>
    <row r="241" spans="6:16" x14ac:dyDescent="0.35">
      <c r="F241" s="1" t="str">
        <f>CONCATENATE(tblCong[[#This Row],[parishCode]],"-",tblCong[[#This Row],[kCode]])</f>
        <v>D01-S06-P05-K06</v>
      </c>
      <c r="G241" s="1" t="str">
        <f>Distrik!F$5</f>
        <v>D01</v>
      </c>
      <c r="H241" s="1" t="str">
        <f>VLOOKUP(tblCong[[#This Row],[distCode]],tblDistrict[#All],2)</f>
        <v>Kâte</v>
      </c>
      <c r="I241" s="1" t="str">
        <f>Seket!I$10</f>
        <v>S06</v>
      </c>
      <c r="J241" s="1" t="str">
        <f>CONCATENATE(tblCong[[#This Row],[distCode]],"-",tblCong[[#This Row],[sCode]])</f>
        <v>D01-S06</v>
      </c>
      <c r="K241" s="1" t="str">
        <f>VLOOKUP(tblCong[[#This Row],[seketCode]],tblSeket[#All],5,FALSE)</f>
        <v>Somba</v>
      </c>
      <c r="L241" s="1" t="str">
        <f>Paris!L$50</f>
        <v>P05</v>
      </c>
      <c r="M241" s="1" t="str">
        <f>CONCATENATE(tblCong[[#This Row],[seketCode]],"-",tblCong[[#This Row],[pCode]])</f>
        <v>D01-S06-P05</v>
      </c>
      <c r="N241" s="1" t="str">
        <f>Paris!M$50</f>
        <v>Batoneng</v>
      </c>
      <c r="O241" s="1" t="s">
        <v>576</v>
      </c>
      <c r="P241" s="1" t="s">
        <v>795</v>
      </c>
    </row>
    <row r="242" spans="6:16" x14ac:dyDescent="0.35">
      <c r="F242" s="1" t="str">
        <f>CONCATENATE(tblCong[[#This Row],[parishCode]],"-",tblCong[[#This Row],[kCode]])</f>
        <v>D01-S06-P05-K07</v>
      </c>
      <c r="G242" s="1" t="str">
        <f>Distrik!F$5</f>
        <v>D01</v>
      </c>
      <c r="H242" s="1" t="str">
        <f>VLOOKUP(tblCong[[#This Row],[distCode]],tblDistrict[#All],2)</f>
        <v>Kâte</v>
      </c>
      <c r="I242" s="1" t="str">
        <f>Seket!I$10</f>
        <v>S06</v>
      </c>
      <c r="J242" s="1" t="str">
        <f>CONCATENATE(tblCong[[#This Row],[distCode]],"-",tblCong[[#This Row],[sCode]])</f>
        <v>D01-S06</v>
      </c>
      <c r="K242" s="1" t="str">
        <f>VLOOKUP(tblCong[[#This Row],[seketCode]],tblSeket[#All],5,FALSE)</f>
        <v>Somba</v>
      </c>
      <c r="L242" s="1" t="str">
        <f>Paris!L$50</f>
        <v>P05</v>
      </c>
      <c r="M242" s="1" t="str">
        <f>CONCATENATE(tblCong[[#This Row],[seketCode]],"-",tblCong[[#This Row],[pCode]])</f>
        <v>D01-S06-P05</v>
      </c>
      <c r="N242" s="1" t="str">
        <f>Paris!M$50</f>
        <v>Batoneng</v>
      </c>
      <c r="O242" s="1" t="s">
        <v>578</v>
      </c>
      <c r="P242" s="1" t="s">
        <v>796</v>
      </c>
    </row>
    <row r="243" spans="6:16" x14ac:dyDescent="0.35">
      <c r="F243" s="1" t="str">
        <f>CONCATENATE(tblCong[[#This Row],[parishCode]],"-",tblCong[[#This Row],[kCode]])</f>
        <v>D01-S07-P01-K01</v>
      </c>
      <c r="G243" s="1" t="str">
        <f>Distrik!F$5</f>
        <v>D01</v>
      </c>
      <c r="H243" s="1" t="str">
        <f>VLOOKUP(tblCong[[#This Row],[distCode]],tblDistrict[#All],2)</f>
        <v>Kâte</v>
      </c>
      <c r="I243" s="1" t="str">
        <f>Seket!I$11</f>
        <v>S07</v>
      </c>
      <c r="J243" s="1" t="str">
        <f>CONCATENATE(tblCong[[#This Row],[distCode]],"-",tblCong[[#This Row],[sCode]])</f>
        <v>D01-S07</v>
      </c>
      <c r="K243" s="1" t="str">
        <f>VLOOKUP(tblCong[[#This Row],[seketCode]],tblSeket[#All],5,FALSE)</f>
        <v>Zaka</v>
      </c>
      <c r="L243" s="1" t="str">
        <f>Paris!L$51</f>
        <v>P01</v>
      </c>
      <c r="M243" s="1" t="str">
        <f>CONCATENATE(tblCong[[#This Row],[seketCode]],"-",tblCong[[#This Row],[pCode]])</f>
        <v>D01-S07-P01</v>
      </c>
      <c r="N243" s="1" t="str">
        <f>Paris!M$51</f>
        <v>Zamai</v>
      </c>
      <c r="O243" s="1" t="s">
        <v>567</v>
      </c>
      <c r="P243" s="1" t="s">
        <v>797</v>
      </c>
    </row>
    <row r="244" spans="6:16" x14ac:dyDescent="0.35">
      <c r="F244" s="1" t="str">
        <f>CONCATENATE(tblCong[[#This Row],[parishCode]],"-",tblCong[[#This Row],[kCode]])</f>
        <v>D01-S07-P01-K02</v>
      </c>
      <c r="G244" s="1" t="str">
        <f>Distrik!F$5</f>
        <v>D01</v>
      </c>
      <c r="H244" s="1" t="str">
        <f>VLOOKUP(tblCong[[#This Row],[distCode]],tblDistrict[#All],2)</f>
        <v>Kâte</v>
      </c>
      <c r="I244" s="1" t="str">
        <f>Seket!I$11</f>
        <v>S07</v>
      </c>
      <c r="J244" s="1" t="str">
        <f>CONCATENATE(tblCong[[#This Row],[distCode]],"-",tblCong[[#This Row],[sCode]])</f>
        <v>D01-S07</v>
      </c>
      <c r="K244" s="1" t="str">
        <f>VLOOKUP(tblCong[[#This Row],[seketCode]],tblSeket[#All],5,FALSE)</f>
        <v>Zaka</v>
      </c>
      <c r="L244" s="1" t="str">
        <f>Paris!L$51</f>
        <v>P01</v>
      </c>
      <c r="M244" s="1" t="str">
        <f>CONCATENATE(tblCong[[#This Row],[seketCode]],"-",tblCong[[#This Row],[pCode]])</f>
        <v>D01-S07-P01</v>
      </c>
      <c r="N244" s="1" t="str">
        <f>Paris!M$51</f>
        <v>Zamai</v>
      </c>
      <c r="O244" s="1" t="s">
        <v>569</v>
      </c>
      <c r="P244" s="1" t="s">
        <v>798</v>
      </c>
    </row>
    <row r="245" spans="6:16" x14ac:dyDescent="0.35">
      <c r="F245" s="1" t="str">
        <f>CONCATENATE(tblCong[[#This Row],[parishCode]],"-",tblCong[[#This Row],[kCode]])</f>
        <v>D01-S07-P01-K03</v>
      </c>
      <c r="G245" s="1" t="str">
        <f>Distrik!F$5</f>
        <v>D01</v>
      </c>
      <c r="H245" s="1" t="str">
        <f>VLOOKUP(tblCong[[#This Row],[distCode]],tblDistrict[#All],2)</f>
        <v>Kâte</v>
      </c>
      <c r="I245" s="1" t="str">
        <f>Seket!I$11</f>
        <v>S07</v>
      </c>
      <c r="J245" s="1" t="str">
        <f>CONCATENATE(tblCong[[#This Row],[distCode]],"-",tblCong[[#This Row],[sCode]])</f>
        <v>D01-S07</v>
      </c>
      <c r="K245" s="1" t="str">
        <f>VLOOKUP(tblCong[[#This Row],[seketCode]],tblSeket[#All],5,FALSE)</f>
        <v>Zaka</v>
      </c>
      <c r="L245" s="1" t="str">
        <f>Paris!L$51</f>
        <v>P01</v>
      </c>
      <c r="M245" s="1" t="str">
        <f>CONCATENATE(tblCong[[#This Row],[seketCode]],"-",tblCong[[#This Row],[pCode]])</f>
        <v>D01-S07-P01</v>
      </c>
      <c r="N245" s="1" t="str">
        <f>Paris!M$51</f>
        <v>Zamai</v>
      </c>
      <c r="O245" s="1" t="s">
        <v>571</v>
      </c>
      <c r="P245" s="1" t="s">
        <v>799</v>
      </c>
    </row>
    <row r="246" spans="6:16" x14ac:dyDescent="0.35">
      <c r="F246" s="1" t="str">
        <f>CONCATENATE(tblCong[[#This Row],[parishCode]],"-",tblCong[[#This Row],[kCode]])</f>
        <v>D01-S07-P01-K04</v>
      </c>
      <c r="G246" s="1" t="str">
        <f>Distrik!F$5</f>
        <v>D01</v>
      </c>
      <c r="H246" s="1" t="str">
        <f>VLOOKUP(tblCong[[#This Row],[distCode]],tblDistrict[#All],2)</f>
        <v>Kâte</v>
      </c>
      <c r="I246" s="1" t="str">
        <f>Seket!I$11</f>
        <v>S07</v>
      </c>
      <c r="J246" s="1" t="str">
        <f>CONCATENATE(tblCong[[#This Row],[distCode]],"-",tblCong[[#This Row],[sCode]])</f>
        <v>D01-S07</v>
      </c>
      <c r="K246" s="1" t="str">
        <f>VLOOKUP(tblCong[[#This Row],[seketCode]],tblSeket[#All],5,FALSE)</f>
        <v>Zaka</v>
      </c>
      <c r="L246" s="1" t="str">
        <f>Paris!L$51</f>
        <v>P01</v>
      </c>
      <c r="M246" s="1" t="str">
        <f>CONCATENATE(tblCong[[#This Row],[seketCode]],"-",tblCong[[#This Row],[pCode]])</f>
        <v>D01-S07-P01</v>
      </c>
      <c r="N246" s="1" t="str">
        <f>Paris!M$51</f>
        <v>Zamai</v>
      </c>
      <c r="O246" s="1" t="s">
        <v>573</v>
      </c>
      <c r="P246" s="1" t="s">
        <v>800</v>
      </c>
    </row>
    <row r="247" spans="6:16" x14ac:dyDescent="0.35">
      <c r="F247" s="1" t="str">
        <f>CONCATENATE(tblCong[[#This Row],[parishCode]],"-",tblCong[[#This Row],[kCode]])</f>
        <v>D01-S07-P01-K05</v>
      </c>
      <c r="G247" s="1" t="str">
        <f>Distrik!F$5</f>
        <v>D01</v>
      </c>
      <c r="H247" s="1" t="str">
        <f>VLOOKUP(tblCong[[#This Row],[distCode]],tblDistrict[#All],2)</f>
        <v>Kâte</v>
      </c>
      <c r="I247" s="1" t="str">
        <f>Seket!I$11</f>
        <v>S07</v>
      </c>
      <c r="J247" s="1" t="str">
        <f>CONCATENATE(tblCong[[#This Row],[distCode]],"-",tblCong[[#This Row],[sCode]])</f>
        <v>D01-S07</v>
      </c>
      <c r="K247" s="1" t="str">
        <f>VLOOKUP(tblCong[[#This Row],[seketCode]],tblSeket[#All],5,FALSE)</f>
        <v>Zaka</v>
      </c>
      <c r="L247" s="1" t="str">
        <f>Paris!L$51</f>
        <v>P01</v>
      </c>
      <c r="M247" s="1" t="str">
        <f>CONCATENATE(tblCong[[#This Row],[seketCode]],"-",tblCong[[#This Row],[pCode]])</f>
        <v>D01-S07-P01</v>
      </c>
      <c r="N247" s="1" t="str">
        <f>Paris!M$51</f>
        <v>Zamai</v>
      </c>
      <c r="O247" s="1" t="s">
        <v>575</v>
      </c>
      <c r="P247" s="1" t="s">
        <v>801</v>
      </c>
    </row>
    <row r="248" spans="6:16" x14ac:dyDescent="0.35">
      <c r="F248" s="1" t="str">
        <f>CONCATENATE(tblCong[[#This Row],[parishCode]],"-",tblCong[[#This Row],[kCode]])</f>
        <v>D01-S07-P01-K06</v>
      </c>
      <c r="G248" s="1" t="str">
        <f>Distrik!F$5</f>
        <v>D01</v>
      </c>
      <c r="H248" s="1" t="str">
        <f>VLOOKUP(tblCong[[#This Row],[distCode]],tblDistrict[#All],2)</f>
        <v>Kâte</v>
      </c>
      <c r="I248" s="1" t="str">
        <f>Seket!I$11</f>
        <v>S07</v>
      </c>
      <c r="J248" s="1" t="str">
        <f>CONCATENATE(tblCong[[#This Row],[distCode]],"-",tblCong[[#This Row],[sCode]])</f>
        <v>D01-S07</v>
      </c>
      <c r="K248" s="1" t="str">
        <f>VLOOKUP(tblCong[[#This Row],[seketCode]],tblSeket[#All],5,FALSE)</f>
        <v>Zaka</v>
      </c>
      <c r="L248" s="1" t="str">
        <f>Paris!L$51</f>
        <v>P01</v>
      </c>
      <c r="M248" s="1" t="str">
        <f>CONCATENATE(tblCong[[#This Row],[seketCode]],"-",tblCong[[#This Row],[pCode]])</f>
        <v>D01-S07-P01</v>
      </c>
      <c r="N248" s="1" t="str">
        <f>Paris!M$51</f>
        <v>Zamai</v>
      </c>
      <c r="O248" s="1" t="s">
        <v>576</v>
      </c>
      <c r="P248" s="1" t="s">
        <v>802</v>
      </c>
    </row>
    <row r="249" spans="6:16" x14ac:dyDescent="0.35">
      <c r="F249" s="1" t="str">
        <f>CONCATENATE(tblCong[[#This Row],[parishCode]],"-",tblCong[[#This Row],[kCode]])</f>
        <v>D01-S07-P02-K01</v>
      </c>
      <c r="G249" s="1" t="str">
        <f>Distrik!F$5</f>
        <v>D01</v>
      </c>
      <c r="H249" s="1" t="str">
        <f>VLOOKUP(tblCong[[#This Row],[distCode]],tblDistrict[#All],2)</f>
        <v>Kâte</v>
      </c>
      <c r="I249" s="1" t="str">
        <f>Seket!I$11</f>
        <v>S07</v>
      </c>
      <c r="J249" s="1" t="str">
        <f>CONCATENATE(tblCong[[#This Row],[distCode]],"-",tblCong[[#This Row],[sCode]])</f>
        <v>D01-S07</v>
      </c>
      <c r="K249" s="1" t="str">
        <f>VLOOKUP(tblCong[[#This Row],[seketCode]],tblSeket[#All],5,FALSE)</f>
        <v>Zaka</v>
      </c>
      <c r="L249" s="1" t="str">
        <f>Paris!L$52</f>
        <v>P02</v>
      </c>
      <c r="M249" s="1" t="str">
        <f>CONCATENATE(tblCong[[#This Row],[seketCode]],"-",tblCong[[#This Row],[pCode]])</f>
        <v>D01-S07-P02</v>
      </c>
      <c r="N249" s="1" t="str">
        <f>Paris!M$52</f>
        <v>Oga</v>
      </c>
      <c r="O249" s="1" t="s">
        <v>567</v>
      </c>
      <c r="P249" s="1" t="s">
        <v>803</v>
      </c>
    </row>
    <row r="250" spans="6:16" x14ac:dyDescent="0.35">
      <c r="F250" s="1" t="str">
        <f>CONCATENATE(tblCong[[#This Row],[parishCode]],"-",tblCong[[#This Row],[kCode]])</f>
        <v>D01-S07-P02-K02</v>
      </c>
      <c r="G250" s="1" t="str">
        <f>Distrik!F$5</f>
        <v>D01</v>
      </c>
      <c r="H250" s="1" t="str">
        <f>VLOOKUP(tblCong[[#This Row],[distCode]],tblDistrict[#All],2)</f>
        <v>Kâte</v>
      </c>
      <c r="I250" s="1" t="str">
        <f>Seket!I$11</f>
        <v>S07</v>
      </c>
      <c r="J250" s="1" t="str">
        <f>CONCATENATE(tblCong[[#This Row],[distCode]],"-",tblCong[[#This Row],[sCode]])</f>
        <v>D01-S07</v>
      </c>
      <c r="K250" s="1" t="str">
        <f>VLOOKUP(tblCong[[#This Row],[seketCode]],tblSeket[#All],5,FALSE)</f>
        <v>Zaka</v>
      </c>
      <c r="L250" s="1" t="str">
        <f>Paris!L$52</f>
        <v>P02</v>
      </c>
      <c r="M250" s="1" t="str">
        <f>CONCATENATE(tblCong[[#This Row],[seketCode]],"-",tblCong[[#This Row],[pCode]])</f>
        <v>D01-S07-P02</v>
      </c>
      <c r="N250" s="1" t="str">
        <f>Paris!M$52</f>
        <v>Oga</v>
      </c>
      <c r="O250" s="1" t="s">
        <v>569</v>
      </c>
      <c r="P250" s="1" t="s">
        <v>804</v>
      </c>
    </row>
    <row r="251" spans="6:16" x14ac:dyDescent="0.35">
      <c r="F251" s="1" t="str">
        <f>CONCATENATE(tblCong[[#This Row],[parishCode]],"-",tblCong[[#This Row],[kCode]])</f>
        <v>D01-S07-P02-K03</v>
      </c>
      <c r="G251" s="1" t="str">
        <f>Distrik!F$5</f>
        <v>D01</v>
      </c>
      <c r="H251" s="1" t="str">
        <f>VLOOKUP(tblCong[[#This Row],[distCode]],tblDistrict[#All],2)</f>
        <v>Kâte</v>
      </c>
      <c r="I251" s="1" t="str">
        <f>Seket!I$11</f>
        <v>S07</v>
      </c>
      <c r="J251" s="1" t="str">
        <f>CONCATENATE(tblCong[[#This Row],[distCode]],"-",tblCong[[#This Row],[sCode]])</f>
        <v>D01-S07</v>
      </c>
      <c r="K251" s="1" t="str">
        <f>VLOOKUP(tblCong[[#This Row],[seketCode]],tblSeket[#All],5,FALSE)</f>
        <v>Zaka</v>
      </c>
      <c r="L251" s="1" t="str">
        <f>Paris!L$52</f>
        <v>P02</v>
      </c>
      <c r="M251" s="1" t="str">
        <f>CONCATENATE(tblCong[[#This Row],[seketCode]],"-",tblCong[[#This Row],[pCode]])</f>
        <v>D01-S07-P02</v>
      </c>
      <c r="N251" s="1" t="str">
        <f>Paris!M$52</f>
        <v>Oga</v>
      </c>
      <c r="O251" s="1" t="s">
        <v>571</v>
      </c>
      <c r="P251" s="1" t="s">
        <v>805</v>
      </c>
    </row>
    <row r="252" spans="6:16" x14ac:dyDescent="0.35">
      <c r="F252" s="1" t="str">
        <f>CONCATENATE(tblCong[[#This Row],[parishCode]],"-",tblCong[[#This Row],[kCode]])</f>
        <v>D01-S07-P02-K04</v>
      </c>
      <c r="G252" s="1" t="str">
        <f>Distrik!F$5</f>
        <v>D01</v>
      </c>
      <c r="H252" s="1" t="str">
        <f>VLOOKUP(tblCong[[#This Row],[distCode]],tblDistrict[#All],2)</f>
        <v>Kâte</v>
      </c>
      <c r="I252" s="1" t="str">
        <f>Seket!I$11</f>
        <v>S07</v>
      </c>
      <c r="J252" s="1" t="str">
        <f>CONCATENATE(tblCong[[#This Row],[distCode]],"-",tblCong[[#This Row],[sCode]])</f>
        <v>D01-S07</v>
      </c>
      <c r="K252" s="1" t="str">
        <f>VLOOKUP(tblCong[[#This Row],[seketCode]],tblSeket[#All],5,FALSE)</f>
        <v>Zaka</v>
      </c>
      <c r="L252" s="1" t="str">
        <f>Paris!L$52</f>
        <v>P02</v>
      </c>
      <c r="M252" s="1" t="str">
        <f>CONCATENATE(tblCong[[#This Row],[seketCode]],"-",tblCong[[#This Row],[pCode]])</f>
        <v>D01-S07-P02</v>
      </c>
      <c r="N252" s="1" t="str">
        <f>Paris!M$52</f>
        <v>Oga</v>
      </c>
      <c r="O252" s="1" t="s">
        <v>573</v>
      </c>
      <c r="P252" s="1" t="s">
        <v>806</v>
      </c>
    </row>
    <row r="253" spans="6:16" x14ac:dyDescent="0.35">
      <c r="F253" s="1" t="str">
        <f>CONCATENATE(tblCong[[#This Row],[parishCode]],"-",tblCong[[#This Row],[kCode]])</f>
        <v>D01-S07-P03-K01</v>
      </c>
      <c r="G253" s="1" t="str">
        <f>Distrik!F$5</f>
        <v>D01</v>
      </c>
      <c r="H253" s="1" t="str">
        <f>VLOOKUP(tblCong[[#This Row],[distCode]],tblDistrict[#All],2)</f>
        <v>Kâte</v>
      </c>
      <c r="I253" s="1" t="str">
        <f>Seket!I$11</f>
        <v>S07</v>
      </c>
      <c r="J253" s="1" t="str">
        <f>CONCATENATE(tblCong[[#This Row],[distCode]],"-",tblCong[[#This Row],[sCode]])</f>
        <v>D01-S07</v>
      </c>
      <c r="K253" s="1" t="str">
        <f>VLOOKUP(tblCong[[#This Row],[seketCode]],tblSeket[#All],5,FALSE)</f>
        <v>Zaka</v>
      </c>
      <c r="L253" s="1" t="str">
        <f>Paris!L$53</f>
        <v>P03</v>
      </c>
      <c r="M253" s="1" t="str">
        <f>CONCATENATE(tblCong[[#This Row],[seketCode]],"-",tblCong[[#This Row],[pCode]])</f>
        <v>D01-S07-P03</v>
      </c>
      <c r="N253" s="1" t="str">
        <f>Paris!M$53</f>
        <v>Jekora</v>
      </c>
      <c r="O253" s="1" t="s">
        <v>567</v>
      </c>
      <c r="P253" s="1" t="s">
        <v>807</v>
      </c>
    </row>
    <row r="254" spans="6:16" x14ac:dyDescent="0.35">
      <c r="F254" s="1" t="str">
        <f>CONCATENATE(tblCong[[#This Row],[parishCode]],"-",tblCong[[#This Row],[kCode]])</f>
        <v>D01-S07-P03-K02</v>
      </c>
      <c r="G254" s="1" t="str">
        <f>Distrik!F$5</f>
        <v>D01</v>
      </c>
      <c r="H254" s="1" t="str">
        <f>VLOOKUP(tblCong[[#This Row],[distCode]],tblDistrict[#All],2)</f>
        <v>Kâte</v>
      </c>
      <c r="I254" s="1" t="str">
        <f>Seket!I$11</f>
        <v>S07</v>
      </c>
      <c r="J254" s="1" t="str">
        <f>CONCATENATE(tblCong[[#This Row],[distCode]],"-",tblCong[[#This Row],[sCode]])</f>
        <v>D01-S07</v>
      </c>
      <c r="K254" s="1" t="str">
        <f>VLOOKUP(tblCong[[#This Row],[seketCode]],tblSeket[#All],5,FALSE)</f>
        <v>Zaka</v>
      </c>
      <c r="L254" s="1" t="str">
        <f>Paris!L$53</f>
        <v>P03</v>
      </c>
      <c r="M254" s="1" t="str">
        <f>CONCATENATE(tblCong[[#This Row],[seketCode]],"-",tblCong[[#This Row],[pCode]])</f>
        <v>D01-S07-P03</v>
      </c>
      <c r="N254" s="1" t="str">
        <f>Paris!M$53</f>
        <v>Jekora</v>
      </c>
      <c r="O254" s="1" t="s">
        <v>569</v>
      </c>
      <c r="P254" s="1" t="s">
        <v>808</v>
      </c>
    </row>
    <row r="255" spans="6:16" x14ac:dyDescent="0.35">
      <c r="F255" s="1" t="str">
        <f>CONCATENATE(tblCong[[#This Row],[parishCode]],"-",tblCong[[#This Row],[kCode]])</f>
        <v>D01-S07-P03-K03</v>
      </c>
      <c r="G255" s="1" t="str">
        <f>Distrik!F$5</f>
        <v>D01</v>
      </c>
      <c r="H255" s="1" t="str">
        <f>VLOOKUP(tblCong[[#This Row],[distCode]],tblDistrict[#All],2)</f>
        <v>Kâte</v>
      </c>
      <c r="I255" s="1" t="str">
        <f>Seket!I$11</f>
        <v>S07</v>
      </c>
      <c r="J255" s="1" t="str">
        <f>CONCATENATE(tblCong[[#This Row],[distCode]],"-",tblCong[[#This Row],[sCode]])</f>
        <v>D01-S07</v>
      </c>
      <c r="K255" s="1" t="str">
        <f>VLOOKUP(tblCong[[#This Row],[seketCode]],tblSeket[#All],5,FALSE)</f>
        <v>Zaka</v>
      </c>
      <c r="L255" s="1" t="str">
        <f>Paris!L$53</f>
        <v>P03</v>
      </c>
      <c r="M255" s="1" t="str">
        <f>CONCATENATE(tblCong[[#This Row],[seketCode]],"-",tblCong[[#This Row],[pCode]])</f>
        <v>D01-S07-P03</v>
      </c>
      <c r="N255" s="1" t="str">
        <f>Paris!M$53</f>
        <v>Jekora</v>
      </c>
      <c r="O255" s="1" t="s">
        <v>571</v>
      </c>
      <c r="P255" s="1" t="s">
        <v>809</v>
      </c>
    </row>
    <row r="256" spans="6:16" x14ac:dyDescent="0.35">
      <c r="F256" s="1" t="str">
        <f>CONCATENATE(tblCong[[#This Row],[parishCode]],"-",tblCong[[#This Row],[kCode]])</f>
        <v>D01-S07-P04-K01</v>
      </c>
      <c r="G256" s="1" t="str">
        <f>Distrik!F$5</f>
        <v>D01</v>
      </c>
      <c r="H256" s="1" t="str">
        <f>VLOOKUP(tblCong[[#This Row],[distCode]],tblDistrict[#All],2)</f>
        <v>Kâte</v>
      </c>
      <c r="I256" s="1" t="str">
        <f>Seket!I$11</f>
        <v>S07</v>
      </c>
      <c r="J256" s="1" t="str">
        <f>CONCATENATE(tblCong[[#This Row],[distCode]],"-",tblCong[[#This Row],[sCode]])</f>
        <v>D01-S07</v>
      </c>
      <c r="K256" s="1" t="str">
        <f>VLOOKUP(tblCong[[#This Row],[seketCode]],tblSeket[#All],5,FALSE)</f>
        <v>Zaka</v>
      </c>
      <c r="L256" s="1" t="str">
        <f>Paris!L$54</f>
        <v>P04</v>
      </c>
      <c r="M256" s="1" t="str">
        <f>CONCATENATE(tblCong[[#This Row],[seketCode]],"-",tblCong[[#This Row],[pCode]])</f>
        <v>D01-S07-P04</v>
      </c>
      <c r="N256" s="1" t="str">
        <f>Paris!M$54</f>
        <v>Kwuabaso</v>
      </c>
      <c r="O256" s="1" t="s">
        <v>567</v>
      </c>
      <c r="P256" s="1" t="s">
        <v>810</v>
      </c>
    </row>
    <row r="257" spans="6:16" x14ac:dyDescent="0.35">
      <c r="F257" s="1" t="str">
        <f>CONCATENATE(tblCong[[#This Row],[parishCode]],"-",tblCong[[#This Row],[kCode]])</f>
        <v>D01-S07-P04-K02</v>
      </c>
      <c r="G257" s="1" t="str">
        <f>Distrik!F$5</f>
        <v>D01</v>
      </c>
      <c r="H257" s="1" t="str">
        <f>VLOOKUP(tblCong[[#This Row],[distCode]],tblDistrict[#All],2)</f>
        <v>Kâte</v>
      </c>
      <c r="I257" s="1" t="str">
        <f>Seket!I$11</f>
        <v>S07</v>
      </c>
      <c r="J257" s="1" t="str">
        <f>CONCATENATE(tblCong[[#This Row],[distCode]],"-",tblCong[[#This Row],[sCode]])</f>
        <v>D01-S07</v>
      </c>
      <c r="K257" s="1" t="str">
        <f>VLOOKUP(tblCong[[#This Row],[seketCode]],tblSeket[#All],5,FALSE)</f>
        <v>Zaka</v>
      </c>
      <c r="L257" s="1" t="str">
        <f>Paris!L$54</f>
        <v>P04</v>
      </c>
      <c r="M257" s="1" t="str">
        <f>CONCATENATE(tblCong[[#This Row],[seketCode]],"-",tblCong[[#This Row],[pCode]])</f>
        <v>D01-S07-P04</v>
      </c>
      <c r="N257" s="1" t="str">
        <f>Paris!M$54</f>
        <v>Kwuabaso</v>
      </c>
      <c r="O257" s="1" t="s">
        <v>569</v>
      </c>
      <c r="P257" s="1" t="s">
        <v>811</v>
      </c>
    </row>
    <row r="258" spans="6:16" x14ac:dyDescent="0.35">
      <c r="F258" s="1" t="str">
        <f>CONCATENATE(tblCong[[#This Row],[parishCode]],"-",tblCong[[#This Row],[kCode]])</f>
        <v>D01-S07-P04-K03</v>
      </c>
      <c r="G258" s="1" t="str">
        <f>Distrik!F$5</f>
        <v>D01</v>
      </c>
      <c r="H258" s="1" t="str">
        <f>VLOOKUP(tblCong[[#This Row],[distCode]],tblDistrict[#All],2)</f>
        <v>Kâte</v>
      </c>
      <c r="I258" s="1" t="str">
        <f>Seket!I$11</f>
        <v>S07</v>
      </c>
      <c r="J258" s="1" t="str">
        <f>CONCATENATE(tblCong[[#This Row],[distCode]],"-",tblCong[[#This Row],[sCode]])</f>
        <v>D01-S07</v>
      </c>
      <c r="K258" s="1" t="str">
        <f>VLOOKUP(tblCong[[#This Row],[seketCode]],tblSeket[#All],5,FALSE)</f>
        <v>Zaka</v>
      </c>
      <c r="L258" s="1" t="str">
        <f>Paris!L$54</f>
        <v>P04</v>
      </c>
      <c r="M258" s="1" t="str">
        <f>CONCATENATE(tblCong[[#This Row],[seketCode]],"-",tblCong[[#This Row],[pCode]])</f>
        <v>D01-S07-P04</v>
      </c>
      <c r="N258" s="1" t="str">
        <f>Paris!M$54</f>
        <v>Kwuabaso</v>
      </c>
      <c r="O258" s="1" t="s">
        <v>571</v>
      </c>
      <c r="P258" s="1" t="s">
        <v>812</v>
      </c>
    </row>
    <row r="259" spans="6:16" x14ac:dyDescent="0.35">
      <c r="F259" s="1" t="str">
        <f>CONCATENATE(tblCong[[#This Row],[parishCode]],"-",tblCong[[#This Row],[kCode]])</f>
        <v>D01-S07-P04-K04</v>
      </c>
      <c r="G259" s="1" t="str">
        <f>Distrik!F$5</f>
        <v>D01</v>
      </c>
      <c r="H259" s="1" t="str">
        <f>VLOOKUP(tblCong[[#This Row],[distCode]],tblDistrict[#All],2)</f>
        <v>Kâte</v>
      </c>
      <c r="I259" s="1" t="str">
        <f>Seket!I$11</f>
        <v>S07</v>
      </c>
      <c r="J259" s="1" t="str">
        <f>CONCATENATE(tblCong[[#This Row],[distCode]],"-",tblCong[[#This Row],[sCode]])</f>
        <v>D01-S07</v>
      </c>
      <c r="K259" s="1" t="str">
        <f>VLOOKUP(tblCong[[#This Row],[seketCode]],tblSeket[#All],5,FALSE)</f>
        <v>Zaka</v>
      </c>
      <c r="L259" s="1" t="str">
        <f>Paris!L$54</f>
        <v>P04</v>
      </c>
      <c r="M259" s="1" t="str">
        <f>CONCATENATE(tblCong[[#This Row],[seketCode]],"-",tblCong[[#This Row],[pCode]])</f>
        <v>D01-S07-P04</v>
      </c>
      <c r="N259" s="1" t="str">
        <f>Paris!M$54</f>
        <v>Kwuabaso</v>
      </c>
      <c r="O259" s="1" t="s">
        <v>573</v>
      </c>
      <c r="P259" s="1" t="s">
        <v>813</v>
      </c>
    </row>
    <row r="260" spans="6:16" x14ac:dyDescent="0.35">
      <c r="F260" s="1" t="str">
        <f>CONCATENATE(tblCong[[#This Row],[parishCode]],"-",tblCong[[#This Row],[kCode]])</f>
        <v>D01-S07-P04-K05</v>
      </c>
      <c r="G260" s="1" t="str">
        <f>Distrik!F$5</f>
        <v>D01</v>
      </c>
      <c r="H260" s="1" t="str">
        <f>VLOOKUP(tblCong[[#This Row],[distCode]],tblDistrict[#All],2)</f>
        <v>Kâte</v>
      </c>
      <c r="I260" s="1" t="str">
        <f>Seket!I$11</f>
        <v>S07</v>
      </c>
      <c r="J260" s="1" t="str">
        <f>CONCATENATE(tblCong[[#This Row],[distCode]],"-",tblCong[[#This Row],[sCode]])</f>
        <v>D01-S07</v>
      </c>
      <c r="K260" s="1" t="str">
        <f>VLOOKUP(tblCong[[#This Row],[seketCode]],tblSeket[#All],5,FALSE)</f>
        <v>Zaka</v>
      </c>
      <c r="L260" s="1" t="str">
        <f>Paris!L$54</f>
        <v>P04</v>
      </c>
      <c r="M260" s="1" t="str">
        <f>CONCATENATE(tblCong[[#This Row],[seketCode]],"-",tblCong[[#This Row],[pCode]])</f>
        <v>D01-S07-P04</v>
      </c>
      <c r="N260" s="1" t="str">
        <f>Paris!M$54</f>
        <v>Kwuabaso</v>
      </c>
      <c r="O260" s="1" t="s">
        <v>575</v>
      </c>
      <c r="P260" s="1" t="s">
        <v>814</v>
      </c>
    </row>
    <row r="261" spans="6:16" x14ac:dyDescent="0.35">
      <c r="F261" s="1" t="str">
        <f>CONCATENATE(tblCong[[#This Row],[parishCode]],"-",tblCong[[#This Row],[kCode]])</f>
        <v>D01-S07-P05-K01</v>
      </c>
      <c r="G261" s="1" t="str">
        <f>Distrik!F$5</f>
        <v>D01</v>
      </c>
      <c r="H261" s="1" t="str">
        <f>VLOOKUP(tblCong[[#This Row],[distCode]],tblDistrict[#All],2)</f>
        <v>Kâte</v>
      </c>
      <c r="I261" s="1" t="str">
        <f>Seket!I$11</f>
        <v>S07</v>
      </c>
      <c r="J261" s="1" t="str">
        <f>CONCATENATE(tblCong[[#This Row],[distCode]],"-",tblCong[[#This Row],[sCode]])</f>
        <v>D01-S07</v>
      </c>
      <c r="K261" s="1" t="str">
        <f>VLOOKUP(tblCong[[#This Row],[seketCode]],tblSeket[#All],5,FALSE)</f>
        <v>Zaka</v>
      </c>
      <c r="L261" s="1" t="str">
        <f>Paris!L$55</f>
        <v>P05</v>
      </c>
      <c r="M261" s="1" t="str">
        <f>CONCATENATE(tblCong[[#This Row],[seketCode]],"-",tblCong[[#This Row],[pCode]])</f>
        <v>D01-S07-P05</v>
      </c>
      <c r="N261" s="1" t="str">
        <f>Paris!M$55</f>
        <v>Sado</v>
      </c>
      <c r="O261" s="1" t="s">
        <v>567</v>
      </c>
      <c r="P261" s="1" t="s">
        <v>815</v>
      </c>
    </row>
    <row r="262" spans="6:16" x14ac:dyDescent="0.35">
      <c r="F262" s="1" t="str">
        <f>CONCATENATE(tblCong[[#This Row],[parishCode]],"-",tblCong[[#This Row],[kCode]])</f>
        <v>D01-S07-P05-K02</v>
      </c>
      <c r="G262" s="1" t="str">
        <f>Distrik!F$5</f>
        <v>D01</v>
      </c>
      <c r="H262" s="1" t="str">
        <f>VLOOKUP(tblCong[[#This Row],[distCode]],tblDistrict[#All],2)</f>
        <v>Kâte</v>
      </c>
      <c r="I262" s="1" t="str">
        <f>Seket!I$11</f>
        <v>S07</v>
      </c>
      <c r="J262" s="1" t="str">
        <f>CONCATENATE(tblCong[[#This Row],[distCode]],"-",tblCong[[#This Row],[sCode]])</f>
        <v>D01-S07</v>
      </c>
      <c r="K262" s="1" t="str">
        <f>VLOOKUP(tblCong[[#This Row],[seketCode]],tblSeket[#All],5,FALSE)</f>
        <v>Zaka</v>
      </c>
      <c r="L262" s="1" t="str">
        <f>Paris!L$55</f>
        <v>P05</v>
      </c>
      <c r="M262" s="1" t="str">
        <f>CONCATENATE(tblCong[[#This Row],[seketCode]],"-",tblCong[[#This Row],[pCode]])</f>
        <v>D01-S07-P05</v>
      </c>
      <c r="N262" s="1" t="str">
        <f>Paris!M$55</f>
        <v>Sado</v>
      </c>
      <c r="O262" s="1" t="s">
        <v>569</v>
      </c>
      <c r="P262" s="1" t="s">
        <v>816</v>
      </c>
    </row>
    <row r="263" spans="6:16" x14ac:dyDescent="0.35">
      <c r="F263" s="1" t="str">
        <f>CONCATENATE(tblCong[[#This Row],[parishCode]],"-",tblCong[[#This Row],[kCode]])</f>
        <v>D01-S07-P05-K03</v>
      </c>
      <c r="G263" s="1" t="str">
        <f>Distrik!F$5</f>
        <v>D01</v>
      </c>
      <c r="H263" s="1" t="str">
        <f>VLOOKUP(tblCong[[#This Row],[distCode]],tblDistrict[#All],2)</f>
        <v>Kâte</v>
      </c>
      <c r="I263" s="1" t="str">
        <f>Seket!I$11</f>
        <v>S07</v>
      </c>
      <c r="J263" s="1" t="str">
        <f>CONCATENATE(tblCong[[#This Row],[distCode]],"-",tblCong[[#This Row],[sCode]])</f>
        <v>D01-S07</v>
      </c>
      <c r="K263" s="1" t="str">
        <f>VLOOKUP(tblCong[[#This Row],[seketCode]],tblSeket[#All],5,FALSE)</f>
        <v>Zaka</v>
      </c>
      <c r="L263" s="1" t="str">
        <f>Paris!L$55</f>
        <v>P05</v>
      </c>
      <c r="M263" s="1" t="str">
        <f>CONCATENATE(tblCong[[#This Row],[seketCode]],"-",tblCong[[#This Row],[pCode]])</f>
        <v>D01-S07-P05</v>
      </c>
      <c r="N263" s="1" t="str">
        <f>Paris!M$55</f>
        <v>Sado</v>
      </c>
      <c r="O263" s="1" t="s">
        <v>571</v>
      </c>
      <c r="P263" s="1" t="s">
        <v>817</v>
      </c>
    </row>
    <row r="264" spans="6:16" x14ac:dyDescent="0.35">
      <c r="F264" s="1" t="str">
        <f>CONCATENATE(tblCong[[#This Row],[parishCode]],"-",tblCong[[#This Row],[kCode]])</f>
        <v>D01-S07-P05-K04</v>
      </c>
      <c r="G264" s="1" t="str">
        <f>Distrik!F$5</f>
        <v>D01</v>
      </c>
      <c r="H264" s="1" t="str">
        <f>VLOOKUP(tblCong[[#This Row],[distCode]],tblDistrict[#All],2)</f>
        <v>Kâte</v>
      </c>
      <c r="I264" s="1" t="str">
        <f>Seket!I$11</f>
        <v>S07</v>
      </c>
      <c r="J264" s="1" t="str">
        <f>CONCATENATE(tblCong[[#This Row],[distCode]],"-",tblCong[[#This Row],[sCode]])</f>
        <v>D01-S07</v>
      </c>
      <c r="K264" s="1" t="str">
        <f>VLOOKUP(tblCong[[#This Row],[seketCode]],tblSeket[#All],5,FALSE)</f>
        <v>Zaka</v>
      </c>
      <c r="L264" s="1" t="str">
        <f>Paris!L$55</f>
        <v>P05</v>
      </c>
      <c r="M264" s="1" t="str">
        <f>CONCATENATE(tblCong[[#This Row],[seketCode]],"-",tblCong[[#This Row],[pCode]])</f>
        <v>D01-S07-P05</v>
      </c>
      <c r="N264" s="1" t="str">
        <f>Paris!M$55</f>
        <v>Sado</v>
      </c>
      <c r="O264" s="1" t="s">
        <v>573</v>
      </c>
      <c r="P264" s="1" t="s">
        <v>818</v>
      </c>
    </row>
    <row r="265" spans="6:16" x14ac:dyDescent="0.35">
      <c r="F265" s="1" t="str">
        <f>CONCATENATE(tblCong[[#This Row],[parishCode]],"-",tblCong[[#This Row],[kCode]])</f>
        <v>D01-S07-P06-K01</v>
      </c>
      <c r="G265" s="1" t="str">
        <f>Distrik!F$5</f>
        <v>D01</v>
      </c>
      <c r="H265" s="1" t="str">
        <f>VLOOKUP(tblCong[[#This Row],[distCode]],tblDistrict[#All],2)</f>
        <v>Kâte</v>
      </c>
      <c r="I265" s="1" t="str">
        <f>Seket!I$11</f>
        <v>S07</v>
      </c>
      <c r="J265" s="1" t="str">
        <f>CONCATENATE(tblCong[[#This Row],[distCode]],"-",tblCong[[#This Row],[sCode]])</f>
        <v>D01-S07</v>
      </c>
      <c r="K265" s="1" t="str">
        <f>VLOOKUP(tblCong[[#This Row],[seketCode]],tblSeket[#All],5,FALSE)</f>
        <v>Zaka</v>
      </c>
      <c r="L265" s="1" t="str">
        <f>Paris!L$56</f>
        <v>P06</v>
      </c>
      <c r="M265" s="1" t="str">
        <f>CONCATENATE(tblCong[[#This Row],[seketCode]],"-",tblCong[[#This Row],[pCode]])</f>
        <v>D01-S07-P06</v>
      </c>
      <c r="N265" s="1" t="str">
        <f>Paris!M$56</f>
        <v>Duka</v>
      </c>
      <c r="O265" s="1" t="s">
        <v>567</v>
      </c>
      <c r="P265" s="1" t="s">
        <v>819</v>
      </c>
    </row>
    <row r="266" spans="6:16" x14ac:dyDescent="0.35">
      <c r="F266" s="1" t="str">
        <f>CONCATENATE(tblCong[[#This Row],[parishCode]],"-",tblCong[[#This Row],[kCode]])</f>
        <v>D01-S07-P06-K02</v>
      </c>
      <c r="G266" s="1" t="str">
        <f>Distrik!F$5</f>
        <v>D01</v>
      </c>
      <c r="H266" s="1" t="str">
        <f>VLOOKUP(tblCong[[#This Row],[distCode]],tblDistrict[#All],2)</f>
        <v>Kâte</v>
      </c>
      <c r="I266" s="1" t="str">
        <f>Seket!I$11</f>
        <v>S07</v>
      </c>
      <c r="J266" s="1" t="str">
        <f>CONCATENATE(tblCong[[#This Row],[distCode]],"-",tblCong[[#This Row],[sCode]])</f>
        <v>D01-S07</v>
      </c>
      <c r="K266" s="1" t="str">
        <f>VLOOKUP(tblCong[[#This Row],[seketCode]],tblSeket[#All],5,FALSE)</f>
        <v>Zaka</v>
      </c>
      <c r="L266" s="1" t="str">
        <f>Paris!L$56</f>
        <v>P06</v>
      </c>
      <c r="M266" s="1" t="str">
        <f>CONCATENATE(tblCong[[#This Row],[seketCode]],"-",tblCong[[#This Row],[pCode]])</f>
        <v>D01-S07-P06</v>
      </c>
      <c r="N266" s="1" t="str">
        <f>Paris!M$56</f>
        <v>Duka</v>
      </c>
      <c r="O266" s="1" t="s">
        <v>569</v>
      </c>
      <c r="P266" s="1" t="s">
        <v>820</v>
      </c>
    </row>
    <row r="267" spans="6:16" x14ac:dyDescent="0.35">
      <c r="F267" s="1" t="str">
        <f>CONCATENATE(tblCong[[#This Row],[parishCode]],"-",tblCong[[#This Row],[kCode]])</f>
        <v>D01-S07-P06-K03</v>
      </c>
      <c r="G267" s="1" t="str">
        <f>Distrik!F$5</f>
        <v>D01</v>
      </c>
      <c r="H267" s="1" t="str">
        <f>VLOOKUP(tblCong[[#This Row],[distCode]],tblDistrict[#All],2)</f>
        <v>Kâte</v>
      </c>
      <c r="I267" s="1" t="str">
        <f>Seket!I$11</f>
        <v>S07</v>
      </c>
      <c r="J267" s="1" t="str">
        <f>CONCATENATE(tblCong[[#This Row],[distCode]],"-",tblCong[[#This Row],[sCode]])</f>
        <v>D01-S07</v>
      </c>
      <c r="K267" s="1" t="str">
        <f>VLOOKUP(tblCong[[#This Row],[seketCode]],tblSeket[#All],5,FALSE)</f>
        <v>Zaka</v>
      </c>
      <c r="L267" s="1" t="str">
        <f>Paris!L$56</f>
        <v>P06</v>
      </c>
      <c r="M267" s="1" t="str">
        <f>CONCATENATE(tblCong[[#This Row],[seketCode]],"-",tblCong[[#This Row],[pCode]])</f>
        <v>D01-S07-P06</v>
      </c>
      <c r="N267" s="1" t="str">
        <f>Paris!M$56</f>
        <v>Duka</v>
      </c>
      <c r="O267" s="1" t="s">
        <v>571</v>
      </c>
      <c r="P267" s="1" t="s">
        <v>821</v>
      </c>
    </row>
    <row r="268" spans="6:16" x14ac:dyDescent="0.35">
      <c r="F268" s="1" t="str">
        <f>CONCATENATE(tblCong[[#This Row],[parishCode]],"-",tblCong[[#This Row],[kCode]])</f>
        <v>D01-S07-P06-K04</v>
      </c>
      <c r="G268" s="1" t="str">
        <f>Distrik!F$5</f>
        <v>D01</v>
      </c>
      <c r="H268" s="1" t="str">
        <f>VLOOKUP(tblCong[[#This Row],[distCode]],tblDistrict[#All],2)</f>
        <v>Kâte</v>
      </c>
      <c r="I268" s="1" t="str">
        <f>Seket!I$11</f>
        <v>S07</v>
      </c>
      <c r="J268" s="1" t="str">
        <f>CONCATENATE(tblCong[[#This Row],[distCode]],"-",tblCong[[#This Row],[sCode]])</f>
        <v>D01-S07</v>
      </c>
      <c r="K268" s="1" t="str">
        <f>VLOOKUP(tblCong[[#This Row],[seketCode]],tblSeket[#All],5,FALSE)</f>
        <v>Zaka</v>
      </c>
      <c r="L268" s="1" t="str">
        <f>Paris!L$56</f>
        <v>P06</v>
      </c>
      <c r="M268" s="1" t="str">
        <f>CONCATENATE(tblCong[[#This Row],[seketCode]],"-",tblCong[[#This Row],[pCode]])</f>
        <v>D01-S07-P06</v>
      </c>
      <c r="N268" s="1" t="str">
        <f>Paris!M$56</f>
        <v>Duka</v>
      </c>
      <c r="O268" s="1" t="s">
        <v>573</v>
      </c>
      <c r="P268" s="1" t="s">
        <v>822</v>
      </c>
    </row>
    <row r="269" spans="6:16" x14ac:dyDescent="0.35">
      <c r="F269" s="1" t="str">
        <f>CONCATENATE(tblCong[[#This Row],[parishCode]],"-",tblCong[[#This Row],[kCode]])</f>
        <v>D01-S07-P06-K05</v>
      </c>
      <c r="G269" s="1" t="str">
        <f>Distrik!F$5</f>
        <v>D01</v>
      </c>
      <c r="H269" s="1" t="str">
        <f>VLOOKUP(tblCong[[#This Row],[distCode]],tblDistrict[#All],2)</f>
        <v>Kâte</v>
      </c>
      <c r="I269" s="1" t="str">
        <f>Seket!I$11</f>
        <v>S07</v>
      </c>
      <c r="J269" s="1" t="str">
        <f>CONCATENATE(tblCong[[#This Row],[distCode]],"-",tblCong[[#This Row],[sCode]])</f>
        <v>D01-S07</v>
      </c>
      <c r="K269" s="1" t="str">
        <f>VLOOKUP(tblCong[[#This Row],[seketCode]],tblSeket[#All],5,FALSE)</f>
        <v>Zaka</v>
      </c>
      <c r="L269" s="1" t="str">
        <f>Paris!L$56</f>
        <v>P06</v>
      </c>
      <c r="M269" s="1" t="str">
        <f>CONCATENATE(tblCong[[#This Row],[seketCode]],"-",tblCong[[#This Row],[pCode]])</f>
        <v>D01-S07-P06</v>
      </c>
      <c r="N269" s="1" t="str">
        <f>Paris!M$56</f>
        <v>Duka</v>
      </c>
      <c r="O269" s="1" t="s">
        <v>575</v>
      </c>
      <c r="P269" s="1" t="s">
        <v>823</v>
      </c>
    </row>
    <row r="270" spans="6:16" x14ac:dyDescent="0.35">
      <c r="F270" s="1" t="str">
        <f>CONCATENATE(tblCong[[#This Row],[parishCode]],"-",tblCong[[#This Row],[kCode]])</f>
        <v>D01-S07-P06-K06</v>
      </c>
      <c r="G270" s="1" t="str">
        <f>Distrik!F$5</f>
        <v>D01</v>
      </c>
      <c r="H270" s="1" t="str">
        <f>VLOOKUP(tblCong[[#This Row],[distCode]],tblDistrict[#All],2)</f>
        <v>Kâte</v>
      </c>
      <c r="I270" s="1" t="str">
        <f>Seket!I$11</f>
        <v>S07</v>
      </c>
      <c r="J270" s="1" t="str">
        <f>CONCATENATE(tblCong[[#This Row],[distCode]],"-",tblCong[[#This Row],[sCode]])</f>
        <v>D01-S07</v>
      </c>
      <c r="K270" s="1" t="str">
        <f>VLOOKUP(tblCong[[#This Row],[seketCode]],tblSeket[#All],5,FALSE)</f>
        <v>Zaka</v>
      </c>
      <c r="L270" s="1" t="str">
        <f>Paris!L$56</f>
        <v>P06</v>
      </c>
      <c r="M270" s="1" t="str">
        <f>CONCATENATE(tblCong[[#This Row],[seketCode]],"-",tblCong[[#This Row],[pCode]])</f>
        <v>D01-S07-P06</v>
      </c>
      <c r="N270" s="1" t="str">
        <f>Paris!M$56</f>
        <v>Duka</v>
      </c>
      <c r="O270" s="1" t="s">
        <v>576</v>
      </c>
      <c r="P270" s="1" t="s">
        <v>824</v>
      </c>
    </row>
    <row r="271" spans="6:16" x14ac:dyDescent="0.35">
      <c r="F271" s="1" t="str">
        <f>CONCATENATE(tblCong[[#This Row],[parishCode]],"-",tblCong[[#This Row],[kCode]])</f>
        <v>D01-S07-P07-K01</v>
      </c>
      <c r="G271" s="1" t="str">
        <f>Distrik!F$5</f>
        <v>D01</v>
      </c>
      <c r="H271" s="1" t="str">
        <f>VLOOKUP(tblCong[[#This Row],[distCode]],tblDistrict[#All],2)</f>
        <v>Kâte</v>
      </c>
      <c r="I271" s="1" t="str">
        <f>Seket!I$11</f>
        <v>S07</v>
      </c>
      <c r="J271" s="1" t="str">
        <f>CONCATENATE(tblCong[[#This Row],[distCode]],"-",tblCong[[#This Row],[sCode]])</f>
        <v>D01-S07</v>
      </c>
      <c r="K271" s="1" t="str">
        <f>VLOOKUP(tblCong[[#This Row],[seketCode]],tblSeket[#All],5,FALSE)</f>
        <v>Zaka</v>
      </c>
      <c r="L271" s="1" t="str">
        <f>Paris!L$57</f>
        <v>P07</v>
      </c>
      <c r="M271" s="1" t="str">
        <f>CONCATENATE(tblCong[[#This Row],[seketCode]],"-",tblCong[[#This Row],[pCode]])</f>
        <v>D01-S07-P07</v>
      </c>
      <c r="N271" s="1" t="str">
        <f>Paris!M$57</f>
        <v>Nange</v>
      </c>
      <c r="O271" s="1" t="s">
        <v>567</v>
      </c>
      <c r="P271" s="1" t="s">
        <v>825</v>
      </c>
    </row>
    <row r="272" spans="6:16" x14ac:dyDescent="0.35">
      <c r="F272" s="1" t="str">
        <f>CONCATENATE(tblCong[[#This Row],[parishCode]],"-",tblCong[[#This Row],[kCode]])</f>
        <v>D01-S07-P07-K02</v>
      </c>
      <c r="G272" s="1" t="str">
        <f>Distrik!F$5</f>
        <v>D01</v>
      </c>
      <c r="H272" s="1" t="str">
        <f>VLOOKUP(tblCong[[#This Row],[distCode]],tblDistrict[#All],2)</f>
        <v>Kâte</v>
      </c>
      <c r="I272" s="1" t="str">
        <f>Seket!I$11</f>
        <v>S07</v>
      </c>
      <c r="J272" s="1" t="str">
        <f>CONCATENATE(tblCong[[#This Row],[distCode]],"-",tblCong[[#This Row],[sCode]])</f>
        <v>D01-S07</v>
      </c>
      <c r="K272" s="1" t="str">
        <f>VLOOKUP(tblCong[[#This Row],[seketCode]],tblSeket[#All],5,FALSE)</f>
        <v>Zaka</v>
      </c>
      <c r="L272" s="1" t="str">
        <f>Paris!L$57</f>
        <v>P07</v>
      </c>
      <c r="M272" s="1" t="str">
        <f>CONCATENATE(tblCong[[#This Row],[seketCode]],"-",tblCong[[#This Row],[pCode]])</f>
        <v>D01-S07-P07</v>
      </c>
      <c r="N272" s="1" t="str">
        <f>Paris!M$57</f>
        <v>Nange</v>
      </c>
      <c r="O272" s="1" t="s">
        <v>569</v>
      </c>
      <c r="P272" s="1" t="s">
        <v>826</v>
      </c>
    </row>
    <row r="273" spans="6:16" x14ac:dyDescent="0.35">
      <c r="F273" s="1" t="str">
        <f>CONCATENATE(tblCong[[#This Row],[parishCode]],"-",tblCong[[#This Row],[kCode]])</f>
        <v>D01-S07-P07-K03</v>
      </c>
      <c r="G273" s="1" t="str">
        <f>Distrik!F$5</f>
        <v>D01</v>
      </c>
      <c r="H273" s="1" t="str">
        <f>VLOOKUP(tblCong[[#This Row],[distCode]],tblDistrict[#All],2)</f>
        <v>Kâte</v>
      </c>
      <c r="I273" s="1" t="str">
        <f>Seket!I$11</f>
        <v>S07</v>
      </c>
      <c r="J273" s="1" t="str">
        <f>CONCATENATE(tblCong[[#This Row],[distCode]],"-",tblCong[[#This Row],[sCode]])</f>
        <v>D01-S07</v>
      </c>
      <c r="K273" s="1" t="str">
        <f>VLOOKUP(tblCong[[#This Row],[seketCode]],tblSeket[#All],5,FALSE)</f>
        <v>Zaka</v>
      </c>
      <c r="L273" s="1" t="str">
        <f>Paris!L$57</f>
        <v>P07</v>
      </c>
      <c r="M273" s="1" t="str">
        <f>CONCATENATE(tblCong[[#This Row],[seketCode]],"-",tblCong[[#This Row],[pCode]])</f>
        <v>D01-S07-P07</v>
      </c>
      <c r="N273" s="1" t="str">
        <f>Paris!M$57</f>
        <v>Nange</v>
      </c>
      <c r="O273" s="1" t="s">
        <v>571</v>
      </c>
      <c r="P273" s="1" t="s">
        <v>827</v>
      </c>
    </row>
    <row r="274" spans="6:16" x14ac:dyDescent="0.35">
      <c r="F274" s="1" t="str">
        <f>CONCATENATE(tblCong[[#This Row],[parishCode]],"-",tblCong[[#This Row],[kCode]])</f>
        <v>D01-S07-P07-K04</v>
      </c>
      <c r="G274" s="1" t="str">
        <f>Distrik!F$5</f>
        <v>D01</v>
      </c>
      <c r="H274" s="1" t="str">
        <f>VLOOKUP(tblCong[[#This Row],[distCode]],tblDistrict[#All],2)</f>
        <v>Kâte</v>
      </c>
      <c r="I274" s="1" t="str">
        <f>Seket!I$11</f>
        <v>S07</v>
      </c>
      <c r="J274" s="1" t="str">
        <f>CONCATENATE(tblCong[[#This Row],[distCode]],"-",tblCong[[#This Row],[sCode]])</f>
        <v>D01-S07</v>
      </c>
      <c r="K274" s="1" t="str">
        <f>VLOOKUP(tblCong[[#This Row],[seketCode]],tblSeket[#All],5,FALSE)</f>
        <v>Zaka</v>
      </c>
      <c r="L274" s="1" t="str">
        <f>Paris!L$57</f>
        <v>P07</v>
      </c>
      <c r="M274" s="1" t="str">
        <f>CONCATENATE(tblCong[[#This Row],[seketCode]],"-",tblCong[[#This Row],[pCode]])</f>
        <v>D01-S07-P07</v>
      </c>
      <c r="N274" s="1" t="str">
        <f>Paris!M$57</f>
        <v>Nange</v>
      </c>
      <c r="O274" s="1" t="s">
        <v>573</v>
      </c>
      <c r="P274" s="1" t="s">
        <v>828</v>
      </c>
    </row>
    <row r="275" spans="6:16" x14ac:dyDescent="0.35">
      <c r="F275" s="1" t="str">
        <f>CONCATENATE(tblCong[[#This Row],[parishCode]],"-",tblCong[[#This Row],[kCode]])</f>
        <v>D01-S07-P07-K05</v>
      </c>
      <c r="G275" s="1" t="str">
        <f>Distrik!F$5</f>
        <v>D01</v>
      </c>
      <c r="H275" s="1" t="str">
        <f>VLOOKUP(tblCong[[#This Row],[distCode]],tblDistrict[#All],2)</f>
        <v>Kâte</v>
      </c>
      <c r="I275" s="1" t="str">
        <f>Seket!I$11</f>
        <v>S07</v>
      </c>
      <c r="J275" s="1" t="str">
        <f>CONCATENATE(tblCong[[#This Row],[distCode]],"-",tblCong[[#This Row],[sCode]])</f>
        <v>D01-S07</v>
      </c>
      <c r="K275" s="1" t="str">
        <f>VLOOKUP(tblCong[[#This Row],[seketCode]],tblSeket[#All],5,FALSE)</f>
        <v>Zaka</v>
      </c>
      <c r="L275" s="1" t="str">
        <f>Paris!L$57</f>
        <v>P07</v>
      </c>
      <c r="M275" s="1" t="str">
        <f>CONCATENATE(tblCong[[#This Row],[seketCode]],"-",tblCong[[#This Row],[pCode]])</f>
        <v>D01-S07-P07</v>
      </c>
      <c r="N275" s="1" t="str">
        <f>Paris!M$57</f>
        <v>Nange</v>
      </c>
      <c r="O275" s="1" t="s">
        <v>575</v>
      </c>
      <c r="P275" s="1" t="s">
        <v>829</v>
      </c>
    </row>
    <row r="276" spans="6:16" x14ac:dyDescent="0.35">
      <c r="F276" s="1" t="str">
        <f>CONCATENATE(tblCong[[#This Row],[parishCode]],"-",tblCong[[#This Row],[kCode]])</f>
        <v>D01-S07-P07-K06</v>
      </c>
      <c r="G276" s="1" t="str">
        <f>Distrik!F$5</f>
        <v>D01</v>
      </c>
      <c r="H276" s="1" t="str">
        <f>VLOOKUP(tblCong[[#This Row],[distCode]],tblDistrict[#All],2)</f>
        <v>Kâte</v>
      </c>
      <c r="I276" s="1" t="str">
        <f>Seket!I$11</f>
        <v>S07</v>
      </c>
      <c r="J276" s="1" t="str">
        <f>CONCATENATE(tblCong[[#This Row],[distCode]],"-",tblCong[[#This Row],[sCode]])</f>
        <v>D01-S07</v>
      </c>
      <c r="K276" s="1" t="str">
        <f>VLOOKUP(tblCong[[#This Row],[seketCode]],tblSeket[#All],5,FALSE)</f>
        <v>Zaka</v>
      </c>
      <c r="L276" s="1" t="str">
        <f>Paris!L$57</f>
        <v>P07</v>
      </c>
      <c r="M276" s="1" t="str">
        <f>CONCATENATE(tblCong[[#This Row],[seketCode]],"-",tblCong[[#This Row],[pCode]])</f>
        <v>D01-S07-P07</v>
      </c>
      <c r="N276" s="1" t="str">
        <f>Paris!M$57</f>
        <v>Nange</v>
      </c>
      <c r="O276" s="1" t="s">
        <v>576</v>
      </c>
      <c r="P276" s="1" t="s">
        <v>830</v>
      </c>
    </row>
    <row r="277" spans="6:16" x14ac:dyDescent="0.35">
      <c r="F277" s="1" t="str">
        <f>CONCATENATE(tblCong[[#This Row],[parishCode]],"-",tblCong[[#This Row],[kCode]])</f>
        <v>D01-S07-P07-K07</v>
      </c>
      <c r="G277" s="1" t="str">
        <f>Distrik!F$5</f>
        <v>D01</v>
      </c>
      <c r="H277" s="1" t="str">
        <f>VLOOKUP(tblCong[[#This Row],[distCode]],tblDistrict[#All],2)</f>
        <v>Kâte</v>
      </c>
      <c r="I277" s="1" t="str">
        <f>Seket!I$11</f>
        <v>S07</v>
      </c>
      <c r="J277" s="1" t="str">
        <f>CONCATENATE(tblCong[[#This Row],[distCode]],"-",tblCong[[#This Row],[sCode]])</f>
        <v>D01-S07</v>
      </c>
      <c r="K277" s="1" t="str">
        <f>VLOOKUP(tblCong[[#This Row],[seketCode]],tblSeket[#All],5,FALSE)</f>
        <v>Zaka</v>
      </c>
      <c r="L277" s="1" t="str">
        <f>Paris!L$57</f>
        <v>P07</v>
      </c>
      <c r="M277" s="1" t="str">
        <f>CONCATENATE(tblCong[[#This Row],[seketCode]],"-",tblCong[[#This Row],[pCode]])</f>
        <v>D01-S07-P07</v>
      </c>
      <c r="N277" s="1" t="str">
        <f>Paris!M$57</f>
        <v>Nange</v>
      </c>
      <c r="O277" s="1" t="s">
        <v>578</v>
      </c>
      <c r="P277" s="1" t="s">
        <v>831</v>
      </c>
    </row>
    <row r="278" spans="6:16" x14ac:dyDescent="0.35">
      <c r="F278" s="1" t="str">
        <f>CONCATENATE(tblCong[[#This Row],[parishCode]],"-",tblCong[[#This Row],[kCode]])</f>
        <v>D01-S07-P07-K08</v>
      </c>
      <c r="G278" s="1" t="str">
        <f>Distrik!F$5</f>
        <v>D01</v>
      </c>
      <c r="H278" s="1" t="str">
        <f>VLOOKUP(tblCong[[#This Row],[distCode]],tblDistrict[#All],2)</f>
        <v>Kâte</v>
      </c>
      <c r="I278" s="1" t="str">
        <f>Seket!I$11</f>
        <v>S07</v>
      </c>
      <c r="J278" s="1" t="str">
        <f>CONCATENATE(tblCong[[#This Row],[distCode]],"-",tblCong[[#This Row],[sCode]])</f>
        <v>D01-S07</v>
      </c>
      <c r="K278" s="1" t="str">
        <f>VLOOKUP(tblCong[[#This Row],[seketCode]],tblSeket[#All],5,FALSE)</f>
        <v>Zaka</v>
      </c>
      <c r="L278" s="1" t="str">
        <f>Paris!L$57</f>
        <v>P07</v>
      </c>
      <c r="M278" s="1" t="str">
        <f>CONCATENATE(tblCong[[#This Row],[seketCode]],"-",tblCong[[#This Row],[pCode]])</f>
        <v>D01-S07-P07</v>
      </c>
      <c r="N278" s="1" t="str">
        <f>Paris!M$57</f>
        <v>Nange</v>
      </c>
      <c r="O278" s="1" t="s">
        <v>651</v>
      </c>
      <c r="P278" s="1" t="s">
        <v>815</v>
      </c>
    </row>
    <row r="279" spans="6:16" x14ac:dyDescent="0.35">
      <c r="F279" s="1" t="str">
        <f>CONCATENATE(tblCong[[#This Row],[parishCode]],"-",tblCong[[#This Row],[kCode]])</f>
        <v>D01-S08-P02-K01</v>
      </c>
      <c r="G279" s="1" t="str">
        <f>Distrik!F$5</f>
        <v>D01</v>
      </c>
      <c r="H279" s="1" t="str">
        <f>VLOOKUP(tblCong[[#This Row],[distCode]],tblDistrict[#All],2)</f>
        <v>Kâte</v>
      </c>
      <c r="I279" s="1" t="str">
        <f>Seket!I$12</f>
        <v>S08</v>
      </c>
      <c r="J279" s="1" t="str">
        <f>CONCATENATE(tblCong[[#This Row],[distCode]],"-",tblCong[[#This Row],[sCode]])</f>
        <v>D01-S08</v>
      </c>
      <c r="K279" s="1" t="str">
        <f>VLOOKUP(tblCong[[#This Row],[seketCode]],tblSeket[#All],5,FALSE)</f>
        <v>Garaina</v>
      </c>
      <c r="L279" s="1" t="str">
        <f>Paris!L$59</f>
        <v>P02</v>
      </c>
      <c r="M279" s="1" t="str">
        <f>CONCATENATE(tblCong[[#This Row],[seketCode]],"-",tblCong[[#This Row],[pCode]])</f>
        <v>D01-S08-P02</v>
      </c>
      <c r="N279" s="1" t="str">
        <f>Paris!M$59</f>
        <v>Biaru</v>
      </c>
      <c r="O279" s="1" t="s">
        <v>567</v>
      </c>
      <c r="P279" s="1" t="s">
        <v>832</v>
      </c>
    </row>
    <row r="280" spans="6:16" x14ac:dyDescent="0.35">
      <c r="F280" s="1" t="str">
        <f>CONCATENATE(tblCong[[#This Row],[parishCode]],"-",tblCong[[#This Row],[kCode]])</f>
        <v>D01-S08-P02-K02</v>
      </c>
      <c r="G280" s="1" t="str">
        <f>Distrik!F$5</f>
        <v>D01</v>
      </c>
      <c r="H280" s="1" t="str">
        <f>VLOOKUP(tblCong[[#This Row],[distCode]],tblDistrict[#All],2)</f>
        <v>Kâte</v>
      </c>
      <c r="I280" s="1" t="str">
        <f>Seket!I$12</f>
        <v>S08</v>
      </c>
      <c r="J280" s="1" t="str">
        <f>CONCATENATE(tblCong[[#This Row],[distCode]],"-",tblCong[[#This Row],[sCode]])</f>
        <v>D01-S08</v>
      </c>
      <c r="K280" s="1" t="str">
        <f>VLOOKUP(tblCong[[#This Row],[seketCode]],tblSeket[#All],5,FALSE)</f>
        <v>Garaina</v>
      </c>
      <c r="L280" s="1" t="str">
        <f>Paris!L$59</f>
        <v>P02</v>
      </c>
      <c r="M280" s="1" t="str">
        <f>CONCATENATE(tblCong[[#This Row],[seketCode]],"-",tblCong[[#This Row],[pCode]])</f>
        <v>D01-S08-P02</v>
      </c>
      <c r="N280" s="1" t="str">
        <f>Paris!M$59</f>
        <v>Biaru</v>
      </c>
      <c r="O280" s="1" t="s">
        <v>569</v>
      </c>
      <c r="P280" s="1" t="s">
        <v>833</v>
      </c>
    </row>
    <row r="281" spans="6:16" x14ac:dyDescent="0.35">
      <c r="F281" s="1" t="str">
        <f>CONCATENATE(tblCong[[#This Row],[parishCode]],"-",tblCong[[#This Row],[kCode]])</f>
        <v>D01-S08-P02-K03</v>
      </c>
      <c r="G281" s="1" t="str">
        <f>Distrik!F$5</f>
        <v>D01</v>
      </c>
      <c r="H281" s="1" t="str">
        <f>VLOOKUP(tblCong[[#This Row],[distCode]],tblDistrict[#All],2)</f>
        <v>Kâte</v>
      </c>
      <c r="I281" s="1" t="str">
        <f>Seket!I$12</f>
        <v>S08</v>
      </c>
      <c r="J281" s="1" t="str">
        <f>CONCATENATE(tblCong[[#This Row],[distCode]],"-",tblCong[[#This Row],[sCode]])</f>
        <v>D01-S08</v>
      </c>
      <c r="K281" s="1" t="str">
        <f>VLOOKUP(tblCong[[#This Row],[seketCode]],tblSeket[#All],5,FALSE)</f>
        <v>Garaina</v>
      </c>
      <c r="L281" s="1" t="str">
        <f>Paris!L$59</f>
        <v>P02</v>
      </c>
      <c r="M281" s="1" t="str">
        <f>CONCATENATE(tblCong[[#This Row],[seketCode]],"-",tblCong[[#This Row],[pCode]])</f>
        <v>D01-S08-P02</v>
      </c>
      <c r="N281" s="1" t="str">
        <f>Paris!M$59</f>
        <v>Biaru</v>
      </c>
      <c r="O281" s="1" t="s">
        <v>571</v>
      </c>
      <c r="P281" s="1" t="s">
        <v>834</v>
      </c>
    </row>
    <row r="282" spans="6:16" x14ac:dyDescent="0.35">
      <c r="F282" s="1" t="str">
        <f>CONCATENATE(tblCong[[#This Row],[parishCode]],"-",tblCong[[#This Row],[kCode]])</f>
        <v>D01-S08-P02-K04</v>
      </c>
      <c r="G282" s="1" t="str">
        <f>Distrik!F$5</f>
        <v>D01</v>
      </c>
      <c r="H282" s="1" t="str">
        <f>VLOOKUP(tblCong[[#This Row],[distCode]],tblDistrict[#All],2)</f>
        <v>Kâte</v>
      </c>
      <c r="I282" s="1" t="str">
        <f>Seket!I$12</f>
        <v>S08</v>
      </c>
      <c r="J282" s="1" t="str">
        <f>CONCATENATE(tblCong[[#This Row],[distCode]],"-",tblCong[[#This Row],[sCode]])</f>
        <v>D01-S08</v>
      </c>
      <c r="K282" s="1" t="str">
        <f>VLOOKUP(tblCong[[#This Row],[seketCode]],tblSeket[#All],5,FALSE)</f>
        <v>Garaina</v>
      </c>
      <c r="L282" s="1" t="str">
        <f>Paris!L$59</f>
        <v>P02</v>
      </c>
      <c r="M282" s="1" t="str">
        <f>CONCATENATE(tblCong[[#This Row],[seketCode]],"-",tblCong[[#This Row],[pCode]])</f>
        <v>D01-S08-P02</v>
      </c>
      <c r="N282" s="1" t="str">
        <f>Paris!M$59</f>
        <v>Biaru</v>
      </c>
      <c r="O282" s="1" t="s">
        <v>573</v>
      </c>
      <c r="P282" s="1" t="s">
        <v>835</v>
      </c>
    </row>
    <row r="283" spans="6:16" x14ac:dyDescent="0.35">
      <c r="F283" s="1" t="str">
        <f>CONCATENATE(tblCong[[#This Row],[parishCode]],"-",tblCong[[#This Row],[kCode]])</f>
        <v>D01-S08-P02-K05</v>
      </c>
      <c r="G283" s="1" t="str">
        <f>Distrik!F$5</f>
        <v>D01</v>
      </c>
      <c r="H283" s="1" t="str">
        <f>VLOOKUP(tblCong[[#This Row],[distCode]],tblDistrict[#All],2)</f>
        <v>Kâte</v>
      </c>
      <c r="I283" s="1" t="str">
        <f>Seket!I$12</f>
        <v>S08</v>
      </c>
      <c r="J283" s="1" t="str">
        <f>CONCATENATE(tblCong[[#This Row],[distCode]],"-",tblCong[[#This Row],[sCode]])</f>
        <v>D01-S08</v>
      </c>
      <c r="K283" s="1" t="str">
        <f>VLOOKUP(tblCong[[#This Row],[seketCode]],tblSeket[#All],5,FALSE)</f>
        <v>Garaina</v>
      </c>
      <c r="L283" s="1" t="str">
        <f>Paris!L$59</f>
        <v>P02</v>
      </c>
      <c r="M283" s="1" t="str">
        <f>CONCATENATE(tblCong[[#This Row],[seketCode]],"-",tblCong[[#This Row],[pCode]])</f>
        <v>D01-S08-P02</v>
      </c>
      <c r="N283" s="1" t="str">
        <f>Paris!M$59</f>
        <v>Biaru</v>
      </c>
      <c r="O283" s="1" t="s">
        <v>575</v>
      </c>
      <c r="P283" s="1" t="s">
        <v>836</v>
      </c>
    </row>
    <row r="284" spans="6:16" x14ac:dyDescent="0.35">
      <c r="F284" s="1" t="str">
        <f>CONCATENATE(tblCong[[#This Row],[parishCode]],"-",tblCong[[#This Row],[kCode]])</f>
        <v>D01-S08-P02-K06</v>
      </c>
      <c r="G284" s="1" t="str">
        <f>Distrik!F$5</f>
        <v>D01</v>
      </c>
      <c r="H284" s="1" t="str">
        <f>VLOOKUP(tblCong[[#This Row],[distCode]],tblDistrict[#All],2)</f>
        <v>Kâte</v>
      </c>
      <c r="I284" s="1" t="str">
        <f>Seket!I$12</f>
        <v>S08</v>
      </c>
      <c r="J284" s="1" t="str">
        <f>CONCATENATE(tblCong[[#This Row],[distCode]],"-",tblCong[[#This Row],[sCode]])</f>
        <v>D01-S08</v>
      </c>
      <c r="K284" s="1" t="str">
        <f>VLOOKUP(tblCong[[#This Row],[seketCode]],tblSeket[#All],5,FALSE)</f>
        <v>Garaina</v>
      </c>
      <c r="L284" s="1" t="str">
        <f>Paris!L$59</f>
        <v>P02</v>
      </c>
      <c r="M284" s="1" t="str">
        <f>CONCATENATE(tblCong[[#This Row],[seketCode]],"-",tblCong[[#This Row],[pCode]])</f>
        <v>D01-S08-P02</v>
      </c>
      <c r="N284" s="1" t="str">
        <f>Paris!M$59</f>
        <v>Biaru</v>
      </c>
      <c r="O284" s="1" t="s">
        <v>576</v>
      </c>
      <c r="P284" s="1" t="s">
        <v>837</v>
      </c>
    </row>
    <row r="285" spans="6:16" x14ac:dyDescent="0.35">
      <c r="F285" s="1" t="str">
        <f>CONCATENATE(tblCong[[#This Row],[parishCode]],"-",tblCong[[#This Row],[kCode]])</f>
        <v>D01-S08-P02-K07</v>
      </c>
      <c r="G285" s="1" t="str">
        <f>Distrik!F$5</f>
        <v>D01</v>
      </c>
      <c r="H285" s="1" t="str">
        <f>VLOOKUP(tblCong[[#This Row],[distCode]],tblDistrict[#All],2)</f>
        <v>Kâte</v>
      </c>
      <c r="I285" s="1" t="str">
        <f>Seket!I$12</f>
        <v>S08</v>
      </c>
      <c r="J285" s="1" t="str">
        <f>CONCATENATE(tblCong[[#This Row],[distCode]],"-",tblCong[[#This Row],[sCode]])</f>
        <v>D01-S08</v>
      </c>
      <c r="K285" s="1" t="str">
        <f>VLOOKUP(tblCong[[#This Row],[seketCode]],tblSeket[#All],5,FALSE)</f>
        <v>Garaina</v>
      </c>
      <c r="L285" s="1" t="str">
        <f>Paris!L$59</f>
        <v>P02</v>
      </c>
      <c r="M285" s="1" t="str">
        <f>CONCATENATE(tblCong[[#This Row],[seketCode]],"-",tblCong[[#This Row],[pCode]])</f>
        <v>D01-S08-P02</v>
      </c>
      <c r="N285" s="1" t="str">
        <f>Paris!M$59</f>
        <v>Biaru</v>
      </c>
      <c r="O285" s="1" t="s">
        <v>578</v>
      </c>
      <c r="P285" s="1" t="s">
        <v>838</v>
      </c>
    </row>
    <row r="286" spans="6:16" x14ac:dyDescent="0.35">
      <c r="F286" s="1" t="str">
        <f>CONCATENATE(tblCong[[#This Row],[parishCode]],"-",tblCong[[#This Row],[kCode]])</f>
        <v>D01-S08-P02-K08</v>
      </c>
      <c r="G286" s="1" t="str">
        <f>Distrik!F$5</f>
        <v>D01</v>
      </c>
      <c r="H286" s="1" t="str">
        <f>VLOOKUP(tblCong[[#This Row],[distCode]],tblDistrict[#All],2)</f>
        <v>Kâte</v>
      </c>
      <c r="I286" s="1" t="str">
        <f>Seket!I$12</f>
        <v>S08</v>
      </c>
      <c r="J286" s="1" t="str">
        <f>CONCATENATE(tblCong[[#This Row],[distCode]],"-",tblCong[[#This Row],[sCode]])</f>
        <v>D01-S08</v>
      </c>
      <c r="K286" s="1" t="str">
        <f>VLOOKUP(tblCong[[#This Row],[seketCode]],tblSeket[#All],5,FALSE)</f>
        <v>Garaina</v>
      </c>
      <c r="L286" s="1" t="str">
        <f>Paris!L$59</f>
        <v>P02</v>
      </c>
      <c r="M286" s="1" t="str">
        <f>CONCATENATE(tblCong[[#This Row],[seketCode]],"-",tblCong[[#This Row],[pCode]])</f>
        <v>D01-S08-P02</v>
      </c>
      <c r="N286" s="1" t="str">
        <f>Paris!M$59</f>
        <v>Biaru</v>
      </c>
      <c r="O286" s="1" t="s">
        <v>651</v>
      </c>
      <c r="P286" s="1" t="s">
        <v>839</v>
      </c>
    </row>
    <row r="287" spans="6:16" x14ac:dyDescent="0.35">
      <c r="F287" s="1" t="str">
        <f>CONCATENATE(tblCong[[#This Row],[parishCode]],"-",tblCong[[#This Row],[kCode]])</f>
        <v>D01-S08-P02-K09</v>
      </c>
      <c r="G287" s="1" t="str">
        <f>Distrik!F$5</f>
        <v>D01</v>
      </c>
      <c r="H287" s="1" t="str">
        <f>VLOOKUP(tblCong[[#This Row],[distCode]],tblDistrict[#All],2)</f>
        <v>Kâte</v>
      </c>
      <c r="I287" s="1" t="str">
        <f>Seket!I$12</f>
        <v>S08</v>
      </c>
      <c r="J287" s="1" t="str">
        <f>CONCATENATE(tblCong[[#This Row],[distCode]],"-",tblCong[[#This Row],[sCode]])</f>
        <v>D01-S08</v>
      </c>
      <c r="K287" s="1" t="str">
        <f>VLOOKUP(tblCong[[#This Row],[seketCode]],tblSeket[#All],5,FALSE)</f>
        <v>Garaina</v>
      </c>
      <c r="L287" s="1" t="str">
        <f>Paris!L$59</f>
        <v>P02</v>
      </c>
      <c r="M287" s="1" t="str">
        <f>CONCATENATE(tblCong[[#This Row],[seketCode]],"-",tblCong[[#This Row],[pCode]])</f>
        <v>D01-S08-P02</v>
      </c>
      <c r="N287" s="1" t="str">
        <f>Paris!M$59</f>
        <v>Biaru</v>
      </c>
      <c r="O287" s="1" t="s">
        <v>653</v>
      </c>
      <c r="P287" s="1" t="s">
        <v>840</v>
      </c>
    </row>
    <row r="288" spans="6:16" x14ac:dyDescent="0.35">
      <c r="F288" s="1" t="str">
        <f>CONCATENATE(tblCong[[#This Row],[parishCode]],"-",tblCong[[#This Row],[kCode]])</f>
        <v>D02-S01-P01-K01</v>
      </c>
      <c r="G288" s="1" t="str">
        <f>Distrik!F$6</f>
        <v>D02</v>
      </c>
      <c r="H288" s="1" t="str">
        <f>VLOOKUP(tblCong[[#This Row],[distCode]],tblDistrict[#All],2)</f>
        <v>Jabem</v>
      </c>
      <c r="I288" s="1" t="str">
        <f>Seket!I$13</f>
        <v>S01</v>
      </c>
      <c r="J288" s="1" t="str">
        <f>CONCATENATE(tblCong[[#This Row],[distCode]],"-",tblCong[[#This Row],[sCode]])</f>
        <v>D02-S01</v>
      </c>
      <c r="K288" s="1" t="str">
        <f>VLOOKUP(tblCong[[#This Row],[seketCode]],tblSeket[#All],5,FALSE)</f>
        <v>Aseki</v>
      </c>
      <c r="L288" s="1" t="str">
        <f>Paris!L$64</f>
        <v>P01</v>
      </c>
      <c r="M288" s="1" t="str">
        <f>CONCATENATE(tblCong[[#This Row],[seketCode]],"-",tblCong[[#This Row],[pCode]])</f>
        <v>D02-S01-P01</v>
      </c>
      <c r="N288" s="1" t="str">
        <f>Paris!M$64</f>
        <v>Di Kapu</v>
      </c>
      <c r="O288" s="1" t="s">
        <v>567</v>
      </c>
      <c r="P288" s="1" t="s">
        <v>841</v>
      </c>
    </row>
    <row r="289" spans="6:16" x14ac:dyDescent="0.35">
      <c r="F289" s="1" t="str">
        <f>CONCATENATE(tblCong[[#This Row],[parishCode]],"-",tblCong[[#This Row],[kCode]])</f>
        <v>D02-S01-P01-K02</v>
      </c>
      <c r="G289" s="1" t="str">
        <f>Distrik!F$6</f>
        <v>D02</v>
      </c>
      <c r="H289" s="1" t="str">
        <f>VLOOKUP(tblCong[[#This Row],[distCode]],tblDistrict[#All],2)</f>
        <v>Jabem</v>
      </c>
      <c r="I289" s="1" t="str">
        <f>Seket!I$13</f>
        <v>S01</v>
      </c>
      <c r="J289" s="1" t="str">
        <f>CONCATENATE(tblCong[[#This Row],[distCode]],"-",tblCong[[#This Row],[sCode]])</f>
        <v>D02-S01</v>
      </c>
      <c r="K289" s="1" t="str">
        <f>VLOOKUP(tblCong[[#This Row],[seketCode]],tblSeket[#All],5,FALSE)</f>
        <v>Aseki</v>
      </c>
      <c r="L289" s="1" t="str">
        <f>Paris!L$64</f>
        <v>P01</v>
      </c>
      <c r="M289" s="1" t="str">
        <f>CONCATENATE(tblCong[[#This Row],[seketCode]],"-",tblCong[[#This Row],[pCode]])</f>
        <v>D02-S01-P01</v>
      </c>
      <c r="N289" s="1" t="str">
        <f>Paris!M$64</f>
        <v>Di Kapu</v>
      </c>
      <c r="O289" s="1" t="s">
        <v>569</v>
      </c>
      <c r="P289" s="1" t="s">
        <v>842</v>
      </c>
    </row>
    <row r="290" spans="6:16" x14ac:dyDescent="0.35">
      <c r="F290" s="1" t="str">
        <f>CONCATENATE(tblCong[[#This Row],[parishCode]],"-",tblCong[[#This Row],[kCode]])</f>
        <v>D02-S01-P01-K03</v>
      </c>
      <c r="G290" s="1" t="str">
        <f>Distrik!F$6</f>
        <v>D02</v>
      </c>
      <c r="H290" s="1" t="str">
        <f>VLOOKUP(tblCong[[#This Row],[distCode]],tblDistrict[#All],2)</f>
        <v>Jabem</v>
      </c>
      <c r="I290" s="1" t="str">
        <f>Seket!I$13</f>
        <v>S01</v>
      </c>
      <c r="J290" s="1" t="str">
        <f>CONCATENATE(tblCong[[#This Row],[distCode]],"-",tblCong[[#This Row],[sCode]])</f>
        <v>D02-S01</v>
      </c>
      <c r="K290" s="1" t="str">
        <f>VLOOKUP(tblCong[[#This Row],[seketCode]],tblSeket[#All],5,FALSE)</f>
        <v>Aseki</v>
      </c>
      <c r="L290" s="1" t="str">
        <f>Paris!L$64</f>
        <v>P01</v>
      </c>
      <c r="M290" s="1" t="str">
        <f>CONCATENATE(tblCong[[#This Row],[seketCode]],"-",tblCong[[#This Row],[pCode]])</f>
        <v>D02-S01-P01</v>
      </c>
      <c r="N290" s="1" t="str">
        <f>Paris!M$64</f>
        <v>Di Kapu</v>
      </c>
      <c r="O290" s="1" t="s">
        <v>571</v>
      </c>
      <c r="P290" s="1" t="s">
        <v>843</v>
      </c>
    </row>
    <row r="291" spans="6:16" x14ac:dyDescent="0.35">
      <c r="F291" s="1" t="str">
        <f>CONCATENATE(tblCong[[#This Row],[parishCode]],"-",tblCong[[#This Row],[kCode]])</f>
        <v>D02-S01-P01-K04</v>
      </c>
      <c r="G291" s="1" t="str">
        <f>Distrik!F$6</f>
        <v>D02</v>
      </c>
      <c r="H291" s="1" t="str">
        <f>VLOOKUP(tblCong[[#This Row],[distCode]],tblDistrict[#All],2)</f>
        <v>Jabem</v>
      </c>
      <c r="I291" s="1" t="str">
        <f>Seket!I$13</f>
        <v>S01</v>
      </c>
      <c r="J291" s="1" t="str">
        <f>CONCATENATE(tblCong[[#This Row],[distCode]],"-",tblCong[[#This Row],[sCode]])</f>
        <v>D02-S01</v>
      </c>
      <c r="K291" s="1" t="str">
        <f>VLOOKUP(tblCong[[#This Row],[seketCode]],tblSeket[#All],5,FALSE)</f>
        <v>Aseki</v>
      </c>
      <c r="L291" s="1" t="str">
        <f>Paris!L$64</f>
        <v>P01</v>
      </c>
      <c r="M291" s="1" t="str">
        <f>CONCATENATE(tblCong[[#This Row],[seketCode]],"-",tblCong[[#This Row],[pCode]])</f>
        <v>D02-S01-P01</v>
      </c>
      <c r="N291" s="1" t="str">
        <f>Paris!M$64</f>
        <v>Di Kapu</v>
      </c>
      <c r="O291" s="1" t="s">
        <v>573</v>
      </c>
      <c r="P291" s="1" t="s">
        <v>844</v>
      </c>
    </row>
    <row r="292" spans="6:16" x14ac:dyDescent="0.35">
      <c r="F292" s="1" t="str">
        <f>CONCATENATE(tblCong[[#This Row],[parishCode]],"-",tblCong[[#This Row],[kCode]])</f>
        <v>D02-S01-P01-K05</v>
      </c>
      <c r="G292" s="1" t="str">
        <f>Distrik!F$6</f>
        <v>D02</v>
      </c>
      <c r="H292" s="1" t="str">
        <f>VLOOKUP(tblCong[[#This Row],[distCode]],tblDistrict[#All],2)</f>
        <v>Jabem</v>
      </c>
      <c r="I292" s="1" t="str">
        <f>Seket!I$13</f>
        <v>S01</v>
      </c>
      <c r="J292" s="1" t="str">
        <f>CONCATENATE(tblCong[[#This Row],[distCode]],"-",tblCong[[#This Row],[sCode]])</f>
        <v>D02-S01</v>
      </c>
      <c r="K292" s="1" t="str">
        <f>VLOOKUP(tblCong[[#This Row],[seketCode]],tblSeket[#All],5,FALSE)</f>
        <v>Aseki</v>
      </c>
      <c r="L292" s="1" t="str">
        <f>Paris!L$64</f>
        <v>P01</v>
      </c>
      <c r="M292" s="1" t="str">
        <f>CONCATENATE(tblCong[[#This Row],[seketCode]],"-",tblCong[[#This Row],[pCode]])</f>
        <v>D02-S01-P01</v>
      </c>
      <c r="N292" s="1" t="str">
        <f>Paris!M$64</f>
        <v>Di Kapu</v>
      </c>
      <c r="O292" s="1" t="s">
        <v>575</v>
      </c>
      <c r="P292" s="1" t="s">
        <v>845</v>
      </c>
    </row>
    <row r="293" spans="6:16" x14ac:dyDescent="0.35">
      <c r="F293" s="1" t="str">
        <f>CONCATENATE(tblCong[[#This Row],[parishCode]],"-",tblCong[[#This Row],[kCode]])</f>
        <v>D02-S01-P01-K06</v>
      </c>
      <c r="G293" s="1" t="str">
        <f>Distrik!F$6</f>
        <v>D02</v>
      </c>
      <c r="H293" s="1" t="str">
        <f>VLOOKUP(tblCong[[#This Row],[distCode]],tblDistrict[#All],2)</f>
        <v>Jabem</v>
      </c>
      <c r="I293" s="1" t="str">
        <f>Seket!I$13</f>
        <v>S01</v>
      </c>
      <c r="J293" s="1" t="str">
        <f>CONCATENATE(tblCong[[#This Row],[distCode]],"-",tblCong[[#This Row],[sCode]])</f>
        <v>D02-S01</v>
      </c>
      <c r="K293" s="1" t="str">
        <f>VLOOKUP(tblCong[[#This Row],[seketCode]],tblSeket[#All],5,FALSE)</f>
        <v>Aseki</v>
      </c>
      <c r="L293" s="1" t="str">
        <f>Paris!L$64</f>
        <v>P01</v>
      </c>
      <c r="M293" s="1" t="str">
        <f>CONCATENATE(tblCong[[#This Row],[seketCode]],"-",tblCong[[#This Row],[pCode]])</f>
        <v>D02-S01-P01</v>
      </c>
      <c r="N293" s="1" t="str">
        <f>Paris!M$64</f>
        <v>Di Kapu</v>
      </c>
      <c r="O293" s="1" t="s">
        <v>576</v>
      </c>
      <c r="P293" s="1" t="s">
        <v>846</v>
      </c>
    </row>
    <row r="294" spans="6:16" x14ac:dyDescent="0.35">
      <c r="F294" s="1" t="str">
        <f>CONCATENATE(tblCong[[#This Row],[parishCode]],"-",tblCong[[#This Row],[kCode]])</f>
        <v>D02-S01-P01-K07</v>
      </c>
      <c r="G294" s="1" t="str">
        <f>Distrik!F$6</f>
        <v>D02</v>
      </c>
      <c r="H294" s="1" t="str">
        <f>VLOOKUP(tblCong[[#This Row],[distCode]],tblDistrict[#All],2)</f>
        <v>Jabem</v>
      </c>
      <c r="I294" s="1" t="str">
        <f>Seket!I$13</f>
        <v>S01</v>
      </c>
      <c r="J294" s="1" t="str">
        <f>CONCATENATE(tblCong[[#This Row],[distCode]],"-",tblCong[[#This Row],[sCode]])</f>
        <v>D02-S01</v>
      </c>
      <c r="K294" s="1" t="str">
        <f>VLOOKUP(tblCong[[#This Row],[seketCode]],tblSeket[#All],5,FALSE)</f>
        <v>Aseki</v>
      </c>
      <c r="L294" s="1" t="str">
        <f>Paris!L$64</f>
        <v>P01</v>
      </c>
      <c r="M294" s="1" t="str">
        <f>CONCATENATE(tblCong[[#This Row],[seketCode]],"-",tblCong[[#This Row],[pCode]])</f>
        <v>D02-S01-P01</v>
      </c>
      <c r="N294" s="1" t="str">
        <f>Paris!M$64</f>
        <v>Di Kapu</v>
      </c>
      <c r="O294" s="1" t="s">
        <v>578</v>
      </c>
      <c r="P294" s="1" t="s">
        <v>847</v>
      </c>
    </row>
    <row r="295" spans="6:16" x14ac:dyDescent="0.35">
      <c r="F295" s="1" t="str">
        <f>CONCATENATE(tblCong[[#This Row],[parishCode]],"-",tblCong[[#This Row],[kCode]])</f>
        <v>D02-S01-P02-K01</v>
      </c>
      <c r="G295" s="1" t="str">
        <f>Distrik!F$6</f>
        <v>D02</v>
      </c>
      <c r="H295" s="1" t="str">
        <f>VLOOKUP(tblCong[[#This Row],[distCode]],tblDistrict[#All],2)</f>
        <v>Jabem</v>
      </c>
      <c r="I295" s="1" t="str">
        <f>Seket!I$13</f>
        <v>S01</v>
      </c>
      <c r="J295" s="1" t="str">
        <f>CONCATENATE(tblCong[[#This Row],[distCode]],"-",tblCong[[#This Row],[sCode]])</f>
        <v>D02-S01</v>
      </c>
      <c r="K295" s="1" t="str">
        <f>VLOOKUP(tblCong[[#This Row],[seketCode]],tblSeket[#All],5,FALSE)</f>
        <v>Aseki</v>
      </c>
      <c r="L295" s="1" t="str">
        <f>Paris!L$65</f>
        <v>P02</v>
      </c>
      <c r="M295" s="1" t="str">
        <f>CONCATENATE(tblCong[[#This Row],[seketCode]],"-",tblCong[[#This Row],[pCode]])</f>
        <v>D02-S01-P02</v>
      </c>
      <c r="N295" s="1" t="str">
        <f>Paris!M$65</f>
        <v>Kapu</v>
      </c>
      <c r="O295" s="1" t="s">
        <v>567</v>
      </c>
      <c r="P295" s="1" t="s">
        <v>848</v>
      </c>
    </row>
    <row r="296" spans="6:16" x14ac:dyDescent="0.35">
      <c r="F296" s="1" t="str">
        <f>CONCATENATE(tblCong[[#This Row],[parishCode]],"-",tblCong[[#This Row],[kCode]])</f>
        <v>D02-S01-P02-K02</v>
      </c>
      <c r="G296" s="1" t="str">
        <f>Distrik!F$6</f>
        <v>D02</v>
      </c>
      <c r="H296" s="1" t="str">
        <f>VLOOKUP(tblCong[[#This Row],[distCode]],tblDistrict[#All],2)</f>
        <v>Jabem</v>
      </c>
      <c r="I296" s="1" t="str">
        <f>Seket!I$13</f>
        <v>S01</v>
      </c>
      <c r="J296" s="1" t="str">
        <f>CONCATENATE(tblCong[[#This Row],[distCode]],"-",tblCong[[#This Row],[sCode]])</f>
        <v>D02-S01</v>
      </c>
      <c r="K296" s="1" t="str">
        <f>VLOOKUP(tblCong[[#This Row],[seketCode]],tblSeket[#All],5,FALSE)</f>
        <v>Aseki</v>
      </c>
      <c r="L296" s="1" t="str">
        <f>Paris!L$65</f>
        <v>P02</v>
      </c>
      <c r="M296" s="1" t="str">
        <f>CONCATENATE(tblCong[[#This Row],[seketCode]],"-",tblCong[[#This Row],[pCode]])</f>
        <v>D02-S01-P02</v>
      </c>
      <c r="N296" s="1" t="str">
        <f>Paris!M$65</f>
        <v>Kapu</v>
      </c>
      <c r="O296" s="1" t="s">
        <v>569</v>
      </c>
      <c r="P296" s="1" t="s">
        <v>849</v>
      </c>
    </row>
    <row r="297" spans="6:16" x14ac:dyDescent="0.35">
      <c r="F297" s="1" t="str">
        <f>CONCATENATE(tblCong[[#This Row],[parishCode]],"-",tblCong[[#This Row],[kCode]])</f>
        <v>D02-S01-P02-K03</v>
      </c>
      <c r="G297" s="1" t="str">
        <f>Distrik!F$6</f>
        <v>D02</v>
      </c>
      <c r="H297" s="1" t="str">
        <f>VLOOKUP(tblCong[[#This Row],[distCode]],tblDistrict[#All],2)</f>
        <v>Jabem</v>
      </c>
      <c r="I297" s="1" t="str">
        <f>Seket!I$13</f>
        <v>S01</v>
      </c>
      <c r="J297" s="1" t="str">
        <f>CONCATENATE(tblCong[[#This Row],[distCode]],"-",tblCong[[#This Row],[sCode]])</f>
        <v>D02-S01</v>
      </c>
      <c r="K297" s="1" t="str">
        <f>VLOOKUP(tblCong[[#This Row],[seketCode]],tblSeket[#All],5,FALSE)</f>
        <v>Aseki</v>
      </c>
      <c r="L297" s="1" t="str">
        <f>Paris!L$65</f>
        <v>P02</v>
      </c>
      <c r="M297" s="1" t="str">
        <f>CONCATENATE(tblCong[[#This Row],[seketCode]],"-",tblCong[[#This Row],[pCode]])</f>
        <v>D02-S01-P02</v>
      </c>
      <c r="N297" s="1" t="str">
        <f>Paris!M$65</f>
        <v>Kapu</v>
      </c>
      <c r="O297" s="1" t="s">
        <v>571</v>
      </c>
      <c r="P297" s="1" t="s">
        <v>850</v>
      </c>
    </row>
    <row r="298" spans="6:16" x14ac:dyDescent="0.35">
      <c r="F298" s="1" t="str">
        <f>CONCATENATE(tblCong[[#This Row],[parishCode]],"-",tblCong[[#This Row],[kCode]])</f>
        <v>D02-S01-P02-K04</v>
      </c>
      <c r="G298" s="1" t="str">
        <f>Distrik!F$6</f>
        <v>D02</v>
      </c>
      <c r="H298" s="1" t="str">
        <f>VLOOKUP(tblCong[[#This Row],[distCode]],tblDistrict[#All],2)</f>
        <v>Jabem</v>
      </c>
      <c r="I298" s="1" t="str">
        <f>Seket!I$13</f>
        <v>S01</v>
      </c>
      <c r="J298" s="1" t="str">
        <f>CONCATENATE(tblCong[[#This Row],[distCode]],"-",tblCong[[#This Row],[sCode]])</f>
        <v>D02-S01</v>
      </c>
      <c r="K298" s="1" t="str">
        <f>VLOOKUP(tblCong[[#This Row],[seketCode]],tblSeket[#All],5,FALSE)</f>
        <v>Aseki</v>
      </c>
      <c r="L298" s="1" t="str">
        <f>Paris!L$65</f>
        <v>P02</v>
      </c>
      <c r="M298" s="1" t="str">
        <f>CONCATENATE(tblCong[[#This Row],[seketCode]],"-",tblCong[[#This Row],[pCode]])</f>
        <v>D02-S01-P02</v>
      </c>
      <c r="N298" s="1" t="str">
        <f>Paris!M$65</f>
        <v>Kapu</v>
      </c>
      <c r="O298" s="1" t="s">
        <v>573</v>
      </c>
      <c r="P298" s="1" t="s">
        <v>851</v>
      </c>
    </row>
    <row r="299" spans="6:16" x14ac:dyDescent="0.35">
      <c r="F299" s="1" t="str">
        <f>CONCATENATE(tblCong[[#This Row],[parishCode]],"-",tblCong[[#This Row],[kCode]])</f>
        <v>D02-S01-P02-K05</v>
      </c>
      <c r="G299" s="1" t="str">
        <f>Distrik!F$6</f>
        <v>D02</v>
      </c>
      <c r="H299" s="1" t="str">
        <f>VLOOKUP(tblCong[[#This Row],[distCode]],tblDistrict[#All],2)</f>
        <v>Jabem</v>
      </c>
      <c r="I299" s="1" t="str">
        <f>Seket!I$13</f>
        <v>S01</v>
      </c>
      <c r="J299" s="1" t="str">
        <f>CONCATENATE(tblCong[[#This Row],[distCode]],"-",tblCong[[#This Row],[sCode]])</f>
        <v>D02-S01</v>
      </c>
      <c r="K299" s="1" t="str">
        <f>VLOOKUP(tblCong[[#This Row],[seketCode]],tblSeket[#All],5,FALSE)</f>
        <v>Aseki</v>
      </c>
      <c r="L299" s="1" t="str">
        <f>Paris!L$65</f>
        <v>P02</v>
      </c>
      <c r="M299" s="1" t="str">
        <f>CONCATENATE(tblCong[[#This Row],[seketCode]],"-",tblCong[[#This Row],[pCode]])</f>
        <v>D02-S01-P02</v>
      </c>
      <c r="N299" s="1" t="str">
        <f>Paris!M$65</f>
        <v>Kapu</v>
      </c>
      <c r="O299" s="1" t="s">
        <v>575</v>
      </c>
      <c r="P299" s="1" t="s">
        <v>852</v>
      </c>
    </row>
    <row r="300" spans="6:16" x14ac:dyDescent="0.35">
      <c r="F300" s="1" t="str">
        <f>CONCATENATE(tblCong[[#This Row],[parishCode]],"-",tblCong[[#This Row],[kCode]])</f>
        <v>D02-S01-P03-K01</v>
      </c>
      <c r="G300" s="1" t="str">
        <f>Distrik!F$6</f>
        <v>D02</v>
      </c>
      <c r="H300" s="1" t="str">
        <f>VLOOKUP(tblCong[[#This Row],[distCode]],tblDistrict[#All],2)</f>
        <v>Jabem</v>
      </c>
      <c r="I300" s="1" t="str">
        <f>Seket!I$13</f>
        <v>S01</v>
      </c>
      <c r="J300" s="1" t="str">
        <f>CONCATENATE(tblCong[[#This Row],[distCode]],"-",tblCong[[#This Row],[sCode]])</f>
        <v>D02-S01</v>
      </c>
      <c r="K300" s="1" t="str">
        <f>VLOOKUP(tblCong[[#This Row],[seketCode]],tblSeket[#All],5,FALSE)</f>
        <v>Aseki</v>
      </c>
      <c r="L300" s="1" t="str">
        <f>Paris!L$66</f>
        <v>P03</v>
      </c>
      <c r="M300" s="1" t="str">
        <f>CONCATENATE(tblCong[[#This Row],[seketCode]],"-",tblCong[[#This Row],[pCode]])</f>
        <v>D02-S01-P03</v>
      </c>
      <c r="N300" s="1" t="str">
        <f>Paris!M$66</f>
        <v>Wayona</v>
      </c>
      <c r="O300" s="1" t="s">
        <v>567</v>
      </c>
      <c r="P300" s="1" t="s">
        <v>853</v>
      </c>
    </row>
    <row r="301" spans="6:16" x14ac:dyDescent="0.35">
      <c r="F301" s="1" t="str">
        <f>CONCATENATE(tblCong[[#This Row],[parishCode]],"-",tblCong[[#This Row],[kCode]])</f>
        <v>D02-S01-P03-K02</v>
      </c>
      <c r="G301" s="1" t="str">
        <f>Distrik!F$6</f>
        <v>D02</v>
      </c>
      <c r="H301" s="1" t="str">
        <f>VLOOKUP(tblCong[[#This Row],[distCode]],tblDistrict[#All],2)</f>
        <v>Jabem</v>
      </c>
      <c r="I301" s="1" t="str">
        <f>Seket!I$13</f>
        <v>S01</v>
      </c>
      <c r="J301" s="1" t="str">
        <f>CONCATENATE(tblCong[[#This Row],[distCode]],"-",tblCong[[#This Row],[sCode]])</f>
        <v>D02-S01</v>
      </c>
      <c r="K301" s="1" t="str">
        <f>VLOOKUP(tblCong[[#This Row],[seketCode]],tblSeket[#All],5,FALSE)</f>
        <v>Aseki</v>
      </c>
      <c r="L301" s="1" t="str">
        <f>Paris!L$66</f>
        <v>P03</v>
      </c>
      <c r="M301" s="1" t="str">
        <f>CONCATENATE(tblCong[[#This Row],[seketCode]],"-",tblCong[[#This Row],[pCode]])</f>
        <v>D02-S01-P03</v>
      </c>
      <c r="N301" s="1" t="str">
        <f>Paris!M$66</f>
        <v>Wayona</v>
      </c>
      <c r="O301" s="1" t="s">
        <v>569</v>
      </c>
      <c r="P301" s="1" t="s">
        <v>854</v>
      </c>
    </row>
    <row r="302" spans="6:16" x14ac:dyDescent="0.35">
      <c r="F302" s="1" t="str">
        <f>CONCATENATE(tblCong[[#This Row],[parishCode]],"-",tblCong[[#This Row],[kCode]])</f>
        <v>D02-S01-P03-K03</v>
      </c>
      <c r="G302" s="1" t="str">
        <f>Distrik!F$6</f>
        <v>D02</v>
      </c>
      <c r="H302" s="1" t="str">
        <f>VLOOKUP(tblCong[[#This Row],[distCode]],tblDistrict[#All],2)</f>
        <v>Jabem</v>
      </c>
      <c r="I302" s="1" t="str">
        <f>Seket!I$13</f>
        <v>S01</v>
      </c>
      <c r="J302" s="1" t="str">
        <f>CONCATENATE(tblCong[[#This Row],[distCode]],"-",tblCong[[#This Row],[sCode]])</f>
        <v>D02-S01</v>
      </c>
      <c r="K302" s="1" t="str">
        <f>VLOOKUP(tblCong[[#This Row],[seketCode]],tblSeket[#All],5,FALSE)</f>
        <v>Aseki</v>
      </c>
      <c r="L302" s="1" t="str">
        <f>Paris!L$66</f>
        <v>P03</v>
      </c>
      <c r="M302" s="1" t="str">
        <f>CONCATENATE(tblCong[[#This Row],[seketCode]],"-",tblCong[[#This Row],[pCode]])</f>
        <v>D02-S01-P03</v>
      </c>
      <c r="N302" s="1" t="str">
        <f>Paris!M$66</f>
        <v>Wayona</v>
      </c>
      <c r="O302" s="1" t="s">
        <v>571</v>
      </c>
      <c r="P302" s="1" t="s">
        <v>855</v>
      </c>
    </row>
    <row r="303" spans="6:16" x14ac:dyDescent="0.35">
      <c r="F303" s="1" t="str">
        <f>CONCATENATE(tblCong[[#This Row],[parishCode]],"-",tblCong[[#This Row],[kCode]])</f>
        <v>D02-S01-P04-K01</v>
      </c>
      <c r="G303" s="1" t="str">
        <f>Distrik!F$6</f>
        <v>D02</v>
      </c>
      <c r="H303" s="1" t="str">
        <f>VLOOKUP(tblCong[[#This Row],[distCode]],tblDistrict[#All],2)</f>
        <v>Jabem</v>
      </c>
      <c r="I303" s="1" t="str">
        <f>Seket!I$13</f>
        <v>S01</v>
      </c>
      <c r="J303" s="1" t="str">
        <f>CONCATENATE(tblCong[[#This Row],[distCode]],"-",tblCong[[#This Row],[sCode]])</f>
        <v>D02-S01</v>
      </c>
      <c r="K303" s="1" t="str">
        <f>VLOOKUP(tblCong[[#This Row],[seketCode]],tblSeket[#All],5,FALSE)</f>
        <v>Aseki</v>
      </c>
      <c r="L303" s="1" t="str">
        <f>Paris!L$67</f>
        <v>P04</v>
      </c>
      <c r="M303" s="1" t="str">
        <f>CONCATENATE(tblCong[[#This Row],[seketCode]],"-",tblCong[[#This Row],[pCode]])</f>
        <v>D02-S01-P04</v>
      </c>
      <c r="N303" s="1" t="str">
        <f>Paris!M$67</f>
        <v>Kapao</v>
      </c>
      <c r="O303" s="1" t="s">
        <v>567</v>
      </c>
      <c r="P303" s="1" t="s">
        <v>856</v>
      </c>
    </row>
    <row r="304" spans="6:16" x14ac:dyDescent="0.35">
      <c r="F304" s="1" t="str">
        <f>CONCATENATE(tblCong[[#This Row],[parishCode]],"-",tblCong[[#This Row],[kCode]])</f>
        <v>D02-S01-P04-K02</v>
      </c>
      <c r="G304" s="1" t="str">
        <f>Distrik!F$6</f>
        <v>D02</v>
      </c>
      <c r="H304" s="1" t="str">
        <f>VLOOKUP(tblCong[[#This Row],[distCode]],tblDistrict[#All],2)</f>
        <v>Jabem</v>
      </c>
      <c r="I304" s="1" t="str">
        <f>Seket!I$13</f>
        <v>S01</v>
      </c>
      <c r="J304" s="1" t="str">
        <f>CONCATENATE(tblCong[[#This Row],[distCode]],"-",tblCong[[#This Row],[sCode]])</f>
        <v>D02-S01</v>
      </c>
      <c r="K304" s="1" t="str">
        <f>VLOOKUP(tblCong[[#This Row],[seketCode]],tblSeket[#All],5,FALSE)</f>
        <v>Aseki</v>
      </c>
      <c r="L304" s="1" t="str">
        <f>Paris!L$67</f>
        <v>P04</v>
      </c>
      <c r="M304" s="1" t="str">
        <f>CONCATENATE(tblCong[[#This Row],[seketCode]],"-",tblCong[[#This Row],[pCode]])</f>
        <v>D02-S01-P04</v>
      </c>
      <c r="N304" s="1" t="str">
        <f>Paris!M$67</f>
        <v>Kapao</v>
      </c>
      <c r="O304" s="1" t="s">
        <v>569</v>
      </c>
      <c r="P304" s="1" t="s">
        <v>857</v>
      </c>
    </row>
    <row r="305" spans="6:16" x14ac:dyDescent="0.35">
      <c r="F305" s="1" t="str">
        <f>CONCATENATE(tblCong[[#This Row],[parishCode]],"-",tblCong[[#This Row],[kCode]])</f>
        <v>D02-S01-P04-K03</v>
      </c>
      <c r="G305" s="1" t="str">
        <f>Distrik!F$6</f>
        <v>D02</v>
      </c>
      <c r="H305" s="1" t="str">
        <f>VLOOKUP(tblCong[[#This Row],[distCode]],tblDistrict[#All],2)</f>
        <v>Jabem</v>
      </c>
      <c r="I305" s="1" t="str">
        <f>Seket!I$13</f>
        <v>S01</v>
      </c>
      <c r="J305" s="1" t="str">
        <f>CONCATENATE(tblCong[[#This Row],[distCode]],"-",tblCong[[#This Row],[sCode]])</f>
        <v>D02-S01</v>
      </c>
      <c r="K305" s="1" t="str">
        <f>VLOOKUP(tblCong[[#This Row],[seketCode]],tblSeket[#All],5,FALSE)</f>
        <v>Aseki</v>
      </c>
      <c r="L305" s="1" t="str">
        <f>Paris!L$67</f>
        <v>P04</v>
      </c>
      <c r="M305" s="1" t="str">
        <f>CONCATENATE(tblCong[[#This Row],[seketCode]],"-",tblCong[[#This Row],[pCode]])</f>
        <v>D02-S01-P04</v>
      </c>
      <c r="N305" s="1" t="str">
        <f>Paris!M$67</f>
        <v>Kapao</v>
      </c>
      <c r="O305" s="1" t="s">
        <v>571</v>
      </c>
      <c r="P305" s="1" t="s">
        <v>858</v>
      </c>
    </row>
    <row r="306" spans="6:16" x14ac:dyDescent="0.35">
      <c r="F306" s="1" t="str">
        <f>CONCATENATE(tblCong[[#This Row],[parishCode]],"-",tblCong[[#This Row],[kCode]])</f>
        <v>D02-S01-P04-K04</v>
      </c>
      <c r="G306" s="1" t="str">
        <f>Distrik!F$6</f>
        <v>D02</v>
      </c>
      <c r="H306" s="1" t="str">
        <f>VLOOKUP(tblCong[[#This Row],[distCode]],tblDistrict[#All],2)</f>
        <v>Jabem</v>
      </c>
      <c r="I306" s="1" t="str">
        <f>Seket!I$13</f>
        <v>S01</v>
      </c>
      <c r="J306" s="1" t="str">
        <f>CONCATENATE(tblCong[[#This Row],[distCode]],"-",tblCong[[#This Row],[sCode]])</f>
        <v>D02-S01</v>
      </c>
      <c r="K306" s="1" t="str">
        <f>VLOOKUP(tblCong[[#This Row],[seketCode]],tblSeket[#All],5,FALSE)</f>
        <v>Aseki</v>
      </c>
      <c r="L306" s="1" t="str">
        <f>Paris!L$67</f>
        <v>P04</v>
      </c>
      <c r="M306" s="1" t="str">
        <f>CONCATENATE(tblCong[[#This Row],[seketCode]],"-",tblCong[[#This Row],[pCode]])</f>
        <v>D02-S01-P04</v>
      </c>
      <c r="N306" s="1" t="str">
        <f>Paris!M$67</f>
        <v>Kapao</v>
      </c>
      <c r="O306" s="1" t="s">
        <v>573</v>
      </c>
      <c r="P306" s="1" t="s">
        <v>859</v>
      </c>
    </row>
    <row r="307" spans="6:16" x14ac:dyDescent="0.35">
      <c r="F307" s="1" t="str">
        <f>CONCATENATE(tblCong[[#This Row],[parishCode]],"-",tblCong[[#This Row],[kCode]])</f>
        <v>D02-S01-P05-K01</v>
      </c>
      <c r="G307" s="1" t="str">
        <f>Distrik!F$6</f>
        <v>D02</v>
      </c>
      <c r="H307" s="1" t="str">
        <f>VLOOKUP(tblCong[[#This Row],[distCode]],tblDistrict[#All],2)</f>
        <v>Jabem</v>
      </c>
      <c r="I307" s="1" t="str">
        <f>Seket!I$13</f>
        <v>S01</v>
      </c>
      <c r="J307" s="1" t="str">
        <f>CONCATENATE(tblCong[[#This Row],[distCode]],"-",tblCong[[#This Row],[sCode]])</f>
        <v>D02-S01</v>
      </c>
      <c r="K307" s="1" t="str">
        <f>VLOOKUP(tblCong[[#This Row],[seketCode]],tblSeket[#All],5,FALSE)</f>
        <v>Aseki</v>
      </c>
      <c r="L307" s="1" t="str">
        <f>Paris!L$68</f>
        <v>P05</v>
      </c>
      <c r="M307" s="1" t="str">
        <f>CONCATENATE(tblCong[[#This Row],[seketCode]],"-",tblCong[[#This Row],[pCode]])</f>
        <v>D02-S01-P05</v>
      </c>
      <c r="N307" s="1" t="str">
        <f>Paris!M$68</f>
        <v>Aiya</v>
      </c>
      <c r="O307" s="1" t="s">
        <v>567</v>
      </c>
      <c r="P307" s="1" t="s">
        <v>860</v>
      </c>
    </row>
    <row r="308" spans="6:16" x14ac:dyDescent="0.35">
      <c r="F308" s="1" t="str">
        <f>CONCATENATE(tblCong[[#This Row],[parishCode]],"-",tblCong[[#This Row],[kCode]])</f>
        <v>D02-S01-P05-K02</v>
      </c>
      <c r="G308" s="1" t="str">
        <f>Distrik!F$6</f>
        <v>D02</v>
      </c>
      <c r="H308" s="1" t="str">
        <f>VLOOKUP(tblCong[[#This Row],[distCode]],tblDistrict[#All],2)</f>
        <v>Jabem</v>
      </c>
      <c r="I308" s="1" t="str">
        <f>Seket!I$13</f>
        <v>S01</v>
      </c>
      <c r="J308" s="1" t="str">
        <f>CONCATENATE(tblCong[[#This Row],[distCode]],"-",tblCong[[#This Row],[sCode]])</f>
        <v>D02-S01</v>
      </c>
      <c r="K308" s="1" t="str">
        <f>VLOOKUP(tblCong[[#This Row],[seketCode]],tblSeket[#All],5,FALSE)</f>
        <v>Aseki</v>
      </c>
      <c r="L308" s="1" t="str">
        <f>Paris!L$68</f>
        <v>P05</v>
      </c>
      <c r="M308" s="1" t="str">
        <f>CONCATENATE(tblCong[[#This Row],[seketCode]],"-",tblCong[[#This Row],[pCode]])</f>
        <v>D02-S01-P05</v>
      </c>
      <c r="N308" s="1" t="str">
        <f>Paris!M$68</f>
        <v>Aiya</v>
      </c>
      <c r="O308" s="1" t="s">
        <v>569</v>
      </c>
      <c r="P308" s="1" t="s">
        <v>861</v>
      </c>
    </row>
    <row r="309" spans="6:16" x14ac:dyDescent="0.35">
      <c r="F309" s="1" t="str">
        <f>CONCATENATE(tblCong[[#This Row],[parishCode]],"-",tblCong[[#This Row],[kCode]])</f>
        <v>D02-S01-P05-K03</v>
      </c>
      <c r="G309" s="1" t="str">
        <f>Distrik!F$6</f>
        <v>D02</v>
      </c>
      <c r="H309" s="1" t="str">
        <f>VLOOKUP(tblCong[[#This Row],[distCode]],tblDistrict[#All],2)</f>
        <v>Jabem</v>
      </c>
      <c r="I309" s="1" t="str">
        <f>Seket!I$13</f>
        <v>S01</v>
      </c>
      <c r="J309" s="1" t="str">
        <f>CONCATENATE(tblCong[[#This Row],[distCode]],"-",tblCong[[#This Row],[sCode]])</f>
        <v>D02-S01</v>
      </c>
      <c r="K309" s="1" t="str">
        <f>VLOOKUP(tblCong[[#This Row],[seketCode]],tblSeket[#All],5,FALSE)</f>
        <v>Aseki</v>
      </c>
      <c r="L309" s="1" t="str">
        <f>Paris!L$68</f>
        <v>P05</v>
      </c>
      <c r="M309" s="1" t="str">
        <f>CONCATENATE(tblCong[[#This Row],[seketCode]],"-",tblCong[[#This Row],[pCode]])</f>
        <v>D02-S01-P05</v>
      </c>
      <c r="N309" s="1" t="str">
        <f>Paris!M$68</f>
        <v>Aiya</v>
      </c>
      <c r="O309" s="1" t="s">
        <v>571</v>
      </c>
      <c r="P309" s="1" t="s">
        <v>862</v>
      </c>
    </row>
    <row r="310" spans="6:16" x14ac:dyDescent="0.35">
      <c r="F310" s="1" t="str">
        <f>CONCATENATE(tblCong[[#This Row],[parishCode]],"-",tblCong[[#This Row],[kCode]])</f>
        <v>D02-S01-P05-K04</v>
      </c>
      <c r="G310" s="1" t="str">
        <f>Distrik!F$6</f>
        <v>D02</v>
      </c>
      <c r="H310" s="1" t="str">
        <f>VLOOKUP(tblCong[[#This Row],[distCode]],tblDistrict[#All],2)</f>
        <v>Jabem</v>
      </c>
      <c r="I310" s="1" t="str">
        <f>Seket!I$13</f>
        <v>S01</v>
      </c>
      <c r="J310" s="1" t="str">
        <f>CONCATENATE(tblCong[[#This Row],[distCode]],"-",tblCong[[#This Row],[sCode]])</f>
        <v>D02-S01</v>
      </c>
      <c r="K310" s="1" t="str">
        <f>VLOOKUP(tblCong[[#This Row],[seketCode]],tblSeket[#All],5,FALSE)</f>
        <v>Aseki</v>
      </c>
      <c r="L310" s="1" t="str">
        <f>Paris!L$68</f>
        <v>P05</v>
      </c>
      <c r="M310" s="1" t="str">
        <f>CONCATENATE(tblCong[[#This Row],[seketCode]],"-",tblCong[[#This Row],[pCode]])</f>
        <v>D02-S01-P05</v>
      </c>
      <c r="N310" s="1" t="str">
        <f>Paris!M$68</f>
        <v>Aiya</v>
      </c>
      <c r="O310" s="1" t="s">
        <v>573</v>
      </c>
      <c r="P310" s="1" t="s">
        <v>863</v>
      </c>
    </row>
    <row r="311" spans="6:16" x14ac:dyDescent="0.35">
      <c r="F311" s="1" t="str">
        <f>CONCATENATE(tblCong[[#This Row],[parishCode]],"-",tblCong[[#This Row],[kCode]])</f>
        <v>D02-S01-P05-K05</v>
      </c>
      <c r="G311" s="1" t="str">
        <f>Distrik!F$6</f>
        <v>D02</v>
      </c>
      <c r="H311" s="1" t="str">
        <f>VLOOKUP(tblCong[[#This Row],[distCode]],tblDistrict[#All],2)</f>
        <v>Jabem</v>
      </c>
      <c r="I311" s="1" t="str">
        <f>Seket!I$13</f>
        <v>S01</v>
      </c>
      <c r="J311" s="1" t="str">
        <f>CONCATENATE(tblCong[[#This Row],[distCode]],"-",tblCong[[#This Row],[sCode]])</f>
        <v>D02-S01</v>
      </c>
      <c r="K311" s="1" t="str">
        <f>VLOOKUP(tblCong[[#This Row],[seketCode]],tblSeket[#All],5,FALSE)</f>
        <v>Aseki</v>
      </c>
      <c r="L311" s="1" t="str">
        <f>Paris!L$68</f>
        <v>P05</v>
      </c>
      <c r="M311" s="1" t="str">
        <f>CONCATENATE(tblCong[[#This Row],[seketCode]],"-",tblCong[[#This Row],[pCode]])</f>
        <v>D02-S01-P05</v>
      </c>
      <c r="N311" s="1" t="str">
        <f>Paris!M$68</f>
        <v>Aiya</v>
      </c>
      <c r="O311" s="1" t="s">
        <v>575</v>
      </c>
      <c r="P311" s="1" t="s">
        <v>279</v>
      </c>
    </row>
    <row r="312" spans="6:16" x14ac:dyDescent="0.35">
      <c r="F312" s="1" t="str">
        <f>CONCATENATE(tblCong[[#This Row],[parishCode]],"-",tblCong[[#This Row],[kCode]])</f>
        <v>D02-S01-P05-K06</v>
      </c>
      <c r="G312" s="1" t="str">
        <f>Distrik!F$6</f>
        <v>D02</v>
      </c>
      <c r="H312" s="1" t="str">
        <f>VLOOKUP(tblCong[[#This Row],[distCode]],tblDistrict[#All],2)</f>
        <v>Jabem</v>
      </c>
      <c r="I312" s="1" t="str">
        <f>Seket!I$13</f>
        <v>S01</v>
      </c>
      <c r="J312" s="1" t="str">
        <f>CONCATENATE(tblCong[[#This Row],[distCode]],"-",tblCong[[#This Row],[sCode]])</f>
        <v>D02-S01</v>
      </c>
      <c r="K312" s="1" t="str">
        <f>VLOOKUP(tblCong[[#This Row],[seketCode]],tblSeket[#All],5,FALSE)</f>
        <v>Aseki</v>
      </c>
      <c r="L312" s="1" t="str">
        <f>Paris!L$68</f>
        <v>P05</v>
      </c>
      <c r="M312" s="1" t="str">
        <f>CONCATENATE(tblCong[[#This Row],[seketCode]],"-",tblCong[[#This Row],[pCode]])</f>
        <v>D02-S01-P05</v>
      </c>
      <c r="N312" s="1" t="str">
        <f>Paris!M$68</f>
        <v>Aiya</v>
      </c>
      <c r="O312" s="1" t="s">
        <v>576</v>
      </c>
      <c r="P312" s="1" t="s">
        <v>864</v>
      </c>
    </row>
    <row r="313" spans="6:16" x14ac:dyDescent="0.35">
      <c r="F313" s="1" t="str">
        <f>CONCATENATE(tblCong[[#This Row],[parishCode]],"-",tblCong[[#This Row],[kCode]])</f>
        <v>D02-S01-P05-K07</v>
      </c>
      <c r="G313" s="1" t="str">
        <f>Distrik!F$6</f>
        <v>D02</v>
      </c>
      <c r="H313" s="1" t="str">
        <f>VLOOKUP(tblCong[[#This Row],[distCode]],tblDistrict[#All],2)</f>
        <v>Jabem</v>
      </c>
      <c r="I313" s="1" t="str">
        <f>Seket!I$13</f>
        <v>S01</v>
      </c>
      <c r="J313" s="1" t="str">
        <f>CONCATENATE(tblCong[[#This Row],[distCode]],"-",tblCong[[#This Row],[sCode]])</f>
        <v>D02-S01</v>
      </c>
      <c r="K313" s="1" t="str">
        <f>VLOOKUP(tblCong[[#This Row],[seketCode]],tblSeket[#All],5,FALSE)</f>
        <v>Aseki</v>
      </c>
      <c r="L313" s="1" t="str">
        <f>Paris!L$68</f>
        <v>P05</v>
      </c>
      <c r="M313" s="1" t="str">
        <f>CONCATENATE(tblCong[[#This Row],[seketCode]],"-",tblCong[[#This Row],[pCode]])</f>
        <v>D02-S01-P05</v>
      </c>
      <c r="N313" s="1" t="str">
        <f>Paris!M$68</f>
        <v>Aiya</v>
      </c>
      <c r="O313" s="1" t="s">
        <v>578</v>
      </c>
      <c r="P313" s="1" t="s">
        <v>865</v>
      </c>
    </row>
    <row r="314" spans="6:16" x14ac:dyDescent="0.35">
      <c r="F314" s="1" t="str">
        <f>CONCATENATE(tblCong[[#This Row],[parishCode]],"-",tblCong[[#This Row],[kCode]])</f>
        <v>D02-S01-P06-K01</v>
      </c>
      <c r="G314" s="1" t="str">
        <f>Distrik!F$6</f>
        <v>D02</v>
      </c>
      <c r="H314" s="1" t="str">
        <f>VLOOKUP(tblCong[[#This Row],[distCode]],tblDistrict[#All],2)</f>
        <v>Jabem</v>
      </c>
      <c r="I314" s="1" t="str">
        <f>Seket!I$13</f>
        <v>S01</v>
      </c>
      <c r="J314" s="1" t="str">
        <f>CONCATENATE(tblCong[[#This Row],[distCode]],"-",tblCong[[#This Row],[sCode]])</f>
        <v>D02-S01</v>
      </c>
      <c r="K314" s="1" t="str">
        <f>VLOOKUP(tblCong[[#This Row],[seketCode]],tblSeket[#All],5,FALSE)</f>
        <v>Aseki</v>
      </c>
      <c r="L314" s="1" t="str">
        <f>Paris!L$69</f>
        <v>P06</v>
      </c>
      <c r="M314" s="1" t="str">
        <f>CONCATENATE(tblCong[[#This Row],[seketCode]],"-",tblCong[[#This Row],[pCode]])</f>
        <v>D02-S01-P06</v>
      </c>
      <c r="N314" s="1" t="str">
        <f>Paris!M$69</f>
        <v>Pouyu</v>
      </c>
      <c r="O314" s="1" t="s">
        <v>567</v>
      </c>
      <c r="P314" s="1" t="s">
        <v>866</v>
      </c>
    </row>
    <row r="315" spans="6:16" x14ac:dyDescent="0.35">
      <c r="F315" s="1" t="str">
        <f>CONCATENATE(tblCong[[#This Row],[parishCode]],"-",tblCong[[#This Row],[kCode]])</f>
        <v>D02-S01-P06-K02</v>
      </c>
      <c r="G315" s="1" t="str">
        <f>Distrik!F$6</f>
        <v>D02</v>
      </c>
      <c r="H315" s="1" t="str">
        <f>VLOOKUP(tblCong[[#This Row],[distCode]],tblDistrict[#All],2)</f>
        <v>Jabem</v>
      </c>
      <c r="I315" s="1" t="str">
        <f>Seket!I$13</f>
        <v>S01</v>
      </c>
      <c r="J315" s="1" t="str">
        <f>CONCATENATE(tblCong[[#This Row],[distCode]],"-",tblCong[[#This Row],[sCode]])</f>
        <v>D02-S01</v>
      </c>
      <c r="K315" s="1" t="str">
        <f>VLOOKUP(tblCong[[#This Row],[seketCode]],tblSeket[#All],5,FALSE)</f>
        <v>Aseki</v>
      </c>
      <c r="L315" s="1" t="str">
        <f>Paris!L$69</f>
        <v>P06</v>
      </c>
      <c r="M315" s="1" t="str">
        <f>CONCATENATE(tblCong[[#This Row],[seketCode]],"-",tblCong[[#This Row],[pCode]])</f>
        <v>D02-S01-P06</v>
      </c>
      <c r="N315" s="1" t="str">
        <f>Paris!M$69</f>
        <v>Pouyu</v>
      </c>
      <c r="O315" s="1" t="s">
        <v>569</v>
      </c>
      <c r="P315" s="1" t="s">
        <v>867</v>
      </c>
    </row>
    <row r="316" spans="6:16" x14ac:dyDescent="0.35">
      <c r="F316" s="1" t="str">
        <f>CONCATENATE(tblCong[[#This Row],[parishCode]],"-",tblCong[[#This Row],[kCode]])</f>
        <v>D02-S01-P06-K03</v>
      </c>
      <c r="G316" s="1" t="str">
        <f>Distrik!F$6</f>
        <v>D02</v>
      </c>
      <c r="H316" s="1" t="str">
        <f>VLOOKUP(tblCong[[#This Row],[distCode]],tblDistrict[#All],2)</f>
        <v>Jabem</v>
      </c>
      <c r="I316" s="1" t="str">
        <f>Seket!I$13</f>
        <v>S01</v>
      </c>
      <c r="J316" s="1" t="str">
        <f>CONCATENATE(tblCong[[#This Row],[distCode]],"-",tblCong[[#This Row],[sCode]])</f>
        <v>D02-S01</v>
      </c>
      <c r="K316" s="1" t="str">
        <f>VLOOKUP(tblCong[[#This Row],[seketCode]],tblSeket[#All],5,FALSE)</f>
        <v>Aseki</v>
      </c>
      <c r="L316" s="1" t="str">
        <f>Paris!L$69</f>
        <v>P06</v>
      </c>
      <c r="M316" s="1" t="str">
        <f>CONCATENATE(tblCong[[#This Row],[seketCode]],"-",tblCong[[#This Row],[pCode]])</f>
        <v>D02-S01-P06</v>
      </c>
      <c r="N316" s="1" t="str">
        <f>Paris!M$69</f>
        <v>Pouyu</v>
      </c>
      <c r="O316" s="1" t="s">
        <v>571</v>
      </c>
      <c r="P316" s="1" t="s">
        <v>812</v>
      </c>
    </row>
    <row r="317" spans="6:16" x14ac:dyDescent="0.35">
      <c r="F317" s="1" t="str">
        <f>CONCATENATE(tblCong[[#This Row],[parishCode]],"-",tblCong[[#This Row],[kCode]])</f>
        <v>D02-S01-P06-K04</v>
      </c>
      <c r="G317" s="1" t="str">
        <f>Distrik!F$6</f>
        <v>D02</v>
      </c>
      <c r="H317" s="1" t="str">
        <f>VLOOKUP(tblCong[[#This Row],[distCode]],tblDistrict[#All],2)</f>
        <v>Jabem</v>
      </c>
      <c r="I317" s="1" t="str">
        <f>Seket!I$13</f>
        <v>S01</v>
      </c>
      <c r="J317" s="1" t="str">
        <f>CONCATENATE(tblCong[[#This Row],[distCode]],"-",tblCong[[#This Row],[sCode]])</f>
        <v>D02-S01</v>
      </c>
      <c r="K317" s="1" t="str">
        <f>VLOOKUP(tblCong[[#This Row],[seketCode]],tblSeket[#All],5,FALSE)</f>
        <v>Aseki</v>
      </c>
      <c r="L317" s="1" t="str">
        <f>Paris!L$69</f>
        <v>P06</v>
      </c>
      <c r="M317" s="1" t="str">
        <f>CONCATENATE(tblCong[[#This Row],[seketCode]],"-",tblCong[[#This Row],[pCode]])</f>
        <v>D02-S01-P06</v>
      </c>
      <c r="N317" s="1" t="str">
        <f>Paris!M$69</f>
        <v>Pouyu</v>
      </c>
      <c r="O317" s="1" t="s">
        <v>573</v>
      </c>
      <c r="P317" s="1" t="s">
        <v>868</v>
      </c>
    </row>
    <row r="318" spans="6:16" x14ac:dyDescent="0.35">
      <c r="F318" s="1" t="str">
        <f>CONCATENATE(tblCong[[#This Row],[parishCode]],"-",tblCong[[#This Row],[kCode]])</f>
        <v>D02-S01-P06-K05</v>
      </c>
      <c r="G318" s="1" t="str">
        <f>Distrik!F$6</f>
        <v>D02</v>
      </c>
      <c r="H318" s="1" t="str">
        <f>VLOOKUP(tblCong[[#This Row],[distCode]],tblDistrict[#All],2)</f>
        <v>Jabem</v>
      </c>
      <c r="I318" s="1" t="str">
        <f>Seket!I$13</f>
        <v>S01</v>
      </c>
      <c r="J318" s="1" t="str">
        <f>CONCATENATE(tblCong[[#This Row],[distCode]],"-",tblCong[[#This Row],[sCode]])</f>
        <v>D02-S01</v>
      </c>
      <c r="K318" s="1" t="str">
        <f>VLOOKUP(tblCong[[#This Row],[seketCode]],tblSeket[#All],5,FALSE)</f>
        <v>Aseki</v>
      </c>
      <c r="L318" s="1" t="str">
        <f>Paris!L$69</f>
        <v>P06</v>
      </c>
      <c r="M318" s="1" t="str">
        <f>CONCATENATE(tblCong[[#This Row],[seketCode]],"-",tblCong[[#This Row],[pCode]])</f>
        <v>D02-S01-P06</v>
      </c>
      <c r="N318" s="1" t="str">
        <f>Paris!M$69</f>
        <v>Pouyu</v>
      </c>
      <c r="O318" s="1" t="s">
        <v>575</v>
      </c>
      <c r="P318" s="1" t="s">
        <v>869</v>
      </c>
    </row>
    <row r="319" spans="6:16" x14ac:dyDescent="0.35">
      <c r="F319" s="1" t="str">
        <f>CONCATENATE(tblCong[[#This Row],[parishCode]],"-",tblCong[[#This Row],[kCode]])</f>
        <v>D02-S01-P06-K06</v>
      </c>
      <c r="G319" s="1" t="str">
        <f>Distrik!F$6</f>
        <v>D02</v>
      </c>
      <c r="H319" s="1" t="str">
        <f>VLOOKUP(tblCong[[#This Row],[distCode]],tblDistrict[#All],2)</f>
        <v>Jabem</v>
      </c>
      <c r="I319" s="1" t="str">
        <f>Seket!I$13</f>
        <v>S01</v>
      </c>
      <c r="J319" s="1" t="str">
        <f>CONCATENATE(tblCong[[#This Row],[distCode]],"-",tblCong[[#This Row],[sCode]])</f>
        <v>D02-S01</v>
      </c>
      <c r="K319" s="1" t="str">
        <f>VLOOKUP(tblCong[[#This Row],[seketCode]],tblSeket[#All],5,FALSE)</f>
        <v>Aseki</v>
      </c>
      <c r="L319" s="1" t="str">
        <f>Paris!L$69</f>
        <v>P06</v>
      </c>
      <c r="M319" s="1" t="str">
        <f>CONCATENATE(tblCong[[#This Row],[seketCode]],"-",tblCong[[#This Row],[pCode]])</f>
        <v>D02-S01-P06</v>
      </c>
      <c r="N319" s="1" t="str">
        <f>Paris!M$69</f>
        <v>Pouyu</v>
      </c>
      <c r="O319" s="1" t="s">
        <v>576</v>
      </c>
      <c r="P319" s="1" t="s">
        <v>870</v>
      </c>
    </row>
    <row r="320" spans="6:16" x14ac:dyDescent="0.35">
      <c r="F320" s="1" t="str">
        <f>CONCATENATE(tblCong[[#This Row],[parishCode]],"-",tblCong[[#This Row],[kCode]])</f>
        <v>D02-S01-P06-K07</v>
      </c>
      <c r="G320" s="1" t="str">
        <f>Distrik!F$6</f>
        <v>D02</v>
      </c>
      <c r="H320" s="1" t="str">
        <f>VLOOKUP(tblCong[[#This Row],[distCode]],tblDistrict[#All],2)</f>
        <v>Jabem</v>
      </c>
      <c r="I320" s="1" t="str">
        <f>Seket!I$13</f>
        <v>S01</v>
      </c>
      <c r="J320" s="1" t="str">
        <f>CONCATENATE(tblCong[[#This Row],[distCode]],"-",tblCong[[#This Row],[sCode]])</f>
        <v>D02-S01</v>
      </c>
      <c r="K320" s="1" t="str">
        <f>VLOOKUP(tblCong[[#This Row],[seketCode]],tblSeket[#All],5,FALSE)</f>
        <v>Aseki</v>
      </c>
      <c r="L320" s="1" t="str">
        <f>Paris!L$69</f>
        <v>P06</v>
      </c>
      <c r="M320" s="1" t="str">
        <f>CONCATENATE(tblCong[[#This Row],[seketCode]],"-",tblCong[[#This Row],[pCode]])</f>
        <v>D02-S01-P06</v>
      </c>
      <c r="N320" s="1" t="str">
        <f>Paris!M$69</f>
        <v>Pouyu</v>
      </c>
      <c r="O320" s="1" t="s">
        <v>578</v>
      </c>
      <c r="P320" s="1" t="s">
        <v>871</v>
      </c>
    </row>
    <row r="321" spans="6:16" x14ac:dyDescent="0.35">
      <c r="F321" s="1" t="str">
        <f>CONCATENATE(tblCong[[#This Row],[parishCode]],"-",tblCong[[#This Row],[kCode]])</f>
        <v>D02-S01-P07-K01</v>
      </c>
      <c r="G321" s="1" t="str">
        <f>Distrik!F$6</f>
        <v>D02</v>
      </c>
      <c r="H321" s="1" t="str">
        <f>VLOOKUP(tblCong[[#This Row],[distCode]],tblDistrict[#All],2)</f>
        <v>Jabem</v>
      </c>
      <c r="I321" s="1" t="str">
        <f>Seket!I$13</f>
        <v>S01</v>
      </c>
      <c r="J321" s="1" t="str">
        <f>CONCATENATE(tblCong[[#This Row],[distCode]],"-",tblCong[[#This Row],[sCode]])</f>
        <v>D02-S01</v>
      </c>
      <c r="K321" s="1" t="str">
        <f>VLOOKUP(tblCong[[#This Row],[seketCode]],tblSeket[#All],5,FALSE)</f>
        <v>Aseki</v>
      </c>
      <c r="L321" s="1" t="str">
        <f>Paris!L$70</f>
        <v>P07</v>
      </c>
      <c r="M321" s="1" t="str">
        <f>CONCATENATE(tblCong[[#This Row],[seketCode]],"-",tblCong[[#This Row],[pCode]])</f>
        <v>D02-S01-P07</v>
      </c>
      <c r="N321" s="1" t="str">
        <f>Paris!M$70</f>
        <v>Tawa</v>
      </c>
      <c r="O321" s="1" t="s">
        <v>567</v>
      </c>
      <c r="P321" s="1" t="s">
        <v>872</v>
      </c>
    </row>
    <row r="322" spans="6:16" x14ac:dyDescent="0.35">
      <c r="F322" s="1" t="str">
        <f>CONCATENATE(tblCong[[#This Row],[parishCode]],"-",tblCong[[#This Row],[kCode]])</f>
        <v>D02-S01-P07-K02</v>
      </c>
      <c r="G322" s="1" t="str">
        <f>Distrik!F$6</f>
        <v>D02</v>
      </c>
      <c r="H322" s="1" t="str">
        <f>VLOOKUP(tblCong[[#This Row],[distCode]],tblDistrict[#All],2)</f>
        <v>Jabem</v>
      </c>
      <c r="I322" s="1" t="str">
        <f>Seket!I$13</f>
        <v>S01</v>
      </c>
      <c r="J322" s="1" t="str">
        <f>CONCATENATE(tblCong[[#This Row],[distCode]],"-",tblCong[[#This Row],[sCode]])</f>
        <v>D02-S01</v>
      </c>
      <c r="K322" s="1" t="str">
        <f>VLOOKUP(tblCong[[#This Row],[seketCode]],tblSeket[#All],5,FALSE)</f>
        <v>Aseki</v>
      </c>
      <c r="L322" s="1" t="str">
        <f>Paris!L$70</f>
        <v>P07</v>
      </c>
      <c r="M322" s="1" t="str">
        <f>CONCATENATE(tblCong[[#This Row],[seketCode]],"-",tblCong[[#This Row],[pCode]])</f>
        <v>D02-S01-P07</v>
      </c>
      <c r="N322" s="1" t="str">
        <f>Paris!M$70</f>
        <v>Tawa</v>
      </c>
      <c r="O322" s="1" t="s">
        <v>569</v>
      </c>
      <c r="P322" s="1" t="s">
        <v>873</v>
      </c>
    </row>
    <row r="323" spans="6:16" x14ac:dyDescent="0.35">
      <c r="F323" s="1" t="str">
        <f>CONCATENATE(tblCong[[#This Row],[parishCode]],"-",tblCong[[#This Row],[kCode]])</f>
        <v>D02-S01-P07-K03</v>
      </c>
      <c r="G323" s="1" t="str">
        <f>Distrik!F$6</f>
        <v>D02</v>
      </c>
      <c r="H323" s="1" t="str">
        <f>VLOOKUP(tblCong[[#This Row],[distCode]],tblDistrict[#All],2)</f>
        <v>Jabem</v>
      </c>
      <c r="I323" s="1" t="str">
        <f>Seket!I$13</f>
        <v>S01</v>
      </c>
      <c r="J323" s="1" t="str">
        <f>CONCATENATE(tblCong[[#This Row],[distCode]],"-",tblCong[[#This Row],[sCode]])</f>
        <v>D02-S01</v>
      </c>
      <c r="K323" s="1" t="str">
        <f>VLOOKUP(tblCong[[#This Row],[seketCode]],tblSeket[#All],5,FALSE)</f>
        <v>Aseki</v>
      </c>
      <c r="L323" s="1" t="str">
        <f>Paris!L$70</f>
        <v>P07</v>
      </c>
      <c r="M323" s="1" t="str">
        <f>CONCATENATE(tblCong[[#This Row],[seketCode]],"-",tblCong[[#This Row],[pCode]])</f>
        <v>D02-S01-P07</v>
      </c>
      <c r="N323" s="1" t="str">
        <f>Paris!M$70</f>
        <v>Tawa</v>
      </c>
      <c r="O323" s="1" t="s">
        <v>571</v>
      </c>
      <c r="P323" s="1" t="s">
        <v>874</v>
      </c>
    </row>
    <row r="324" spans="6:16" x14ac:dyDescent="0.35">
      <c r="F324" s="1" t="str">
        <f>CONCATENATE(tblCong[[#This Row],[parishCode]],"-",tblCong[[#This Row],[kCode]])</f>
        <v>D02-S01-P07-K04</v>
      </c>
      <c r="G324" s="1" t="str">
        <f>Distrik!F$6</f>
        <v>D02</v>
      </c>
      <c r="H324" s="1" t="str">
        <f>VLOOKUP(tblCong[[#This Row],[distCode]],tblDistrict[#All],2)</f>
        <v>Jabem</v>
      </c>
      <c r="I324" s="1" t="str">
        <f>Seket!I$13</f>
        <v>S01</v>
      </c>
      <c r="J324" s="1" t="str">
        <f>CONCATENATE(tblCong[[#This Row],[distCode]],"-",tblCong[[#This Row],[sCode]])</f>
        <v>D02-S01</v>
      </c>
      <c r="K324" s="1" t="str">
        <f>VLOOKUP(tblCong[[#This Row],[seketCode]],tblSeket[#All],5,FALSE)</f>
        <v>Aseki</v>
      </c>
      <c r="L324" s="1" t="str">
        <f>Paris!L$70</f>
        <v>P07</v>
      </c>
      <c r="M324" s="1" t="str">
        <f>CONCATENATE(tblCong[[#This Row],[seketCode]],"-",tblCong[[#This Row],[pCode]])</f>
        <v>D02-S01-P07</v>
      </c>
      <c r="N324" s="1" t="str">
        <f>Paris!M$70</f>
        <v>Tawa</v>
      </c>
      <c r="O324" s="1" t="s">
        <v>573</v>
      </c>
      <c r="P324" s="1" t="s">
        <v>875</v>
      </c>
    </row>
    <row r="325" spans="6:16" x14ac:dyDescent="0.35">
      <c r="F325" s="1" t="str">
        <f>CONCATENATE(tblCong[[#This Row],[parishCode]],"-",tblCong[[#This Row],[kCode]])</f>
        <v>D02-S01-P07-K05</v>
      </c>
      <c r="G325" s="1" t="str">
        <f>Distrik!F$6</f>
        <v>D02</v>
      </c>
      <c r="H325" s="1" t="str">
        <f>VLOOKUP(tblCong[[#This Row],[distCode]],tblDistrict[#All],2)</f>
        <v>Jabem</v>
      </c>
      <c r="I325" s="1" t="str">
        <f>Seket!I$13</f>
        <v>S01</v>
      </c>
      <c r="J325" s="1" t="str">
        <f>CONCATENATE(tblCong[[#This Row],[distCode]],"-",tblCong[[#This Row],[sCode]])</f>
        <v>D02-S01</v>
      </c>
      <c r="K325" s="1" t="str">
        <f>VLOOKUP(tblCong[[#This Row],[seketCode]],tblSeket[#All],5,FALSE)</f>
        <v>Aseki</v>
      </c>
      <c r="L325" s="1" t="str">
        <f>Paris!L$70</f>
        <v>P07</v>
      </c>
      <c r="M325" s="1" t="str">
        <f>CONCATENATE(tblCong[[#This Row],[seketCode]],"-",tblCong[[#This Row],[pCode]])</f>
        <v>D02-S01-P07</v>
      </c>
      <c r="N325" s="1" t="str">
        <f>Paris!M$70</f>
        <v>Tawa</v>
      </c>
      <c r="O325" s="1" t="s">
        <v>575</v>
      </c>
      <c r="P325" s="1" t="s">
        <v>876</v>
      </c>
    </row>
    <row r="326" spans="6:16" x14ac:dyDescent="0.35">
      <c r="F326" s="1" t="str">
        <f>CONCATENATE(tblCong[[#This Row],[parishCode]],"-",tblCong[[#This Row],[kCode]])</f>
        <v>D02-S01-P07-K06</v>
      </c>
      <c r="G326" s="1" t="str">
        <f>Distrik!F$6</f>
        <v>D02</v>
      </c>
      <c r="H326" s="1" t="str">
        <f>VLOOKUP(tblCong[[#This Row],[distCode]],tblDistrict[#All],2)</f>
        <v>Jabem</v>
      </c>
      <c r="I326" s="1" t="str">
        <f>Seket!I$13</f>
        <v>S01</v>
      </c>
      <c r="J326" s="1" t="str">
        <f>CONCATENATE(tblCong[[#This Row],[distCode]],"-",tblCong[[#This Row],[sCode]])</f>
        <v>D02-S01</v>
      </c>
      <c r="K326" s="1" t="str">
        <f>VLOOKUP(tblCong[[#This Row],[seketCode]],tblSeket[#All],5,FALSE)</f>
        <v>Aseki</v>
      </c>
      <c r="L326" s="1" t="str">
        <f>Paris!L$70</f>
        <v>P07</v>
      </c>
      <c r="M326" s="1" t="str">
        <f>CONCATENATE(tblCong[[#This Row],[seketCode]],"-",tblCong[[#This Row],[pCode]])</f>
        <v>D02-S01-P07</v>
      </c>
      <c r="N326" s="1" t="str">
        <f>Paris!M$70</f>
        <v>Tawa</v>
      </c>
      <c r="O326" s="1" t="s">
        <v>576</v>
      </c>
      <c r="P326" s="1" t="s">
        <v>877</v>
      </c>
    </row>
    <row r="327" spans="6:16" x14ac:dyDescent="0.35">
      <c r="F327" s="1" t="str">
        <f>CONCATENATE(tblCong[[#This Row],[parishCode]],"-",tblCong[[#This Row],[kCode]])</f>
        <v>D02-S01-P07-K07</v>
      </c>
      <c r="G327" s="1" t="str">
        <f>Distrik!F$6</f>
        <v>D02</v>
      </c>
      <c r="H327" s="1" t="str">
        <f>VLOOKUP(tblCong[[#This Row],[distCode]],tblDistrict[#All],2)</f>
        <v>Jabem</v>
      </c>
      <c r="I327" s="1" t="str">
        <f>Seket!I$13</f>
        <v>S01</v>
      </c>
      <c r="J327" s="1" t="str">
        <f>CONCATENATE(tblCong[[#This Row],[distCode]],"-",tblCong[[#This Row],[sCode]])</f>
        <v>D02-S01</v>
      </c>
      <c r="K327" s="1" t="str">
        <f>VLOOKUP(tblCong[[#This Row],[seketCode]],tblSeket[#All],5,FALSE)</f>
        <v>Aseki</v>
      </c>
      <c r="L327" s="1" t="str">
        <f>Paris!L$70</f>
        <v>P07</v>
      </c>
      <c r="M327" s="1" t="str">
        <f>CONCATENATE(tblCong[[#This Row],[seketCode]],"-",tblCong[[#This Row],[pCode]])</f>
        <v>D02-S01-P07</v>
      </c>
      <c r="N327" s="1" t="str">
        <f>Paris!M$70</f>
        <v>Tawa</v>
      </c>
      <c r="O327" s="1" t="s">
        <v>578</v>
      </c>
      <c r="P327" s="1" t="s">
        <v>878</v>
      </c>
    </row>
    <row r="328" spans="6:16" x14ac:dyDescent="0.35">
      <c r="F328" s="1" t="str">
        <f>CONCATENATE(tblCong[[#This Row],[parishCode]],"-",tblCong[[#This Row],[kCode]])</f>
        <v>D02-S01-P07-K08</v>
      </c>
      <c r="G328" s="1" t="str">
        <f>Distrik!F$6</f>
        <v>D02</v>
      </c>
      <c r="H328" s="1" t="str">
        <f>VLOOKUP(tblCong[[#This Row],[distCode]],tblDistrict[#All],2)</f>
        <v>Jabem</v>
      </c>
      <c r="I328" s="1" t="str">
        <f>Seket!I$13</f>
        <v>S01</v>
      </c>
      <c r="J328" s="1" t="str">
        <f>CONCATENATE(tblCong[[#This Row],[distCode]],"-",tblCong[[#This Row],[sCode]])</f>
        <v>D02-S01</v>
      </c>
      <c r="K328" s="1" t="str">
        <f>VLOOKUP(tblCong[[#This Row],[seketCode]],tblSeket[#All],5,FALSE)</f>
        <v>Aseki</v>
      </c>
      <c r="L328" s="1" t="str">
        <f>Paris!L$70</f>
        <v>P07</v>
      </c>
      <c r="M328" s="1" t="str">
        <f>CONCATENATE(tblCong[[#This Row],[seketCode]],"-",tblCong[[#This Row],[pCode]])</f>
        <v>D02-S01-P07</v>
      </c>
      <c r="N328" s="1" t="str">
        <f>Paris!M$70</f>
        <v>Tawa</v>
      </c>
      <c r="O328" s="1" t="s">
        <v>651</v>
      </c>
      <c r="P328" s="1" t="s">
        <v>879</v>
      </c>
    </row>
    <row r="329" spans="6:16" x14ac:dyDescent="0.35">
      <c r="F329" s="1" t="str">
        <f>CONCATENATE(tblCong[[#This Row],[parishCode]],"-",tblCong[[#This Row],[kCode]])</f>
        <v>D02-S02-P01-K01</v>
      </c>
      <c r="G329" s="1" t="str">
        <f>Distrik!F$6</f>
        <v>D02</v>
      </c>
      <c r="H329" s="1" t="str">
        <f>VLOOKUP(tblCong[[#This Row],[distCode]],tblDistrict[#All],2)</f>
        <v>Jabem</v>
      </c>
      <c r="I329" s="1" t="str">
        <f>Seket!I$14</f>
        <v>S02</v>
      </c>
      <c r="J329" s="1" t="str">
        <f>CONCATENATE(tblCong[[#This Row],[distCode]],"-",tblCong[[#This Row],[sCode]])</f>
        <v>D02-S02</v>
      </c>
      <c r="K329" s="1" t="str">
        <f>VLOOKUP(tblCong[[#This Row],[seketCode]],tblSeket[#All],5,FALSE)</f>
        <v>Deka</v>
      </c>
      <c r="L329" s="1" t="str">
        <f>Paris!L$71</f>
        <v>P01</v>
      </c>
      <c r="M329" s="1" t="str">
        <f>CONCATENATE(tblCong[[#This Row],[seketCode]],"-",tblCong[[#This Row],[pCode]])</f>
        <v>D02-S02-P01</v>
      </c>
      <c r="N329" s="1" t="str">
        <f>Paris!M$71</f>
        <v>Kaparkona</v>
      </c>
      <c r="O329" s="1" t="s">
        <v>567</v>
      </c>
      <c r="P329" s="1" t="s">
        <v>880</v>
      </c>
    </row>
    <row r="330" spans="6:16" x14ac:dyDescent="0.35">
      <c r="F330" s="1" t="str">
        <f>CONCATENATE(tblCong[[#This Row],[parishCode]],"-",tblCong[[#This Row],[kCode]])</f>
        <v>D02-S02-P01-K02</v>
      </c>
      <c r="G330" s="1" t="str">
        <f>Distrik!F$6</f>
        <v>D02</v>
      </c>
      <c r="H330" s="1" t="str">
        <f>VLOOKUP(tblCong[[#This Row],[distCode]],tblDistrict[#All],2)</f>
        <v>Jabem</v>
      </c>
      <c r="I330" s="1" t="str">
        <f>Seket!I$14</f>
        <v>S02</v>
      </c>
      <c r="J330" s="1" t="str">
        <f>CONCATENATE(tblCong[[#This Row],[distCode]],"-",tblCong[[#This Row],[sCode]])</f>
        <v>D02-S02</v>
      </c>
      <c r="K330" s="1" t="str">
        <f>VLOOKUP(tblCong[[#This Row],[seketCode]],tblSeket[#All],5,FALSE)</f>
        <v>Deka</v>
      </c>
      <c r="L330" s="1" t="str">
        <f>Paris!L$71</f>
        <v>P01</v>
      </c>
      <c r="M330" s="1" t="str">
        <f>CONCATENATE(tblCong[[#This Row],[seketCode]],"-",tblCong[[#This Row],[pCode]])</f>
        <v>D02-S02-P01</v>
      </c>
      <c r="N330" s="1" t="str">
        <f>Paris!M$71</f>
        <v>Kaparkona</v>
      </c>
      <c r="O330" s="1" t="s">
        <v>569</v>
      </c>
      <c r="P330" s="1" t="s">
        <v>881</v>
      </c>
    </row>
    <row r="331" spans="6:16" x14ac:dyDescent="0.35">
      <c r="F331" s="1" t="str">
        <f>CONCATENATE(tblCong[[#This Row],[parishCode]],"-",tblCong[[#This Row],[kCode]])</f>
        <v>D02-S02-P01-K03</v>
      </c>
      <c r="G331" s="1" t="str">
        <f>Distrik!F$6</f>
        <v>D02</v>
      </c>
      <c r="H331" s="1" t="str">
        <f>VLOOKUP(tblCong[[#This Row],[distCode]],tblDistrict[#All],2)</f>
        <v>Jabem</v>
      </c>
      <c r="I331" s="1" t="str">
        <f>Seket!I$14</f>
        <v>S02</v>
      </c>
      <c r="J331" s="1" t="str">
        <f>CONCATENATE(tblCong[[#This Row],[distCode]],"-",tblCong[[#This Row],[sCode]])</f>
        <v>D02-S02</v>
      </c>
      <c r="K331" s="1" t="str">
        <f>VLOOKUP(tblCong[[#This Row],[seketCode]],tblSeket[#All],5,FALSE)</f>
        <v>Deka</v>
      </c>
      <c r="L331" s="1" t="str">
        <f>Paris!L$71</f>
        <v>P01</v>
      </c>
      <c r="M331" s="1" t="str">
        <f>CONCATENATE(tblCong[[#This Row],[seketCode]],"-",tblCong[[#This Row],[pCode]])</f>
        <v>D02-S02-P01</v>
      </c>
      <c r="N331" s="1" t="str">
        <f>Paris!M$71</f>
        <v>Kaparkona</v>
      </c>
      <c r="O331" s="1" t="s">
        <v>571</v>
      </c>
      <c r="P331" s="1" t="s">
        <v>882</v>
      </c>
    </row>
    <row r="332" spans="6:16" x14ac:dyDescent="0.35">
      <c r="F332" s="1" t="str">
        <f>CONCATENATE(tblCong[[#This Row],[parishCode]],"-",tblCong[[#This Row],[kCode]])</f>
        <v>D02-S02-P01-K04</v>
      </c>
      <c r="G332" s="1" t="str">
        <f>Distrik!F$6</f>
        <v>D02</v>
      </c>
      <c r="H332" s="1" t="str">
        <f>VLOOKUP(tblCong[[#This Row],[distCode]],tblDistrict[#All],2)</f>
        <v>Jabem</v>
      </c>
      <c r="I332" s="1" t="str">
        <f>Seket!I$14</f>
        <v>S02</v>
      </c>
      <c r="J332" s="1" t="str">
        <f>CONCATENATE(tblCong[[#This Row],[distCode]],"-",tblCong[[#This Row],[sCode]])</f>
        <v>D02-S02</v>
      </c>
      <c r="K332" s="1" t="str">
        <f>VLOOKUP(tblCong[[#This Row],[seketCode]],tblSeket[#All],5,FALSE)</f>
        <v>Deka</v>
      </c>
      <c r="L332" s="1" t="str">
        <f>Paris!L$71</f>
        <v>P01</v>
      </c>
      <c r="M332" s="1" t="str">
        <f>CONCATENATE(tblCong[[#This Row],[seketCode]],"-",tblCong[[#This Row],[pCode]])</f>
        <v>D02-S02-P01</v>
      </c>
      <c r="N332" s="1" t="str">
        <f>Paris!M$71</f>
        <v>Kaparkona</v>
      </c>
      <c r="O332" s="1" t="s">
        <v>573</v>
      </c>
      <c r="P332" s="1" t="s">
        <v>883</v>
      </c>
    </row>
    <row r="333" spans="6:16" x14ac:dyDescent="0.35">
      <c r="F333" s="1" t="str">
        <f>CONCATENATE(tblCong[[#This Row],[parishCode]],"-",tblCong[[#This Row],[kCode]])</f>
        <v>D02-S02-P01-K05</v>
      </c>
      <c r="G333" s="1" t="str">
        <f>Distrik!F$6</f>
        <v>D02</v>
      </c>
      <c r="H333" s="1" t="str">
        <f>VLOOKUP(tblCong[[#This Row],[distCode]],tblDistrict[#All],2)</f>
        <v>Jabem</v>
      </c>
      <c r="I333" s="1" t="str">
        <f>Seket!I$14</f>
        <v>S02</v>
      </c>
      <c r="J333" s="1" t="str">
        <f>CONCATENATE(tblCong[[#This Row],[distCode]],"-",tblCong[[#This Row],[sCode]])</f>
        <v>D02-S02</v>
      </c>
      <c r="K333" s="1" t="str">
        <f>VLOOKUP(tblCong[[#This Row],[seketCode]],tblSeket[#All],5,FALSE)</f>
        <v>Deka</v>
      </c>
      <c r="L333" s="1" t="str">
        <f>Paris!L$71</f>
        <v>P01</v>
      </c>
      <c r="M333" s="1" t="str">
        <f>CONCATENATE(tblCong[[#This Row],[seketCode]],"-",tblCong[[#This Row],[pCode]])</f>
        <v>D02-S02-P01</v>
      </c>
      <c r="N333" s="1" t="str">
        <f>Paris!M$71</f>
        <v>Kaparkona</v>
      </c>
      <c r="O333" s="1" t="s">
        <v>575</v>
      </c>
      <c r="P333" s="1" t="s">
        <v>884</v>
      </c>
    </row>
    <row r="334" spans="6:16" x14ac:dyDescent="0.35">
      <c r="F334" s="1" t="str">
        <f>CONCATENATE(tblCong[[#This Row],[parishCode]],"-",tblCong[[#This Row],[kCode]])</f>
        <v>D02-S02-P01-K06</v>
      </c>
      <c r="G334" s="1" t="str">
        <f>Distrik!F$6</f>
        <v>D02</v>
      </c>
      <c r="H334" s="1" t="str">
        <f>VLOOKUP(tblCong[[#This Row],[distCode]],tblDistrict[#All],2)</f>
        <v>Jabem</v>
      </c>
      <c r="I334" s="1" t="str">
        <f>Seket!I$14</f>
        <v>S02</v>
      </c>
      <c r="J334" s="1" t="str">
        <f>CONCATENATE(tblCong[[#This Row],[distCode]],"-",tblCong[[#This Row],[sCode]])</f>
        <v>D02-S02</v>
      </c>
      <c r="K334" s="1" t="str">
        <f>VLOOKUP(tblCong[[#This Row],[seketCode]],tblSeket[#All],5,FALSE)</f>
        <v>Deka</v>
      </c>
      <c r="L334" s="1" t="str">
        <f>Paris!L$71</f>
        <v>P01</v>
      </c>
      <c r="M334" s="1" t="str">
        <f>CONCATENATE(tblCong[[#This Row],[seketCode]],"-",tblCong[[#This Row],[pCode]])</f>
        <v>D02-S02-P01</v>
      </c>
      <c r="N334" s="1" t="str">
        <f>Paris!M$71</f>
        <v>Kaparkona</v>
      </c>
      <c r="O334" s="1" t="s">
        <v>576</v>
      </c>
      <c r="P334" s="1" t="s">
        <v>885</v>
      </c>
    </row>
    <row r="335" spans="6:16" x14ac:dyDescent="0.35">
      <c r="F335" s="1" t="str">
        <f>CONCATENATE(tblCong[[#This Row],[parishCode]],"-",tblCong[[#This Row],[kCode]])</f>
        <v>D02-S02-P02-K01</v>
      </c>
      <c r="G335" s="1" t="str">
        <f>Distrik!F$6</f>
        <v>D02</v>
      </c>
      <c r="H335" s="1" t="str">
        <f>VLOOKUP(tblCong[[#This Row],[distCode]],tblDistrict[#All],2)</f>
        <v>Jabem</v>
      </c>
      <c r="I335" s="1" t="str">
        <f>Seket!I$14</f>
        <v>S02</v>
      </c>
      <c r="J335" s="1" t="str">
        <f>CONCATENATE(tblCong[[#This Row],[distCode]],"-",tblCong[[#This Row],[sCode]])</f>
        <v>D02-S02</v>
      </c>
      <c r="K335" s="1" t="str">
        <f>VLOOKUP(tblCong[[#This Row],[seketCode]],tblSeket[#All],5,FALSE)</f>
        <v>Deka</v>
      </c>
      <c r="L335" s="1" t="str">
        <f>Paris!L$72</f>
        <v>P02</v>
      </c>
      <c r="M335" s="1" t="str">
        <f>CONCATENATE(tblCong[[#This Row],[seketCode]],"-",tblCong[[#This Row],[pCode]])</f>
        <v>D02-S02-P02</v>
      </c>
      <c r="N335" s="1" t="str">
        <f>Paris!M$72</f>
        <v>Busong</v>
      </c>
      <c r="O335" s="1" t="s">
        <v>567</v>
      </c>
      <c r="P335" s="1" t="s">
        <v>886</v>
      </c>
    </row>
    <row r="336" spans="6:16" x14ac:dyDescent="0.35">
      <c r="F336" s="1" t="str">
        <f>CONCATENATE(tblCong[[#This Row],[parishCode]],"-",tblCong[[#This Row],[kCode]])</f>
        <v>D02-S02-P02-K02</v>
      </c>
      <c r="G336" s="1" t="str">
        <f>Distrik!F$6</f>
        <v>D02</v>
      </c>
      <c r="H336" s="1" t="str">
        <f>VLOOKUP(tblCong[[#This Row],[distCode]],tblDistrict[#All],2)</f>
        <v>Jabem</v>
      </c>
      <c r="I336" s="1" t="str">
        <f>Seket!I$14</f>
        <v>S02</v>
      </c>
      <c r="J336" s="1" t="str">
        <f>CONCATENATE(tblCong[[#This Row],[distCode]],"-",tblCong[[#This Row],[sCode]])</f>
        <v>D02-S02</v>
      </c>
      <c r="K336" s="1" t="str">
        <f>VLOOKUP(tblCong[[#This Row],[seketCode]],tblSeket[#All],5,FALSE)</f>
        <v>Deka</v>
      </c>
      <c r="L336" s="1" t="str">
        <f>Paris!L$72</f>
        <v>P02</v>
      </c>
      <c r="M336" s="1" t="str">
        <f>CONCATENATE(tblCong[[#This Row],[seketCode]],"-",tblCong[[#This Row],[pCode]])</f>
        <v>D02-S02-P02</v>
      </c>
      <c r="N336" s="1" t="str">
        <f>Paris!M$72</f>
        <v>Busong</v>
      </c>
      <c r="O336" s="1" t="s">
        <v>569</v>
      </c>
      <c r="P336" s="1" t="s">
        <v>887</v>
      </c>
    </row>
    <row r="337" spans="6:16" x14ac:dyDescent="0.35">
      <c r="F337" s="1" t="str">
        <f>CONCATENATE(tblCong[[#This Row],[parishCode]],"-",tblCong[[#This Row],[kCode]])</f>
        <v>D02-S02-P02-K03</v>
      </c>
      <c r="G337" s="1" t="str">
        <f>Distrik!F$6</f>
        <v>D02</v>
      </c>
      <c r="H337" s="1" t="str">
        <f>VLOOKUP(tblCong[[#This Row],[distCode]],tblDistrict[#All],2)</f>
        <v>Jabem</v>
      </c>
      <c r="I337" s="1" t="str">
        <f>Seket!I$14</f>
        <v>S02</v>
      </c>
      <c r="J337" s="1" t="str">
        <f>CONCATENATE(tblCong[[#This Row],[distCode]],"-",tblCong[[#This Row],[sCode]])</f>
        <v>D02-S02</v>
      </c>
      <c r="K337" s="1" t="str">
        <f>VLOOKUP(tblCong[[#This Row],[seketCode]],tblSeket[#All],5,FALSE)</f>
        <v>Deka</v>
      </c>
      <c r="L337" s="1" t="str">
        <f>Paris!L$72</f>
        <v>P02</v>
      </c>
      <c r="M337" s="1" t="str">
        <f>CONCATENATE(tblCong[[#This Row],[seketCode]],"-",tblCong[[#This Row],[pCode]])</f>
        <v>D02-S02-P02</v>
      </c>
      <c r="N337" s="1" t="str">
        <f>Paris!M$72</f>
        <v>Busong</v>
      </c>
      <c r="O337" s="1" t="s">
        <v>571</v>
      </c>
      <c r="P337" s="1" t="s">
        <v>888</v>
      </c>
    </row>
    <row r="338" spans="6:16" x14ac:dyDescent="0.35">
      <c r="F338" s="1" t="str">
        <f>CONCATENATE(tblCong[[#This Row],[parishCode]],"-",tblCong[[#This Row],[kCode]])</f>
        <v>D02-S02-P02-K04</v>
      </c>
      <c r="G338" s="1" t="str">
        <f>Distrik!F$6</f>
        <v>D02</v>
      </c>
      <c r="H338" s="1" t="str">
        <f>VLOOKUP(tblCong[[#This Row],[distCode]],tblDistrict[#All],2)</f>
        <v>Jabem</v>
      </c>
      <c r="I338" s="1" t="str">
        <f>Seket!I$14</f>
        <v>S02</v>
      </c>
      <c r="J338" s="1" t="str">
        <f>CONCATENATE(tblCong[[#This Row],[distCode]],"-",tblCong[[#This Row],[sCode]])</f>
        <v>D02-S02</v>
      </c>
      <c r="K338" s="1" t="str">
        <f>VLOOKUP(tblCong[[#This Row],[seketCode]],tblSeket[#All],5,FALSE)</f>
        <v>Deka</v>
      </c>
      <c r="L338" s="1" t="str">
        <f>Paris!L$72</f>
        <v>P02</v>
      </c>
      <c r="M338" s="1" t="str">
        <f>CONCATENATE(tblCong[[#This Row],[seketCode]],"-",tblCong[[#This Row],[pCode]])</f>
        <v>D02-S02-P02</v>
      </c>
      <c r="N338" s="1" t="str">
        <f>Paris!M$72</f>
        <v>Busong</v>
      </c>
      <c r="O338" s="1" t="s">
        <v>573</v>
      </c>
      <c r="P338" s="1" t="s">
        <v>283</v>
      </c>
    </row>
    <row r="339" spans="6:16" x14ac:dyDescent="0.35">
      <c r="F339" s="1" t="str">
        <f>CONCATENATE(tblCong[[#This Row],[parishCode]],"-",tblCong[[#This Row],[kCode]])</f>
        <v>D02-S02-P03-K01</v>
      </c>
      <c r="G339" s="1" t="str">
        <f>Distrik!F$6</f>
        <v>D02</v>
      </c>
      <c r="H339" s="1" t="str">
        <f>VLOOKUP(tblCong[[#This Row],[distCode]],tblDistrict[#All],2)</f>
        <v>Jabem</v>
      </c>
      <c r="I339" s="1" t="str">
        <f>Seket!I$14</f>
        <v>S02</v>
      </c>
      <c r="J339" s="1" t="str">
        <f>CONCATENATE(tblCong[[#This Row],[distCode]],"-",tblCong[[#This Row],[sCode]])</f>
        <v>D02-S02</v>
      </c>
      <c r="K339" s="1" t="str">
        <f>VLOOKUP(tblCong[[#This Row],[seketCode]],tblSeket[#All],5,FALSE)</f>
        <v>Deka</v>
      </c>
      <c r="L339" s="1" t="str">
        <f>Paris!L$73</f>
        <v>P03</v>
      </c>
      <c r="M339" s="1" t="str">
        <f>CONCATENATE(tblCong[[#This Row],[seketCode]],"-",tblCong[[#This Row],[pCode]])</f>
        <v>D02-S02-P03</v>
      </c>
      <c r="N339" s="1" t="str">
        <f>Paris!M$73</f>
        <v>Deinzerhill</v>
      </c>
      <c r="O339" s="1" t="s">
        <v>567</v>
      </c>
      <c r="P339" s="1" t="s">
        <v>889</v>
      </c>
    </row>
    <row r="340" spans="6:16" x14ac:dyDescent="0.35">
      <c r="F340" s="1" t="str">
        <f>CONCATENATE(tblCong[[#This Row],[parishCode]],"-",tblCong[[#This Row],[kCode]])</f>
        <v>D02-S02-P03-K02</v>
      </c>
      <c r="G340" s="1" t="str">
        <f>Distrik!F$6</f>
        <v>D02</v>
      </c>
      <c r="H340" s="1" t="str">
        <f>VLOOKUP(tblCong[[#This Row],[distCode]],tblDistrict[#All],2)</f>
        <v>Jabem</v>
      </c>
      <c r="I340" s="1" t="str">
        <f>Seket!I$14</f>
        <v>S02</v>
      </c>
      <c r="J340" s="1" t="str">
        <f>CONCATENATE(tblCong[[#This Row],[distCode]],"-",tblCong[[#This Row],[sCode]])</f>
        <v>D02-S02</v>
      </c>
      <c r="K340" s="1" t="str">
        <f>VLOOKUP(tblCong[[#This Row],[seketCode]],tblSeket[#All],5,FALSE)</f>
        <v>Deka</v>
      </c>
      <c r="L340" s="1" t="str">
        <f>Paris!L$73</f>
        <v>P03</v>
      </c>
      <c r="M340" s="1" t="str">
        <f>CONCATENATE(tblCong[[#This Row],[seketCode]],"-",tblCong[[#This Row],[pCode]])</f>
        <v>D02-S02-P03</v>
      </c>
      <c r="N340" s="1" t="str">
        <f>Paris!M$73</f>
        <v>Deinzerhill</v>
      </c>
      <c r="O340" s="1" t="s">
        <v>569</v>
      </c>
      <c r="P340" s="1" t="s">
        <v>890</v>
      </c>
    </row>
    <row r="341" spans="6:16" x14ac:dyDescent="0.35">
      <c r="F341" s="1" t="str">
        <f>CONCATENATE(tblCong[[#This Row],[parishCode]],"-",tblCong[[#This Row],[kCode]])</f>
        <v>D02-S02-P03-K03</v>
      </c>
      <c r="G341" s="1" t="str">
        <f>Distrik!F$6</f>
        <v>D02</v>
      </c>
      <c r="H341" s="1" t="str">
        <f>VLOOKUP(tblCong[[#This Row],[distCode]],tblDistrict[#All],2)</f>
        <v>Jabem</v>
      </c>
      <c r="I341" s="1" t="str">
        <f>Seket!I$14</f>
        <v>S02</v>
      </c>
      <c r="J341" s="1" t="str">
        <f>CONCATENATE(tblCong[[#This Row],[distCode]],"-",tblCong[[#This Row],[sCode]])</f>
        <v>D02-S02</v>
      </c>
      <c r="K341" s="1" t="str">
        <f>VLOOKUP(tblCong[[#This Row],[seketCode]],tblSeket[#All],5,FALSE)</f>
        <v>Deka</v>
      </c>
      <c r="L341" s="1" t="str">
        <f>Paris!L$73</f>
        <v>P03</v>
      </c>
      <c r="M341" s="1" t="str">
        <f>CONCATENATE(tblCong[[#This Row],[seketCode]],"-",tblCong[[#This Row],[pCode]])</f>
        <v>D02-S02-P03</v>
      </c>
      <c r="N341" s="1" t="str">
        <f>Paris!M$73</f>
        <v>Deinzerhill</v>
      </c>
      <c r="O341" s="1" t="s">
        <v>571</v>
      </c>
      <c r="P341" s="1" t="s">
        <v>891</v>
      </c>
    </row>
    <row r="342" spans="6:16" x14ac:dyDescent="0.35">
      <c r="F342" s="1" t="str">
        <f>CONCATENATE(tblCong[[#This Row],[parishCode]],"-",tblCong[[#This Row],[kCode]])</f>
        <v>D02-S02-P03-K04</v>
      </c>
      <c r="G342" s="1" t="str">
        <f>Distrik!F$6</f>
        <v>D02</v>
      </c>
      <c r="H342" s="1" t="str">
        <f>VLOOKUP(tblCong[[#This Row],[distCode]],tblDistrict[#All],2)</f>
        <v>Jabem</v>
      </c>
      <c r="I342" s="1" t="str">
        <f>Seket!I$14</f>
        <v>S02</v>
      </c>
      <c r="J342" s="1" t="str">
        <f>CONCATENATE(tblCong[[#This Row],[distCode]],"-",tblCong[[#This Row],[sCode]])</f>
        <v>D02-S02</v>
      </c>
      <c r="K342" s="1" t="str">
        <f>VLOOKUP(tblCong[[#This Row],[seketCode]],tblSeket[#All],5,FALSE)</f>
        <v>Deka</v>
      </c>
      <c r="L342" s="1" t="str">
        <f>Paris!L$73</f>
        <v>P03</v>
      </c>
      <c r="M342" s="1" t="str">
        <f>CONCATENATE(tblCong[[#This Row],[seketCode]],"-",tblCong[[#This Row],[pCode]])</f>
        <v>D02-S02-P03</v>
      </c>
      <c r="N342" s="1" t="str">
        <f>Paris!M$73</f>
        <v>Deinzerhill</v>
      </c>
      <c r="O342" s="1" t="s">
        <v>573</v>
      </c>
      <c r="P342" s="1" t="s">
        <v>892</v>
      </c>
    </row>
    <row r="343" spans="6:16" x14ac:dyDescent="0.35">
      <c r="F343" s="1" t="str">
        <f>CONCATENATE(tblCong[[#This Row],[parishCode]],"-",tblCong[[#This Row],[kCode]])</f>
        <v>D02-S02-P04-K01</v>
      </c>
      <c r="G343" s="1" t="str">
        <f>Distrik!F$6</f>
        <v>D02</v>
      </c>
      <c r="H343" s="1" t="str">
        <f>VLOOKUP(tblCong[[#This Row],[distCode]],tblDistrict[#All],2)</f>
        <v>Jabem</v>
      </c>
      <c r="I343" s="1" t="str">
        <f>Seket!I$14</f>
        <v>S02</v>
      </c>
      <c r="J343" s="1" t="str">
        <f>CONCATENATE(tblCong[[#This Row],[distCode]],"-",tblCong[[#This Row],[sCode]])</f>
        <v>D02-S02</v>
      </c>
      <c r="K343" s="1" t="str">
        <f>VLOOKUP(tblCong[[#This Row],[seketCode]],tblSeket[#All],5,FALSE)</f>
        <v>Deka</v>
      </c>
      <c r="L343" s="1" t="str">
        <f>Paris!L$74</f>
        <v>P04</v>
      </c>
      <c r="M343" s="1" t="str">
        <f>CONCATENATE(tblCong[[#This Row],[seketCode]],"-",tblCong[[#This Row],[pCode]])</f>
        <v>D02-S02-P04</v>
      </c>
      <c r="N343" s="1" t="str">
        <f>Paris!M$74</f>
        <v>Busini</v>
      </c>
      <c r="O343" s="1" t="s">
        <v>567</v>
      </c>
      <c r="P343" s="1" t="s">
        <v>893</v>
      </c>
    </row>
    <row r="344" spans="6:16" x14ac:dyDescent="0.35">
      <c r="F344" s="1" t="str">
        <f>CONCATENATE(tblCong[[#This Row],[parishCode]],"-",tblCong[[#This Row],[kCode]])</f>
        <v>D02-S02-P04-K02</v>
      </c>
      <c r="G344" s="1" t="str">
        <f>Distrik!F$6</f>
        <v>D02</v>
      </c>
      <c r="H344" s="1" t="str">
        <f>VLOOKUP(tblCong[[#This Row],[distCode]],tblDistrict[#All],2)</f>
        <v>Jabem</v>
      </c>
      <c r="I344" s="1" t="str">
        <f>Seket!I$14</f>
        <v>S02</v>
      </c>
      <c r="J344" s="1" t="str">
        <f>CONCATENATE(tblCong[[#This Row],[distCode]],"-",tblCong[[#This Row],[sCode]])</f>
        <v>D02-S02</v>
      </c>
      <c r="K344" s="1" t="str">
        <f>VLOOKUP(tblCong[[#This Row],[seketCode]],tblSeket[#All],5,FALSE)</f>
        <v>Deka</v>
      </c>
      <c r="L344" s="1" t="str">
        <f>Paris!L$74</f>
        <v>P04</v>
      </c>
      <c r="M344" s="1" t="str">
        <f>CONCATENATE(tblCong[[#This Row],[seketCode]],"-",tblCong[[#This Row],[pCode]])</f>
        <v>D02-S02-P04</v>
      </c>
      <c r="N344" s="1" t="str">
        <f>Paris!M$74</f>
        <v>Busini</v>
      </c>
      <c r="O344" s="1" t="s">
        <v>569</v>
      </c>
      <c r="P344" s="1" t="s">
        <v>894</v>
      </c>
    </row>
    <row r="345" spans="6:16" x14ac:dyDescent="0.35">
      <c r="F345" s="1" t="str">
        <f>CONCATENATE(tblCong[[#This Row],[parishCode]],"-",tblCong[[#This Row],[kCode]])</f>
        <v>D02-S02-P04-K03</v>
      </c>
      <c r="G345" s="1" t="str">
        <f>Distrik!F$6</f>
        <v>D02</v>
      </c>
      <c r="H345" s="1" t="str">
        <f>VLOOKUP(tblCong[[#This Row],[distCode]],tblDistrict[#All],2)</f>
        <v>Jabem</v>
      </c>
      <c r="I345" s="1" t="str">
        <f>Seket!I$14</f>
        <v>S02</v>
      </c>
      <c r="J345" s="1" t="str">
        <f>CONCATENATE(tblCong[[#This Row],[distCode]],"-",tblCong[[#This Row],[sCode]])</f>
        <v>D02-S02</v>
      </c>
      <c r="K345" s="1" t="str">
        <f>VLOOKUP(tblCong[[#This Row],[seketCode]],tblSeket[#All],5,FALSE)</f>
        <v>Deka</v>
      </c>
      <c r="L345" s="1" t="str">
        <f>Paris!L$74</f>
        <v>P04</v>
      </c>
      <c r="M345" s="1" t="str">
        <f>CONCATENATE(tblCong[[#This Row],[seketCode]],"-",tblCong[[#This Row],[pCode]])</f>
        <v>D02-S02-P04</v>
      </c>
      <c r="N345" s="1" t="str">
        <f>Paris!M$74</f>
        <v>Busini</v>
      </c>
      <c r="O345" s="1" t="s">
        <v>571</v>
      </c>
      <c r="P345" s="1" t="s">
        <v>895</v>
      </c>
    </row>
    <row r="346" spans="6:16" x14ac:dyDescent="0.35">
      <c r="F346" s="1" t="str">
        <f>CONCATENATE(tblCong[[#This Row],[parishCode]],"-",tblCong[[#This Row],[kCode]])</f>
        <v>D02-S02-P04-K04</v>
      </c>
      <c r="G346" s="1" t="str">
        <f>Distrik!F$6</f>
        <v>D02</v>
      </c>
      <c r="H346" s="1" t="str">
        <f>VLOOKUP(tblCong[[#This Row],[distCode]],tblDistrict[#All],2)</f>
        <v>Jabem</v>
      </c>
      <c r="I346" s="1" t="str">
        <f>Seket!I$14</f>
        <v>S02</v>
      </c>
      <c r="J346" s="1" t="str">
        <f>CONCATENATE(tblCong[[#This Row],[distCode]],"-",tblCong[[#This Row],[sCode]])</f>
        <v>D02-S02</v>
      </c>
      <c r="K346" s="1" t="str">
        <f>VLOOKUP(tblCong[[#This Row],[seketCode]],tblSeket[#All],5,FALSE)</f>
        <v>Deka</v>
      </c>
      <c r="L346" s="1" t="str">
        <f>Paris!L$74</f>
        <v>P04</v>
      </c>
      <c r="M346" s="1" t="str">
        <f>CONCATENATE(tblCong[[#This Row],[seketCode]],"-",tblCong[[#This Row],[pCode]])</f>
        <v>D02-S02-P04</v>
      </c>
      <c r="N346" s="1" t="str">
        <f>Paris!M$74</f>
        <v>Busini</v>
      </c>
      <c r="O346" s="1" t="s">
        <v>573</v>
      </c>
      <c r="P346" s="1" t="s">
        <v>896</v>
      </c>
    </row>
    <row r="347" spans="6:16" x14ac:dyDescent="0.35">
      <c r="F347" s="1" t="str">
        <f>CONCATENATE(tblCong[[#This Row],[parishCode]],"-",tblCong[[#This Row],[kCode]])</f>
        <v>D02-S03-P01-K01</v>
      </c>
      <c r="G347" s="1" t="str">
        <f>Distrik!F$6</f>
        <v>D02</v>
      </c>
      <c r="H347" s="1" t="str">
        <f>VLOOKUP(tblCong[[#This Row],[distCode]],tblDistrict[#All],2)</f>
        <v>Jabem</v>
      </c>
      <c r="I347" s="1" t="str">
        <f>Seket!I$15</f>
        <v>S03</v>
      </c>
      <c r="J347" s="1" t="str">
        <f>CONCATENATE(tblCong[[#This Row],[distCode]],"-",tblCong[[#This Row],[sCode]])</f>
        <v>D02-S03</v>
      </c>
      <c r="K347" s="1" t="str">
        <f>VLOOKUP(tblCong[[#This Row],[seketCode]],tblSeket[#All],5,FALSE)</f>
        <v>Buang</v>
      </c>
      <c r="L347" s="1" t="str">
        <f>Paris!L$75</f>
        <v>P01</v>
      </c>
      <c r="M347" s="1" t="str">
        <f>CONCATENATE(tblCong[[#This Row],[seketCode]],"-",tblCong[[#This Row],[pCode]])</f>
        <v>D02-S03-P01</v>
      </c>
      <c r="N347" s="1" t="str">
        <f>Paris!M$75</f>
        <v>Manga</v>
      </c>
      <c r="O347" s="1" t="s">
        <v>567</v>
      </c>
      <c r="P347" s="1" t="s">
        <v>897</v>
      </c>
    </row>
    <row r="348" spans="6:16" x14ac:dyDescent="0.35">
      <c r="F348" s="1" t="str">
        <f>CONCATENATE(tblCong[[#This Row],[parishCode]],"-",tblCong[[#This Row],[kCode]])</f>
        <v>D02-S03-P01-K02</v>
      </c>
      <c r="G348" s="1" t="str">
        <f>Distrik!F$6</f>
        <v>D02</v>
      </c>
      <c r="H348" s="1" t="str">
        <f>VLOOKUP(tblCong[[#This Row],[distCode]],tblDistrict[#All],2)</f>
        <v>Jabem</v>
      </c>
      <c r="I348" s="1" t="str">
        <f>Seket!I$15</f>
        <v>S03</v>
      </c>
      <c r="J348" s="1" t="str">
        <f>CONCATENATE(tblCong[[#This Row],[distCode]],"-",tblCong[[#This Row],[sCode]])</f>
        <v>D02-S03</v>
      </c>
      <c r="K348" s="1" t="str">
        <f>VLOOKUP(tblCong[[#This Row],[seketCode]],tblSeket[#All],5,FALSE)</f>
        <v>Buang</v>
      </c>
      <c r="L348" s="1" t="str">
        <f>Paris!L$75</f>
        <v>P01</v>
      </c>
      <c r="M348" s="1" t="str">
        <f>CONCATENATE(tblCong[[#This Row],[seketCode]],"-",tblCong[[#This Row],[pCode]])</f>
        <v>D02-S03-P01</v>
      </c>
      <c r="N348" s="1" t="str">
        <f>Paris!M$75</f>
        <v>Manga</v>
      </c>
      <c r="O348" s="1" t="s">
        <v>569</v>
      </c>
      <c r="P348" s="1" t="s">
        <v>898</v>
      </c>
    </row>
    <row r="349" spans="6:16" x14ac:dyDescent="0.35">
      <c r="F349" s="1" t="str">
        <f>CONCATENATE(tblCong[[#This Row],[parishCode]],"-",tblCong[[#This Row],[kCode]])</f>
        <v>D02-S03-P01-K03</v>
      </c>
      <c r="G349" s="1" t="str">
        <f>Distrik!F$6</f>
        <v>D02</v>
      </c>
      <c r="H349" s="1" t="str">
        <f>VLOOKUP(tblCong[[#This Row],[distCode]],tblDistrict[#All],2)</f>
        <v>Jabem</v>
      </c>
      <c r="I349" s="1" t="str">
        <f>Seket!I$15</f>
        <v>S03</v>
      </c>
      <c r="J349" s="1" t="str">
        <f>CONCATENATE(tblCong[[#This Row],[distCode]],"-",tblCong[[#This Row],[sCode]])</f>
        <v>D02-S03</v>
      </c>
      <c r="K349" s="1" t="str">
        <f>VLOOKUP(tblCong[[#This Row],[seketCode]],tblSeket[#All],5,FALSE)</f>
        <v>Buang</v>
      </c>
      <c r="L349" s="1" t="str">
        <f>Paris!L$75</f>
        <v>P01</v>
      </c>
      <c r="M349" s="1" t="str">
        <f>CONCATENATE(tblCong[[#This Row],[seketCode]],"-",tblCong[[#This Row],[pCode]])</f>
        <v>D02-S03-P01</v>
      </c>
      <c r="N349" s="1" t="str">
        <f>Paris!M$75</f>
        <v>Manga</v>
      </c>
      <c r="O349" s="1" t="s">
        <v>571</v>
      </c>
      <c r="P349" s="1" t="s">
        <v>899</v>
      </c>
    </row>
    <row r="350" spans="6:16" x14ac:dyDescent="0.35">
      <c r="F350" s="1" t="str">
        <f>CONCATENATE(tblCong[[#This Row],[parishCode]],"-",tblCong[[#This Row],[kCode]])</f>
        <v>D02-S03-P01-K04</v>
      </c>
      <c r="G350" s="1" t="str">
        <f>Distrik!F$6</f>
        <v>D02</v>
      </c>
      <c r="H350" s="1" t="str">
        <f>VLOOKUP(tblCong[[#This Row],[distCode]],tblDistrict[#All],2)</f>
        <v>Jabem</v>
      </c>
      <c r="I350" s="1" t="str">
        <f>Seket!I$15</f>
        <v>S03</v>
      </c>
      <c r="J350" s="1" t="str">
        <f>CONCATENATE(tblCong[[#This Row],[distCode]],"-",tblCong[[#This Row],[sCode]])</f>
        <v>D02-S03</v>
      </c>
      <c r="K350" s="1" t="str">
        <f>VLOOKUP(tblCong[[#This Row],[seketCode]],tblSeket[#All],5,FALSE)</f>
        <v>Buang</v>
      </c>
      <c r="L350" s="1" t="str">
        <f>Paris!L$75</f>
        <v>P01</v>
      </c>
      <c r="M350" s="1" t="str">
        <f>CONCATENATE(tblCong[[#This Row],[seketCode]],"-",tblCong[[#This Row],[pCode]])</f>
        <v>D02-S03-P01</v>
      </c>
      <c r="N350" s="1" t="str">
        <f>Paris!M$75</f>
        <v>Manga</v>
      </c>
      <c r="O350" s="1" t="s">
        <v>573</v>
      </c>
      <c r="P350" s="1" t="s">
        <v>900</v>
      </c>
    </row>
    <row r="351" spans="6:16" x14ac:dyDescent="0.35">
      <c r="F351" s="1" t="str">
        <f>CONCATENATE(tblCong[[#This Row],[parishCode]],"-",tblCong[[#This Row],[kCode]])</f>
        <v>D02-S03-P01-K05</v>
      </c>
      <c r="G351" s="1" t="str">
        <f>Distrik!F$6</f>
        <v>D02</v>
      </c>
      <c r="H351" s="1" t="str">
        <f>VLOOKUP(tblCong[[#This Row],[distCode]],tblDistrict[#All],2)</f>
        <v>Jabem</v>
      </c>
      <c r="I351" s="1" t="str">
        <f>Seket!I$15</f>
        <v>S03</v>
      </c>
      <c r="J351" s="1" t="str">
        <f>CONCATENATE(tblCong[[#This Row],[distCode]],"-",tblCong[[#This Row],[sCode]])</f>
        <v>D02-S03</v>
      </c>
      <c r="K351" s="1" t="str">
        <f>VLOOKUP(tblCong[[#This Row],[seketCode]],tblSeket[#All],5,FALSE)</f>
        <v>Buang</v>
      </c>
      <c r="L351" s="1" t="str">
        <f>Paris!L$75</f>
        <v>P01</v>
      </c>
      <c r="M351" s="1" t="str">
        <f>CONCATENATE(tblCong[[#This Row],[seketCode]],"-",tblCong[[#This Row],[pCode]])</f>
        <v>D02-S03-P01</v>
      </c>
      <c r="N351" s="1" t="str">
        <f>Paris!M$75</f>
        <v>Manga</v>
      </c>
      <c r="O351" s="1" t="s">
        <v>575</v>
      </c>
      <c r="P351" s="1" t="s">
        <v>901</v>
      </c>
    </row>
    <row r="352" spans="6:16" x14ac:dyDescent="0.35">
      <c r="F352" s="1" t="str">
        <f>CONCATENATE(tblCong[[#This Row],[parishCode]],"-",tblCong[[#This Row],[kCode]])</f>
        <v>D02-S03-P01-K06</v>
      </c>
      <c r="G352" s="1" t="str">
        <f>Distrik!F$6</f>
        <v>D02</v>
      </c>
      <c r="H352" s="1" t="str">
        <f>VLOOKUP(tblCong[[#This Row],[distCode]],tblDistrict[#All],2)</f>
        <v>Jabem</v>
      </c>
      <c r="I352" s="1" t="str">
        <f>Seket!I$15</f>
        <v>S03</v>
      </c>
      <c r="J352" s="1" t="str">
        <f>CONCATENATE(tblCong[[#This Row],[distCode]],"-",tblCong[[#This Row],[sCode]])</f>
        <v>D02-S03</v>
      </c>
      <c r="K352" s="1" t="str">
        <f>VLOOKUP(tblCong[[#This Row],[seketCode]],tblSeket[#All],5,FALSE)</f>
        <v>Buang</v>
      </c>
      <c r="L352" s="1" t="str">
        <f>Paris!L$75</f>
        <v>P01</v>
      </c>
      <c r="M352" s="1" t="str">
        <f>CONCATENATE(tblCong[[#This Row],[seketCode]],"-",tblCong[[#This Row],[pCode]])</f>
        <v>D02-S03-P01</v>
      </c>
      <c r="N352" s="1" t="str">
        <f>Paris!M$75</f>
        <v>Manga</v>
      </c>
      <c r="O352" s="1" t="s">
        <v>576</v>
      </c>
      <c r="P352" s="1" t="s">
        <v>902</v>
      </c>
    </row>
    <row r="353" spans="6:16" x14ac:dyDescent="0.35">
      <c r="F353" s="1" t="str">
        <f>CONCATENATE(tblCong[[#This Row],[parishCode]],"-",tblCong[[#This Row],[kCode]])</f>
        <v>D02-S03-P01-K07</v>
      </c>
      <c r="G353" s="1" t="str">
        <f>Distrik!F$6</f>
        <v>D02</v>
      </c>
      <c r="H353" s="1" t="str">
        <f>VLOOKUP(tblCong[[#This Row],[distCode]],tblDistrict[#All],2)</f>
        <v>Jabem</v>
      </c>
      <c r="I353" s="1" t="str">
        <f>Seket!I$15</f>
        <v>S03</v>
      </c>
      <c r="J353" s="1" t="str">
        <f>CONCATENATE(tblCong[[#This Row],[distCode]],"-",tblCong[[#This Row],[sCode]])</f>
        <v>D02-S03</v>
      </c>
      <c r="K353" s="1" t="str">
        <f>VLOOKUP(tblCong[[#This Row],[seketCode]],tblSeket[#All],5,FALSE)</f>
        <v>Buang</v>
      </c>
      <c r="L353" s="1" t="str">
        <f>Paris!L$75</f>
        <v>P01</v>
      </c>
      <c r="M353" s="1" t="str">
        <f>CONCATENATE(tblCong[[#This Row],[seketCode]],"-",tblCong[[#This Row],[pCode]])</f>
        <v>D02-S03-P01</v>
      </c>
      <c r="N353" s="1" t="str">
        <f>Paris!M$75</f>
        <v>Manga</v>
      </c>
      <c r="O353" s="1" t="s">
        <v>578</v>
      </c>
      <c r="P353" s="1" t="s">
        <v>903</v>
      </c>
    </row>
    <row r="354" spans="6:16" x14ac:dyDescent="0.35">
      <c r="F354" s="1" t="str">
        <f>CONCATENATE(tblCong[[#This Row],[parishCode]],"-",tblCong[[#This Row],[kCode]])</f>
        <v>D02-S03-P02-K01</v>
      </c>
      <c r="G354" s="1" t="str">
        <f>Distrik!F$6</f>
        <v>D02</v>
      </c>
      <c r="H354" s="1" t="str">
        <f>VLOOKUP(tblCong[[#This Row],[distCode]],tblDistrict[#All],2)</f>
        <v>Jabem</v>
      </c>
      <c r="I354" s="1" t="str">
        <f>Seket!I$15</f>
        <v>S03</v>
      </c>
      <c r="J354" s="1" t="str">
        <f>CONCATENATE(tblCong[[#This Row],[distCode]],"-",tblCong[[#This Row],[sCode]])</f>
        <v>D02-S03</v>
      </c>
      <c r="K354" s="1" t="str">
        <f>VLOOKUP(tblCong[[#This Row],[seketCode]],tblSeket[#All],5,FALSE)</f>
        <v>Buang</v>
      </c>
      <c r="L354" s="1" t="str">
        <f>Paris!L$76</f>
        <v>P02</v>
      </c>
      <c r="M354" s="1" t="str">
        <f>CONCATENATE(tblCong[[#This Row],[seketCode]],"-",tblCong[[#This Row],[pCode]])</f>
        <v>D02-S03-P02</v>
      </c>
      <c r="N354" s="1" t="str">
        <f>Paris!M$76</f>
        <v>Sangas</v>
      </c>
      <c r="O354" s="1" t="s">
        <v>567</v>
      </c>
      <c r="P354" s="1" t="s">
        <v>904</v>
      </c>
    </row>
    <row r="355" spans="6:16" x14ac:dyDescent="0.35">
      <c r="F355" s="1" t="str">
        <f>CONCATENATE(tblCong[[#This Row],[parishCode]],"-",tblCong[[#This Row],[kCode]])</f>
        <v>D02-S03-P02-K02</v>
      </c>
      <c r="G355" s="1" t="str">
        <f>Distrik!F$6</f>
        <v>D02</v>
      </c>
      <c r="H355" s="1" t="str">
        <f>VLOOKUP(tblCong[[#This Row],[distCode]],tblDistrict[#All],2)</f>
        <v>Jabem</v>
      </c>
      <c r="I355" s="1" t="str">
        <f>Seket!I$15</f>
        <v>S03</v>
      </c>
      <c r="J355" s="1" t="str">
        <f>CONCATENATE(tblCong[[#This Row],[distCode]],"-",tblCong[[#This Row],[sCode]])</f>
        <v>D02-S03</v>
      </c>
      <c r="K355" s="1" t="str">
        <f>VLOOKUP(tblCong[[#This Row],[seketCode]],tblSeket[#All],5,FALSE)</f>
        <v>Buang</v>
      </c>
      <c r="L355" s="1" t="str">
        <f>Paris!L$76</f>
        <v>P02</v>
      </c>
      <c r="M355" s="1" t="str">
        <f>CONCATENATE(tblCong[[#This Row],[seketCode]],"-",tblCong[[#This Row],[pCode]])</f>
        <v>D02-S03-P02</v>
      </c>
      <c r="N355" s="1" t="str">
        <f>Paris!M$76</f>
        <v>Sangas</v>
      </c>
      <c r="O355" s="1" t="s">
        <v>569</v>
      </c>
      <c r="P355" s="1" t="s">
        <v>905</v>
      </c>
    </row>
    <row r="356" spans="6:16" x14ac:dyDescent="0.35">
      <c r="F356" s="1" t="str">
        <f>CONCATENATE(tblCong[[#This Row],[parishCode]],"-",tblCong[[#This Row],[kCode]])</f>
        <v>D02-S03-P02-K03</v>
      </c>
      <c r="G356" s="1" t="str">
        <f>Distrik!F$6</f>
        <v>D02</v>
      </c>
      <c r="H356" s="1" t="str">
        <f>VLOOKUP(tblCong[[#This Row],[distCode]],tblDistrict[#All],2)</f>
        <v>Jabem</v>
      </c>
      <c r="I356" s="1" t="str">
        <f>Seket!I$15</f>
        <v>S03</v>
      </c>
      <c r="J356" s="1" t="str">
        <f>CONCATENATE(tblCong[[#This Row],[distCode]],"-",tblCong[[#This Row],[sCode]])</f>
        <v>D02-S03</v>
      </c>
      <c r="K356" s="1" t="str">
        <f>VLOOKUP(tblCong[[#This Row],[seketCode]],tblSeket[#All],5,FALSE)</f>
        <v>Buang</v>
      </c>
      <c r="L356" s="1" t="str">
        <f>Paris!L$76</f>
        <v>P02</v>
      </c>
      <c r="M356" s="1" t="str">
        <f>CONCATENATE(tblCong[[#This Row],[seketCode]],"-",tblCong[[#This Row],[pCode]])</f>
        <v>D02-S03-P02</v>
      </c>
      <c r="N356" s="1" t="str">
        <f>Paris!M$76</f>
        <v>Sangas</v>
      </c>
      <c r="O356" s="1" t="s">
        <v>571</v>
      </c>
      <c r="P356" s="1" t="s">
        <v>906</v>
      </c>
    </row>
    <row r="357" spans="6:16" x14ac:dyDescent="0.35">
      <c r="F357" s="1" t="str">
        <f>CONCATENATE(tblCong[[#This Row],[parishCode]],"-",tblCong[[#This Row],[kCode]])</f>
        <v>D02-S03-P02-K04</v>
      </c>
      <c r="G357" s="1" t="str">
        <f>Distrik!F$6</f>
        <v>D02</v>
      </c>
      <c r="H357" s="1" t="str">
        <f>VLOOKUP(tblCong[[#This Row],[distCode]],tblDistrict[#All],2)</f>
        <v>Jabem</v>
      </c>
      <c r="I357" s="1" t="str">
        <f>Seket!I$15</f>
        <v>S03</v>
      </c>
      <c r="J357" s="1" t="str">
        <f>CONCATENATE(tblCong[[#This Row],[distCode]],"-",tblCong[[#This Row],[sCode]])</f>
        <v>D02-S03</v>
      </c>
      <c r="K357" s="1" t="str">
        <f>VLOOKUP(tblCong[[#This Row],[seketCode]],tblSeket[#All],5,FALSE)</f>
        <v>Buang</v>
      </c>
      <c r="L357" s="1" t="str">
        <f>Paris!L$76</f>
        <v>P02</v>
      </c>
      <c r="M357" s="1" t="str">
        <f>CONCATENATE(tblCong[[#This Row],[seketCode]],"-",tblCong[[#This Row],[pCode]])</f>
        <v>D02-S03-P02</v>
      </c>
      <c r="N357" s="1" t="str">
        <f>Paris!M$76</f>
        <v>Sangas</v>
      </c>
      <c r="O357" s="1" t="s">
        <v>573</v>
      </c>
      <c r="P357" s="1" t="s">
        <v>907</v>
      </c>
    </row>
    <row r="358" spans="6:16" x14ac:dyDescent="0.35">
      <c r="F358" s="1" t="str">
        <f>CONCATENATE(tblCong[[#This Row],[parishCode]],"-",tblCong[[#This Row],[kCode]])</f>
        <v>D02-S03-P03-K01</v>
      </c>
      <c r="G358" s="1" t="str">
        <f>Distrik!F$6</f>
        <v>D02</v>
      </c>
      <c r="H358" s="1" t="str">
        <f>VLOOKUP(tblCong[[#This Row],[distCode]],tblDistrict[#All],2)</f>
        <v>Jabem</v>
      </c>
      <c r="I358" s="1" t="str">
        <f>Seket!I$15</f>
        <v>S03</v>
      </c>
      <c r="J358" s="1" t="str">
        <f>CONCATENATE(tblCong[[#This Row],[distCode]],"-",tblCong[[#This Row],[sCode]])</f>
        <v>D02-S03</v>
      </c>
      <c r="K358" s="1" t="str">
        <f>VLOOKUP(tblCong[[#This Row],[seketCode]],tblSeket[#All],5,FALSE)</f>
        <v>Buang</v>
      </c>
      <c r="L358" s="1" t="str">
        <f>Paris!L$77</f>
        <v>P03</v>
      </c>
      <c r="M358" s="1" t="str">
        <f>CONCATENATE(tblCong[[#This Row],[seketCode]],"-",tblCong[[#This Row],[pCode]])</f>
        <v>D02-S03-P03</v>
      </c>
      <c r="N358" s="1" t="str">
        <f>Paris!M$77</f>
        <v>Mapos</v>
      </c>
      <c r="O358" s="1" t="s">
        <v>567</v>
      </c>
      <c r="P358" s="1" t="s">
        <v>288</v>
      </c>
    </row>
    <row r="359" spans="6:16" x14ac:dyDescent="0.35">
      <c r="F359" s="1" t="str">
        <f>CONCATENATE(tblCong[[#This Row],[parishCode]],"-",tblCong[[#This Row],[kCode]])</f>
        <v>D02-S03-P03-K02</v>
      </c>
      <c r="G359" s="1" t="str">
        <f>Distrik!F$6</f>
        <v>D02</v>
      </c>
      <c r="H359" s="1" t="str">
        <f>VLOOKUP(tblCong[[#This Row],[distCode]],tblDistrict[#All],2)</f>
        <v>Jabem</v>
      </c>
      <c r="I359" s="1" t="str">
        <f>Seket!I$15</f>
        <v>S03</v>
      </c>
      <c r="J359" s="1" t="str">
        <f>CONCATENATE(tblCong[[#This Row],[distCode]],"-",tblCong[[#This Row],[sCode]])</f>
        <v>D02-S03</v>
      </c>
      <c r="K359" s="1" t="str">
        <f>VLOOKUP(tblCong[[#This Row],[seketCode]],tblSeket[#All],5,FALSE)</f>
        <v>Buang</v>
      </c>
      <c r="L359" s="1" t="str">
        <f>Paris!L$77</f>
        <v>P03</v>
      </c>
      <c r="M359" s="1" t="str">
        <f>CONCATENATE(tblCong[[#This Row],[seketCode]],"-",tblCong[[#This Row],[pCode]])</f>
        <v>D02-S03-P03</v>
      </c>
      <c r="N359" s="1" t="str">
        <f>Paris!M$77</f>
        <v>Mapos</v>
      </c>
      <c r="O359" s="1" t="s">
        <v>569</v>
      </c>
      <c r="P359" s="1" t="s">
        <v>908</v>
      </c>
    </row>
    <row r="360" spans="6:16" x14ac:dyDescent="0.35">
      <c r="F360" s="1" t="str">
        <f>CONCATENATE(tblCong[[#This Row],[parishCode]],"-",tblCong[[#This Row],[kCode]])</f>
        <v>D02-S03-P03-K03</v>
      </c>
      <c r="G360" s="1" t="str">
        <f>Distrik!F$6</f>
        <v>D02</v>
      </c>
      <c r="H360" s="1" t="str">
        <f>VLOOKUP(tblCong[[#This Row],[distCode]],tblDistrict[#All],2)</f>
        <v>Jabem</v>
      </c>
      <c r="I360" s="1" t="str">
        <f>Seket!I$15</f>
        <v>S03</v>
      </c>
      <c r="J360" s="1" t="str">
        <f>CONCATENATE(tblCong[[#This Row],[distCode]],"-",tblCong[[#This Row],[sCode]])</f>
        <v>D02-S03</v>
      </c>
      <c r="K360" s="1" t="str">
        <f>VLOOKUP(tblCong[[#This Row],[seketCode]],tblSeket[#All],5,FALSE)</f>
        <v>Buang</v>
      </c>
      <c r="L360" s="1" t="str">
        <f>Paris!L$77</f>
        <v>P03</v>
      </c>
      <c r="M360" s="1" t="str">
        <f>CONCATENATE(tblCong[[#This Row],[seketCode]],"-",tblCong[[#This Row],[pCode]])</f>
        <v>D02-S03-P03</v>
      </c>
      <c r="N360" s="1" t="str">
        <f>Paris!M$77</f>
        <v>Mapos</v>
      </c>
      <c r="O360" s="1" t="s">
        <v>571</v>
      </c>
      <c r="P360" s="1" t="s">
        <v>909</v>
      </c>
    </row>
    <row r="361" spans="6:16" x14ac:dyDescent="0.35">
      <c r="F361" s="1" t="str">
        <f>CONCATENATE(tblCong[[#This Row],[parishCode]],"-",tblCong[[#This Row],[kCode]])</f>
        <v>D02-S03-P03-K04</v>
      </c>
      <c r="G361" s="1" t="str">
        <f>Distrik!F$6</f>
        <v>D02</v>
      </c>
      <c r="H361" s="1" t="str">
        <f>VLOOKUP(tblCong[[#This Row],[distCode]],tblDistrict[#All],2)</f>
        <v>Jabem</v>
      </c>
      <c r="I361" s="1" t="str">
        <f>Seket!I$15</f>
        <v>S03</v>
      </c>
      <c r="J361" s="1" t="str">
        <f>CONCATENATE(tblCong[[#This Row],[distCode]],"-",tblCong[[#This Row],[sCode]])</f>
        <v>D02-S03</v>
      </c>
      <c r="K361" s="1" t="str">
        <f>VLOOKUP(tblCong[[#This Row],[seketCode]],tblSeket[#All],5,FALSE)</f>
        <v>Buang</v>
      </c>
      <c r="L361" s="1" t="str">
        <f>Paris!L$77</f>
        <v>P03</v>
      </c>
      <c r="M361" s="1" t="str">
        <f>CONCATENATE(tblCong[[#This Row],[seketCode]],"-",tblCong[[#This Row],[pCode]])</f>
        <v>D02-S03-P03</v>
      </c>
      <c r="N361" s="1" t="str">
        <f>Paris!M$77</f>
        <v>Mapos</v>
      </c>
      <c r="O361" s="1" t="s">
        <v>573</v>
      </c>
      <c r="P361" s="1" t="s">
        <v>910</v>
      </c>
    </row>
    <row r="362" spans="6:16" x14ac:dyDescent="0.35">
      <c r="F362" s="1" t="str">
        <f>CONCATENATE(tblCong[[#This Row],[parishCode]],"-",tblCong[[#This Row],[kCode]])</f>
        <v>D02-S03-P03-K05</v>
      </c>
      <c r="G362" s="1" t="str">
        <f>Distrik!F$6</f>
        <v>D02</v>
      </c>
      <c r="H362" s="1" t="str">
        <f>VLOOKUP(tblCong[[#This Row],[distCode]],tblDistrict[#All],2)</f>
        <v>Jabem</v>
      </c>
      <c r="I362" s="1" t="str">
        <f>Seket!I$15</f>
        <v>S03</v>
      </c>
      <c r="J362" s="1" t="str">
        <f>CONCATENATE(tblCong[[#This Row],[distCode]],"-",tblCong[[#This Row],[sCode]])</f>
        <v>D02-S03</v>
      </c>
      <c r="K362" s="1" t="str">
        <f>VLOOKUP(tblCong[[#This Row],[seketCode]],tblSeket[#All],5,FALSE)</f>
        <v>Buang</v>
      </c>
      <c r="L362" s="1" t="str">
        <f>Paris!L$77</f>
        <v>P03</v>
      </c>
      <c r="M362" s="1" t="str">
        <f>CONCATENATE(tblCong[[#This Row],[seketCode]],"-",tblCong[[#This Row],[pCode]])</f>
        <v>D02-S03-P03</v>
      </c>
      <c r="N362" s="1" t="str">
        <f>Paris!M$77</f>
        <v>Mapos</v>
      </c>
      <c r="O362" s="1" t="s">
        <v>575</v>
      </c>
      <c r="P362" s="1" t="s">
        <v>911</v>
      </c>
    </row>
    <row r="363" spans="6:16" x14ac:dyDescent="0.35">
      <c r="F363" s="1" t="str">
        <f>CONCATENATE(tblCong[[#This Row],[parishCode]],"-",tblCong[[#This Row],[kCode]])</f>
        <v>D02-S03-P04-K01</v>
      </c>
      <c r="G363" s="1" t="str">
        <f>Distrik!F$6</f>
        <v>D02</v>
      </c>
      <c r="H363" s="1" t="str">
        <f>VLOOKUP(tblCong[[#This Row],[distCode]],tblDistrict[#All],2)</f>
        <v>Jabem</v>
      </c>
      <c r="I363" s="1" t="str">
        <f>Seket!I$15</f>
        <v>S03</v>
      </c>
      <c r="J363" s="1" t="str">
        <f>CONCATENATE(tblCong[[#This Row],[distCode]],"-",tblCong[[#This Row],[sCode]])</f>
        <v>D02-S03</v>
      </c>
      <c r="K363" s="1" t="str">
        <f>VLOOKUP(tblCong[[#This Row],[seketCode]],tblSeket[#All],5,FALSE)</f>
        <v>Buang</v>
      </c>
      <c r="L363" s="1" t="str">
        <f>Paris!L$78</f>
        <v>P04</v>
      </c>
      <c r="M363" s="1" t="str">
        <f>CONCATENATE(tblCong[[#This Row],[seketCode]],"-",tblCong[[#This Row],[pCode]])</f>
        <v>D02-S03-P04</v>
      </c>
      <c r="N363" s="1" t="str">
        <f>Paris!M$78</f>
        <v>Bulantem</v>
      </c>
      <c r="O363" s="1" t="s">
        <v>567</v>
      </c>
      <c r="P363" s="1" t="s">
        <v>912</v>
      </c>
    </row>
    <row r="364" spans="6:16" x14ac:dyDescent="0.35">
      <c r="F364" s="1" t="str">
        <f>CONCATENATE(tblCong[[#This Row],[parishCode]],"-",tblCong[[#This Row],[kCode]])</f>
        <v>D02-S03-P04-K02</v>
      </c>
      <c r="G364" s="1" t="str">
        <f>Distrik!F$6</f>
        <v>D02</v>
      </c>
      <c r="H364" s="1" t="str">
        <f>VLOOKUP(tblCong[[#This Row],[distCode]],tblDistrict[#All],2)</f>
        <v>Jabem</v>
      </c>
      <c r="I364" s="1" t="str">
        <f>Seket!I$15</f>
        <v>S03</v>
      </c>
      <c r="J364" s="1" t="str">
        <f>CONCATENATE(tblCong[[#This Row],[distCode]],"-",tblCong[[#This Row],[sCode]])</f>
        <v>D02-S03</v>
      </c>
      <c r="K364" s="1" t="str">
        <f>VLOOKUP(tblCong[[#This Row],[seketCode]],tblSeket[#All],5,FALSE)</f>
        <v>Buang</v>
      </c>
      <c r="L364" s="1" t="str">
        <f>Paris!L$78</f>
        <v>P04</v>
      </c>
      <c r="M364" s="1" t="str">
        <f>CONCATENATE(tblCong[[#This Row],[seketCode]],"-",tblCong[[#This Row],[pCode]])</f>
        <v>D02-S03-P04</v>
      </c>
      <c r="N364" s="1" t="str">
        <f>Paris!M$78</f>
        <v>Bulantem</v>
      </c>
      <c r="O364" s="1" t="s">
        <v>569</v>
      </c>
      <c r="P364" s="1" t="s">
        <v>913</v>
      </c>
    </row>
    <row r="365" spans="6:16" x14ac:dyDescent="0.35">
      <c r="F365" s="1" t="str">
        <f>CONCATENATE(tblCong[[#This Row],[parishCode]],"-",tblCong[[#This Row],[kCode]])</f>
        <v>D02-S03-P04-K03</v>
      </c>
      <c r="G365" s="1" t="str">
        <f>Distrik!F$6</f>
        <v>D02</v>
      </c>
      <c r="H365" s="1" t="str">
        <f>VLOOKUP(tblCong[[#This Row],[distCode]],tblDistrict[#All],2)</f>
        <v>Jabem</v>
      </c>
      <c r="I365" s="1" t="str">
        <f>Seket!I$15</f>
        <v>S03</v>
      </c>
      <c r="J365" s="1" t="str">
        <f>CONCATENATE(tblCong[[#This Row],[distCode]],"-",tblCong[[#This Row],[sCode]])</f>
        <v>D02-S03</v>
      </c>
      <c r="K365" s="1" t="str">
        <f>VLOOKUP(tblCong[[#This Row],[seketCode]],tblSeket[#All],5,FALSE)</f>
        <v>Buang</v>
      </c>
      <c r="L365" s="1" t="str">
        <f>Paris!L$78</f>
        <v>P04</v>
      </c>
      <c r="M365" s="1" t="str">
        <f>CONCATENATE(tblCong[[#This Row],[seketCode]],"-",tblCong[[#This Row],[pCode]])</f>
        <v>D02-S03-P04</v>
      </c>
      <c r="N365" s="1" t="str">
        <f>Paris!M$78</f>
        <v>Bulantem</v>
      </c>
      <c r="O365" s="1" t="s">
        <v>571</v>
      </c>
      <c r="P365" s="1" t="s">
        <v>914</v>
      </c>
    </row>
    <row r="366" spans="6:16" x14ac:dyDescent="0.35">
      <c r="F366" s="1" t="str">
        <f>CONCATENATE(tblCong[[#This Row],[parishCode]],"-",tblCong[[#This Row],[kCode]])</f>
        <v>D02-S03-P05-K01</v>
      </c>
      <c r="G366" s="1" t="str">
        <f>Distrik!F$6</f>
        <v>D02</v>
      </c>
      <c r="H366" s="1" t="str">
        <f>VLOOKUP(tblCong[[#This Row],[distCode]],tblDistrict[#All],2)</f>
        <v>Jabem</v>
      </c>
      <c r="I366" s="1" t="str">
        <f>Seket!I$15</f>
        <v>S03</v>
      </c>
      <c r="J366" s="1" t="str">
        <f>CONCATENATE(tblCong[[#This Row],[distCode]],"-",tblCong[[#This Row],[sCode]])</f>
        <v>D02-S03</v>
      </c>
      <c r="K366" s="1" t="str">
        <f>VLOOKUP(tblCong[[#This Row],[seketCode]],tblSeket[#All],5,FALSE)</f>
        <v>Buang</v>
      </c>
      <c r="L366" s="1" t="str">
        <f>Paris!L$79</f>
        <v>P05</v>
      </c>
      <c r="M366" s="1" t="str">
        <f>CONCATENATE(tblCong[[#This Row],[seketCode]],"-",tblCong[[#This Row],[pCode]])</f>
        <v>D02-S03-P05</v>
      </c>
      <c r="N366" s="1" t="str">
        <f>Paris!M$79</f>
        <v>Gwein</v>
      </c>
      <c r="O366" s="1" t="s">
        <v>567</v>
      </c>
      <c r="P366" s="1" t="s">
        <v>915</v>
      </c>
    </row>
    <row r="367" spans="6:16" x14ac:dyDescent="0.35">
      <c r="F367" s="1" t="str">
        <f>CONCATENATE(tblCong[[#This Row],[parishCode]],"-",tblCong[[#This Row],[kCode]])</f>
        <v>D02-S03-P05-K02</v>
      </c>
      <c r="G367" s="1" t="str">
        <f>Distrik!F$6</f>
        <v>D02</v>
      </c>
      <c r="H367" s="1" t="str">
        <f>VLOOKUP(tblCong[[#This Row],[distCode]],tblDistrict[#All],2)</f>
        <v>Jabem</v>
      </c>
      <c r="I367" s="1" t="str">
        <f>Seket!I$15</f>
        <v>S03</v>
      </c>
      <c r="J367" s="1" t="str">
        <f>CONCATENATE(tblCong[[#This Row],[distCode]],"-",tblCong[[#This Row],[sCode]])</f>
        <v>D02-S03</v>
      </c>
      <c r="K367" s="1" t="str">
        <f>VLOOKUP(tblCong[[#This Row],[seketCode]],tblSeket[#All],5,FALSE)</f>
        <v>Buang</v>
      </c>
      <c r="L367" s="1" t="str">
        <f>Paris!L$79</f>
        <v>P05</v>
      </c>
      <c r="M367" s="1" t="str">
        <f>CONCATENATE(tblCong[[#This Row],[seketCode]],"-",tblCong[[#This Row],[pCode]])</f>
        <v>D02-S03-P05</v>
      </c>
      <c r="N367" s="1" t="str">
        <f>Paris!M$79</f>
        <v>Gwein</v>
      </c>
      <c r="O367" s="1" t="s">
        <v>569</v>
      </c>
      <c r="P367" s="1" t="s">
        <v>916</v>
      </c>
    </row>
    <row r="368" spans="6:16" x14ac:dyDescent="0.35">
      <c r="F368" s="1" t="str">
        <f>CONCATENATE(tblCong[[#This Row],[parishCode]],"-",tblCong[[#This Row],[kCode]])</f>
        <v>D02-S03-P05-K03</v>
      </c>
      <c r="G368" s="1" t="str">
        <f>Distrik!F$6</f>
        <v>D02</v>
      </c>
      <c r="H368" s="1" t="str">
        <f>VLOOKUP(tblCong[[#This Row],[distCode]],tblDistrict[#All],2)</f>
        <v>Jabem</v>
      </c>
      <c r="I368" s="1" t="str">
        <f>Seket!I$15</f>
        <v>S03</v>
      </c>
      <c r="J368" s="1" t="str">
        <f>CONCATENATE(tblCong[[#This Row],[distCode]],"-",tblCong[[#This Row],[sCode]])</f>
        <v>D02-S03</v>
      </c>
      <c r="K368" s="1" t="str">
        <f>VLOOKUP(tblCong[[#This Row],[seketCode]],tblSeket[#All],5,FALSE)</f>
        <v>Buang</v>
      </c>
      <c r="L368" s="1" t="str">
        <f>Paris!L$79</f>
        <v>P05</v>
      </c>
      <c r="M368" s="1" t="str">
        <f>CONCATENATE(tblCong[[#This Row],[seketCode]],"-",tblCong[[#This Row],[pCode]])</f>
        <v>D02-S03-P05</v>
      </c>
      <c r="N368" s="1" t="str">
        <f>Paris!M$79</f>
        <v>Gwein</v>
      </c>
      <c r="O368" s="1" t="s">
        <v>571</v>
      </c>
      <c r="P368" s="1" t="s">
        <v>917</v>
      </c>
    </row>
    <row r="369" spans="6:16" x14ac:dyDescent="0.35">
      <c r="F369" s="1" t="str">
        <f>CONCATENATE(tblCong[[#This Row],[parishCode]],"-",tblCong[[#This Row],[kCode]])</f>
        <v>D02-S03-P05-K04</v>
      </c>
      <c r="G369" s="1" t="str">
        <f>Distrik!F$6</f>
        <v>D02</v>
      </c>
      <c r="H369" s="1" t="str">
        <f>VLOOKUP(tblCong[[#This Row],[distCode]],tblDistrict[#All],2)</f>
        <v>Jabem</v>
      </c>
      <c r="I369" s="1" t="str">
        <f>Seket!I$15</f>
        <v>S03</v>
      </c>
      <c r="J369" s="1" t="str">
        <f>CONCATENATE(tblCong[[#This Row],[distCode]],"-",tblCong[[#This Row],[sCode]])</f>
        <v>D02-S03</v>
      </c>
      <c r="K369" s="1" t="str">
        <f>VLOOKUP(tblCong[[#This Row],[seketCode]],tblSeket[#All],5,FALSE)</f>
        <v>Buang</v>
      </c>
      <c r="L369" s="1" t="str">
        <f>Paris!L$79</f>
        <v>P05</v>
      </c>
      <c r="M369" s="1" t="str">
        <f>CONCATENATE(tblCong[[#This Row],[seketCode]],"-",tblCong[[#This Row],[pCode]])</f>
        <v>D02-S03-P05</v>
      </c>
      <c r="N369" s="1" t="str">
        <f>Paris!M$79</f>
        <v>Gwein</v>
      </c>
      <c r="O369" s="1" t="s">
        <v>573</v>
      </c>
      <c r="P369" s="1" t="s">
        <v>918</v>
      </c>
    </row>
    <row r="370" spans="6:16" x14ac:dyDescent="0.35">
      <c r="F370" s="1" t="str">
        <f>CONCATENATE(tblCong[[#This Row],[parishCode]],"-",tblCong[[#This Row],[kCode]])</f>
        <v>D02-S03-P06-K01</v>
      </c>
      <c r="G370" s="1" t="str">
        <f>Distrik!F$6</f>
        <v>D02</v>
      </c>
      <c r="H370" s="1" t="str">
        <f>VLOOKUP(tblCong[[#This Row],[distCode]],tblDistrict[#All],2)</f>
        <v>Jabem</v>
      </c>
      <c r="I370" s="1" t="str">
        <f>Seket!I$15</f>
        <v>S03</v>
      </c>
      <c r="J370" s="1" t="str">
        <f>CONCATENATE(tblCong[[#This Row],[distCode]],"-",tblCong[[#This Row],[sCode]])</f>
        <v>D02-S03</v>
      </c>
      <c r="K370" s="1" t="str">
        <f>VLOOKUP(tblCong[[#This Row],[seketCode]],tblSeket[#All],5,FALSE)</f>
        <v>Buang</v>
      </c>
      <c r="L370" s="1" t="str">
        <f>Paris!L$80</f>
        <v>P06</v>
      </c>
      <c r="M370" s="1" t="str">
        <f>CONCATENATE(tblCong[[#This Row],[seketCode]],"-",tblCong[[#This Row],[pCode]])</f>
        <v>D02-S03-P06</v>
      </c>
      <c r="N370" s="1" t="str">
        <f>Paris!M$80</f>
        <v>Biangkoun</v>
      </c>
      <c r="O370" s="1" t="s">
        <v>567</v>
      </c>
      <c r="P370" s="1" t="s">
        <v>919</v>
      </c>
    </row>
    <row r="371" spans="6:16" x14ac:dyDescent="0.35">
      <c r="F371" s="1" t="str">
        <f>CONCATENATE(tblCong[[#This Row],[parishCode]],"-",tblCong[[#This Row],[kCode]])</f>
        <v>D02-S03-P06-K02</v>
      </c>
      <c r="G371" s="1" t="str">
        <f>Distrik!F$6</f>
        <v>D02</v>
      </c>
      <c r="H371" s="1" t="str">
        <f>VLOOKUP(tblCong[[#This Row],[distCode]],tblDistrict[#All],2)</f>
        <v>Jabem</v>
      </c>
      <c r="I371" s="1" t="str">
        <f>Seket!I$15</f>
        <v>S03</v>
      </c>
      <c r="J371" s="1" t="str">
        <f>CONCATENATE(tblCong[[#This Row],[distCode]],"-",tblCong[[#This Row],[sCode]])</f>
        <v>D02-S03</v>
      </c>
      <c r="K371" s="1" t="str">
        <f>VLOOKUP(tblCong[[#This Row],[seketCode]],tblSeket[#All],5,FALSE)</f>
        <v>Buang</v>
      </c>
      <c r="L371" s="1" t="str">
        <f>Paris!L$80</f>
        <v>P06</v>
      </c>
      <c r="M371" s="1" t="str">
        <f>CONCATENATE(tblCong[[#This Row],[seketCode]],"-",tblCong[[#This Row],[pCode]])</f>
        <v>D02-S03-P06</v>
      </c>
      <c r="N371" s="1" t="str">
        <f>Paris!M$80</f>
        <v>Biangkoun</v>
      </c>
      <c r="O371" s="1" t="s">
        <v>569</v>
      </c>
      <c r="P371" s="1" t="s">
        <v>920</v>
      </c>
    </row>
    <row r="372" spans="6:16" x14ac:dyDescent="0.35">
      <c r="F372" s="1" t="str">
        <f>CONCATENATE(tblCong[[#This Row],[parishCode]],"-",tblCong[[#This Row],[kCode]])</f>
        <v>D02-S03-P06-K03</v>
      </c>
      <c r="G372" s="1" t="str">
        <f>Distrik!F$6</f>
        <v>D02</v>
      </c>
      <c r="H372" s="1" t="str">
        <f>VLOOKUP(tblCong[[#This Row],[distCode]],tblDistrict[#All],2)</f>
        <v>Jabem</v>
      </c>
      <c r="I372" s="1" t="str">
        <f>Seket!I$15</f>
        <v>S03</v>
      </c>
      <c r="J372" s="1" t="str">
        <f>CONCATENATE(tblCong[[#This Row],[distCode]],"-",tblCong[[#This Row],[sCode]])</f>
        <v>D02-S03</v>
      </c>
      <c r="K372" s="1" t="str">
        <f>VLOOKUP(tblCong[[#This Row],[seketCode]],tblSeket[#All],5,FALSE)</f>
        <v>Buang</v>
      </c>
      <c r="L372" s="1" t="str">
        <f>Paris!L$80</f>
        <v>P06</v>
      </c>
      <c r="M372" s="1" t="str">
        <f>CONCATENATE(tblCong[[#This Row],[seketCode]],"-",tblCong[[#This Row],[pCode]])</f>
        <v>D02-S03-P06</v>
      </c>
      <c r="N372" s="1" t="str">
        <f>Paris!M$80</f>
        <v>Biangkoun</v>
      </c>
      <c r="O372" s="1" t="s">
        <v>571</v>
      </c>
      <c r="P372" s="1" t="s">
        <v>921</v>
      </c>
    </row>
    <row r="373" spans="6:16" x14ac:dyDescent="0.35">
      <c r="F373" s="1" t="str">
        <f>CONCATENATE(tblCong[[#This Row],[parishCode]],"-",tblCong[[#This Row],[kCode]])</f>
        <v>D02-S03-P06-K04</v>
      </c>
      <c r="G373" s="1" t="str">
        <f>Distrik!F$6</f>
        <v>D02</v>
      </c>
      <c r="H373" s="1" t="str">
        <f>VLOOKUP(tblCong[[#This Row],[distCode]],tblDistrict[#All],2)</f>
        <v>Jabem</v>
      </c>
      <c r="I373" s="1" t="str">
        <f>Seket!I$15</f>
        <v>S03</v>
      </c>
      <c r="J373" s="1" t="str">
        <f>CONCATENATE(tblCong[[#This Row],[distCode]],"-",tblCong[[#This Row],[sCode]])</f>
        <v>D02-S03</v>
      </c>
      <c r="K373" s="1" t="str">
        <f>VLOOKUP(tblCong[[#This Row],[seketCode]],tblSeket[#All],5,FALSE)</f>
        <v>Buang</v>
      </c>
      <c r="L373" s="1" t="str">
        <f>Paris!L$80</f>
        <v>P06</v>
      </c>
      <c r="M373" s="1" t="str">
        <f>CONCATENATE(tblCong[[#This Row],[seketCode]],"-",tblCong[[#This Row],[pCode]])</f>
        <v>D02-S03-P06</v>
      </c>
      <c r="N373" s="1" t="str">
        <f>Paris!M$80</f>
        <v>Biangkoun</v>
      </c>
      <c r="O373" s="1" t="s">
        <v>573</v>
      </c>
      <c r="P373" s="1" t="s">
        <v>922</v>
      </c>
    </row>
    <row r="374" spans="6:16" x14ac:dyDescent="0.35">
      <c r="F374" s="1" t="str">
        <f>CONCATENATE(tblCong[[#This Row],[parishCode]],"-",tblCong[[#This Row],[kCode]])</f>
        <v>D02-S03-P06-K05</v>
      </c>
      <c r="G374" s="1" t="str">
        <f>Distrik!F$6</f>
        <v>D02</v>
      </c>
      <c r="H374" s="1" t="str">
        <f>VLOOKUP(tblCong[[#This Row],[distCode]],tblDistrict[#All],2)</f>
        <v>Jabem</v>
      </c>
      <c r="I374" s="1" t="str">
        <f>Seket!I$15</f>
        <v>S03</v>
      </c>
      <c r="J374" s="1" t="str">
        <f>CONCATENATE(tblCong[[#This Row],[distCode]],"-",tblCong[[#This Row],[sCode]])</f>
        <v>D02-S03</v>
      </c>
      <c r="K374" s="1" t="str">
        <f>VLOOKUP(tblCong[[#This Row],[seketCode]],tblSeket[#All],5,FALSE)</f>
        <v>Buang</v>
      </c>
      <c r="L374" s="1" t="str">
        <f>Paris!L$80</f>
        <v>P06</v>
      </c>
      <c r="M374" s="1" t="str">
        <f>CONCATENATE(tblCong[[#This Row],[seketCode]],"-",tblCong[[#This Row],[pCode]])</f>
        <v>D02-S03-P06</v>
      </c>
      <c r="N374" s="1" t="str">
        <f>Paris!M$80</f>
        <v>Biangkoun</v>
      </c>
      <c r="O374" s="1" t="s">
        <v>575</v>
      </c>
      <c r="P374" s="1" t="s">
        <v>923</v>
      </c>
    </row>
    <row r="375" spans="6:16" x14ac:dyDescent="0.35">
      <c r="F375" s="1" t="str">
        <f>CONCATENATE(tblCong[[#This Row],[parishCode]],"-",tblCong[[#This Row],[kCode]])</f>
        <v>D02-S03-P06-K06</v>
      </c>
      <c r="G375" s="1" t="str">
        <f>Distrik!F$6</f>
        <v>D02</v>
      </c>
      <c r="H375" s="1" t="str">
        <f>VLOOKUP(tblCong[[#This Row],[distCode]],tblDistrict[#All],2)</f>
        <v>Jabem</v>
      </c>
      <c r="I375" s="1" t="str">
        <f>Seket!I$15</f>
        <v>S03</v>
      </c>
      <c r="J375" s="1" t="str">
        <f>CONCATENATE(tblCong[[#This Row],[distCode]],"-",tblCong[[#This Row],[sCode]])</f>
        <v>D02-S03</v>
      </c>
      <c r="K375" s="1" t="str">
        <f>VLOOKUP(tblCong[[#This Row],[seketCode]],tblSeket[#All],5,FALSE)</f>
        <v>Buang</v>
      </c>
      <c r="L375" s="1" t="str">
        <f>Paris!L$80</f>
        <v>P06</v>
      </c>
      <c r="M375" s="1" t="str">
        <f>CONCATENATE(tblCong[[#This Row],[seketCode]],"-",tblCong[[#This Row],[pCode]])</f>
        <v>D02-S03-P06</v>
      </c>
      <c r="N375" s="1" t="str">
        <f>Paris!M$80</f>
        <v>Biangkoun</v>
      </c>
      <c r="O375" s="1" t="s">
        <v>576</v>
      </c>
      <c r="P375" s="1" t="s">
        <v>924</v>
      </c>
    </row>
    <row r="376" spans="6:16" x14ac:dyDescent="0.35">
      <c r="F376" s="1" t="str">
        <f>CONCATENATE(tblCong[[#This Row],[parishCode]],"-",tblCong[[#This Row],[kCode]])</f>
        <v>D02-S04-P01-K01</v>
      </c>
      <c r="G376" s="1" t="str">
        <f>Distrik!F$6</f>
        <v>D02</v>
      </c>
      <c r="H376" s="1" t="str">
        <f>VLOOKUP(tblCong[[#This Row],[distCode]],tblDistrict[#All],2)</f>
        <v>Jabem</v>
      </c>
      <c r="I376" s="1" t="str">
        <f>Seket!I$16</f>
        <v>S04</v>
      </c>
      <c r="J376" s="1" t="str">
        <f>CONCATENATE(tblCong[[#This Row],[distCode]],"-",tblCong[[#This Row],[sCode]])</f>
        <v>D02-S04</v>
      </c>
      <c r="K376" s="1" t="str">
        <f>VLOOKUP(tblCong[[#This Row],[seketCode]],tblSeket[#All],5,FALSE)</f>
        <v>Kaiapit</v>
      </c>
      <c r="L376" s="1" t="str">
        <f>Paris!L$81</f>
        <v>P01</v>
      </c>
      <c r="M376" s="1" t="str">
        <f>CONCATENATE(tblCong[[#This Row],[seketCode]],"-",tblCong[[#This Row],[pCode]])</f>
        <v>D02-S04-P01</v>
      </c>
      <c r="N376" s="1" t="str">
        <f>Paris!M$81</f>
        <v>Wantun</v>
      </c>
      <c r="O376" s="1" t="s">
        <v>567</v>
      </c>
      <c r="P376" s="1" t="s">
        <v>59</v>
      </c>
    </row>
    <row r="377" spans="6:16" x14ac:dyDescent="0.35">
      <c r="F377" s="1" t="str">
        <f>CONCATENATE(tblCong[[#This Row],[parishCode]],"-",tblCong[[#This Row],[kCode]])</f>
        <v>D02-S04-P01-K02</v>
      </c>
      <c r="G377" s="1" t="str">
        <f>Distrik!F$6</f>
        <v>D02</v>
      </c>
      <c r="H377" s="1" t="str">
        <f>VLOOKUP(tblCong[[#This Row],[distCode]],tblDistrict[#All],2)</f>
        <v>Jabem</v>
      </c>
      <c r="I377" s="1" t="str">
        <f>Seket!I$16</f>
        <v>S04</v>
      </c>
      <c r="J377" s="1" t="str">
        <f>CONCATENATE(tblCong[[#This Row],[distCode]],"-",tblCong[[#This Row],[sCode]])</f>
        <v>D02-S04</v>
      </c>
      <c r="K377" s="1" t="str">
        <f>VLOOKUP(tblCong[[#This Row],[seketCode]],tblSeket[#All],5,FALSE)</f>
        <v>Kaiapit</v>
      </c>
      <c r="L377" s="1" t="str">
        <f>Paris!L$81</f>
        <v>P01</v>
      </c>
      <c r="M377" s="1" t="str">
        <f>CONCATENATE(tblCong[[#This Row],[seketCode]],"-",tblCong[[#This Row],[pCode]])</f>
        <v>D02-S04-P01</v>
      </c>
      <c r="N377" s="1" t="str">
        <f>Paris!M$81</f>
        <v>Wantun</v>
      </c>
      <c r="O377" s="1" t="s">
        <v>569</v>
      </c>
      <c r="P377" s="1" t="s">
        <v>925</v>
      </c>
    </row>
    <row r="378" spans="6:16" x14ac:dyDescent="0.35">
      <c r="F378" s="1" t="str">
        <f>CONCATENATE(tblCong[[#This Row],[parishCode]],"-",tblCong[[#This Row],[kCode]])</f>
        <v>D02-S04-P01-K03</v>
      </c>
      <c r="G378" s="1" t="str">
        <f>Distrik!F$6</f>
        <v>D02</v>
      </c>
      <c r="H378" s="1" t="str">
        <f>VLOOKUP(tblCong[[#This Row],[distCode]],tblDistrict[#All],2)</f>
        <v>Jabem</v>
      </c>
      <c r="I378" s="1" t="str">
        <f>Seket!I$16</f>
        <v>S04</v>
      </c>
      <c r="J378" s="1" t="str">
        <f>CONCATENATE(tblCong[[#This Row],[distCode]],"-",tblCong[[#This Row],[sCode]])</f>
        <v>D02-S04</v>
      </c>
      <c r="K378" s="1" t="str">
        <f>VLOOKUP(tblCong[[#This Row],[seketCode]],tblSeket[#All],5,FALSE)</f>
        <v>Kaiapit</v>
      </c>
      <c r="L378" s="1" t="str">
        <f>Paris!L$81</f>
        <v>P01</v>
      </c>
      <c r="M378" s="1" t="str">
        <f>CONCATENATE(tblCong[[#This Row],[seketCode]],"-",tblCong[[#This Row],[pCode]])</f>
        <v>D02-S04-P01</v>
      </c>
      <c r="N378" s="1" t="str">
        <f>Paris!M$81</f>
        <v>Wantun</v>
      </c>
      <c r="O378" s="1" t="s">
        <v>571</v>
      </c>
      <c r="P378" s="1" t="s">
        <v>926</v>
      </c>
    </row>
    <row r="379" spans="6:16" x14ac:dyDescent="0.35">
      <c r="F379" s="1" t="str">
        <f>CONCATENATE(tblCong[[#This Row],[parishCode]],"-",tblCong[[#This Row],[kCode]])</f>
        <v>D02-S04-P01-K04</v>
      </c>
      <c r="G379" s="1" t="str">
        <f>Distrik!F$6</f>
        <v>D02</v>
      </c>
      <c r="H379" s="1" t="str">
        <f>VLOOKUP(tblCong[[#This Row],[distCode]],tblDistrict[#All],2)</f>
        <v>Jabem</v>
      </c>
      <c r="I379" s="1" t="str">
        <f>Seket!I$16</f>
        <v>S04</v>
      </c>
      <c r="J379" s="1" t="str">
        <f>CONCATENATE(tblCong[[#This Row],[distCode]],"-",tblCong[[#This Row],[sCode]])</f>
        <v>D02-S04</v>
      </c>
      <c r="K379" s="1" t="str">
        <f>VLOOKUP(tblCong[[#This Row],[seketCode]],tblSeket[#All],5,FALSE)</f>
        <v>Kaiapit</v>
      </c>
      <c r="L379" s="1" t="str">
        <f>Paris!L$81</f>
        <v>P01</v>
      </c>
      <c r="M379" s="1" t="str">
        <f>CONCATENATE(tblCong[[#This Row],[seketCode]],"-",tblCong[[#This Row],[pCode]])</f>
        <v>D02-S04-P01</v>
      </c>
      <c r="N379" s="1" t="str">
        <f>Paris!M$81</f>
        <v>Wantun</v>
      </c>
      <c r="O379" s="1" t="s">
        <v>573</v>
      </c>
      <c r="P379" s="1" t="s">
        <v>927</v>
      </c>
    </row>
    <row r="380" spans="6:16" x14ac:dyDescent="0.35">
      <c r="F380" s="1" t="str">
        <f>CONCATENATE(tblCong[[#This Row],[parishCode]],"-",tblCong[[#This Row],[kCode]])</f>
        <v>D02-S04-P01-K05</v>
      </c>
      <c r="G380" s="1" t="str">
        <f>Distrik!F$6</f>
        <v>D02</v>
      </c>
      <c r="H380" s="1" t="str">
        <f>VLOOKUP(tblCong[[#This Row],[distCode]],tblDistrict[#All],2)</f>
        <v>Jabem</v>
      </c>
      <c r="I380" s="1" t="str">
        <f>Seket!I$16</f>
        <v>S04</v>
      </c>
      <c r="J380" s="1" t="str">
        <f>CONCATENATE(tblCong[[#This Row],[distCode]],"-",tblCong[[#This Row],[sCode]])</f>
        <v>D02-S04</v>
      </c>
      <c r="K380" s="1" t="str">
        <f>VLOOKUP(tblCong[[#This Row],[seketCode]],tblSeket[#All],5,FALSE)</f>
        <v>Kaiapit</v>
      </c>
      <c r="L380" s="1" t="str">
        <f>Paris!L$81</f>
        <v>P01</v>
      </c>
      <c r="M380" s="1" t="str">
        <f>CONCATENATE(tblCong[[#This Row],[seketCode]],"-",tblCong[[#This Row],[pCode]])</f>
        <v>D02-S04-P01</v>
      </c>
      <c r="N380" s="1" t="str">
        <f>Paris!M$81</f>
        <v>Wantun</v>
      </c>
      <c r="O380" s="1" t="s">
        <v>575</v>
      </c>
      <c r="P380" s="1" t="s">
        <v>928</v>
      </c>
    </row>
    <row r="381" spans="6:16" x14ac:dyDescent="0.35">
      <c r="F381" s="1" t="str">
        <f>CONCATENATE(tblCong[[#This Row],[parishCode]],"-",tblCong[[#This Row],[kCode]])</f>
        <v>D02-S04-P01-K06</v>
      </c>
      <c r="G381" s="1" t="str">
        <f>Distrik!F$6</f>
        <v>D02</v>
      </c>
      <c r="H381" s="1" t="str">
        <f>VLOOKUP(tblCong[[#This Row],[distCode]],tblDistrict[#All],2)</f>
        <v>Jabem</v>
      </c>
      <c r="I381" s="1" t="str">
        <f>Seket!I$16</f>
        <v>S04</v>
      </c>
      <c r="J381" s="1" t="str">
        <f>CONCATENATE(tblCong[[#This Row],[distCode]],"-",tblCong[[#This Row],[sCode]])</f>
        <v>D02-S04</v>
      </c>
      <c r="K381" s="1" t="str">
        <f>VLOOKUP(tblCong[[#This Row],[seketCode]],tblSeket[#All],5,FALSE)</f>
        <v>Kaiapit</v>
      </c>
      <c r="L381" s="1" t="str">
        <f>Paris!L$81</f>
        <v>P01</v>
      </c>
      <c r="M381" s="1" t="str">
        <f>CONCATENATE(tblCong[[#This Row],[seketCode]],"-",tblCong[[#This Row],[pCode]])</f>
        <v>D02-S04-P01</v>
      </c>
      <c r="N381" s="1" t="str">
        <f>Paris!M$81</f>
        <v>Wantun</v>
      </c>
      <c r="O381" s="1" t="s">
        <v>576</v>
      </c>
      <c r="P381" s="1" t="s">
        <v>929</v>
      </c>
    </row>
    <row r="382" spans="6:16" x14ac:dyDescent="0.35">
      <c r="F382" s="1" t="str">
        <f>CONCATENATE(tblCong[[#This Row],[parishCode]],"-",tblCong[[#This Row],[kCode]])</f>
        <v>D02-S04-P02-K01</v>
      </c>
      <c r="G382" s="1" t="str">
        <f>Distrik!F$6</f>
        <v>D02</v>
      </c>
      <c r="H382" s="1" t="str">
        <f>VLOOKUP(tblCong[[#This Row],[distCode]],tblDistrict[#All],2)</f>
        <v>Jabem</v>
      </c>
      <c r="I382" s="1" t="str">
        <f>Seket!I$16</f>
        <v>S04</v>
      </c>
      <c r="J382" s="1" t="str">
        <f>CONCATENATE(tblCong[[#This Row],[distCode]],"-",tblCong[[#This Row],[sCode]])</f>
        <v>D02-S04</v>
      </c>
      <c r="K382" s="1" t="str">
        <f>VLOOKUP(tblCong[[#This Row],[seketCode]],tblSeket[#All],5,FALSE)</f>
        <v>Kaiapit</v>
      </c>
      <c r="L382" s="1" t="str">
        <f>Paris!L$82</f>
        <v>P02</v>
      </c>
      <c r="M382" s="1" t="str">
        <f>CONCATENATE(tblCong[[#This Row],[seketCode]],"-",tblCong[[#This Row],[pCode]])</f>
        <v>D02-S04-P02</v>
      </c>
      <c r="N382" s="1" t="str">
        <f>Paris!M$82</f>
        <v>Afa</v>
      </c>
      <c r="O382" s="1" t="s">
        <v>567</v>
      </c>
      <c r="P382" s="1" t="s">
        <v>930</v>
      </c>
    </row>
    <row r="383" spans="6:16" x14ac:dyDescent="0.35">
      <c r="F383" s="1" t="str">
        <f>CONCATENATE(tblCong[[#This Row],[parishCode]],"-",tblCong[[#This Row],[kCode]])</f>
        <v>D02-S04-P02-K02</v>
      </c>
      <c r="G383" s="1" t="str">
        <f>Distrik!F$6</f>
        <v>D02</v>
      </c>
      <c r="H383" s="1" t="str">
        <f>VLOOKUP(tblCong[[#This Row],[distCode]],tblDistrict[#All],2)</f>
        <v>Jabem</v>
      </c>
      <c r="I383" s="1" t="str">
        <f>Seket!I$16</f>
        <v>S04</v>
      </c>
      <c r="J383" s="1" t="str">
        <f>CONCATENATE(tblCong[[#This Row],[distCode]],"-",tblCong[[#This Row],[sCode]])</f>
        <v>D02-S04</v>
      </c>
      <c r="K383" s="1" t="str">
        <f>VLOOKUP(tblCong[[#This Row],[seketCode]],tblSeket[#All],5,FALSE)</f>
        <v>Kaiapit</v>
      </c>
      <c r="L383" s="1" t="str">
        <f>Paris!L$82</f>
        <v>P02</v>
      </c>
      <c r="M383" s="1" t="str">
        <f>CONCATENATE(tblCong[[#This Row],[seketCode]],"-",tblCong[[#This Row],[pCode]])</f>
        <v>D02-S04-P02</v>
      </c>
      <c r="N383" s="1" t="str">
        <f>Paris!M$82</f>
        <v>Afa</v>
      </c>
      <c r="O383" s="1" t="s">
        <v>569</v>
      </c>
      <c r="P383" s="1" t="s">
        <v>931</v>
      </c>
    </row>
    <row r="384" spans="6:16" x14ac:dyDescent="0.35">
      <c r="F384" s="1" t="str">
        <f>CONCATENATE(tblCong[[#This Row],[parishCode]],"-",tblCong[[#This Row],[kCode]])</f>
        <v>D02-S04-P02-K03</v>
      </c>
      <c r="G384" s="1" t="str">
        <f>Distrik!F$6</f>
        <v>D02</v>
      </c>
      <c r="H384" s="1" t="str">
        <f>VLOOKUP(tblCong[[#This Row],[distCode]],tblDistrict[#All],2)</f>
        <v>Jabem</v>
      </c>
      <c r="I384" s="1" t="str">
        <f>Seket!I$16</f>
        <v>S04</v>
      </c>
      <c r="J384" s="1" t="str">
        <f>CONCATENATE(tblCong[[#This Row],[distCode]],"-",tblCong[[#This Row],[sCode]])</f>
        <v>D02-S04</v>
      </c>
      <c r="K384" s="1" t="str">
        <f>VLOOKUP(tblCong[[#This Row],[seketCode]],tblSeket[#All],5,FALSE)</f>
        <v>Kaiapit</v>
      </c>
      <c r="L384" s="1" t="str">
        <f>Paris!L$82</f>
        <v>P02</v>
      </c>
      <c r="M384" s="1" t="str">
        <f>CONCATENATE(tblCong[[#This Row],[seketCode]],"-",tblCong[[#This Row],[pCode]])</f>
        <v>D02-S04-P02</v>
      </c>
      <c r="N384" s="1" t="str">
        <f>Paris!M$82</f>
        <v>Afa</v>
      </c>
      <c r="O384" s="1" t="s">
        <v>571</v>
      </c>
      <c r="P384" s="1" t="s">
        <v>932</v>
      </c>
    </row>
    <row r="385" spans="6:16" x14ac:dyDescent="0.35">
      <c r="F385" s="1" t="str">
        <f>CONCATENATE(tblCong[[#This Row],[parishCode]],"-",tblCong[[#This Row],[kCode]])</f>
        <v>D02-S04-P02-K04</v>
      </c>
      <c r="G385" s="1" t="str">
        <f>Distrik!F$6</f>
        <v>D02</v>
      </c>
      <c r="H385" s="1" t="str">
        <f>VLOOKUP(tblCong[[#This Row],[distCode]],tblDistrict[#All],2)</f>
        <v>Jabem</v>
      </c>
      <c r="I385" s="1" t="str">
        <f>Seket!I$16</f>
        <v>S04</v>
      </c>
      <c r="J385" s="1" t="str">
        <f>CONCATENATE(tblCong[[#This Row],[distCode]],"-",tblCong[[#This Row],[sCode]])</f>
        <v>D02-S04</v>
      </c>
      <c r="K385" s="1" t="str">
        <f>VLOOKUP(tblCong[[#This Row],[seketCode]],tblSeket[#All],5,FALSE)</f>
        <v>Kaiapit</v>
      </c>
      <c r="L385" s="1" t="str">
        <f>Paris!L$82</f>
        <v>P02</v>
      </c>
      <c r="M385" s="1" t="str">
        <f>CONCATENATE(tblCong[[#This Row],[seketCode]],"-",tblCong[[#This Row],[pCode]])</f>
        <v>D02-S04-P02</v>
      </c>
      <c r="N385" s="1" t="str">
        <f>Paris!M$82</f>
        <v>Afa</v>
      </c>
      <c r="O385" s="1" t="s">
        <v>573</v>
      </c>
      <c r="P385" s="1" t="s">
        <v>933</v>
      </c>
    </row>
    <row r="386" spans="6:16" x14ac:dyDescent="0.35">
      <c r="F386" s="1" t="str">
        <f>CONCATENATE(tblCong[[#This Row],[parishCode]],"-",tblCong[[#This Row],[kCode]])</f>
        <v>D02-S04-P02-K05</v>
      </c>
      <c r="G386" s="1" t="str">
        <f>Distrik!F$6</f>
        <v>D02</v>
      </c>
      <c r="H386" s="1" t="str">
        <f>VLOOKUP(tblCong[[#This Row],[distCode]],tblDistrict[#All],2)</f>
        <v>Jabem</v>
      </c>
      <c r="I386" s="1" t="str">
        <f>Seket!I$16</f>
        <v>S04</v>
      </c>
      <c r="J386" s="1" t="str">
        <f>CONCATENATE(tblCong[[#This Row],[distCode]],"-",tblCong[[#This Row],[sCode]])</f>
        <v>D02-S04</v>
      </c>
      <c r="K386" s="1" t="str">
        <f>VLOOKUP(tblCong[[#This Row],[seketCode]],tblSeket[#All],5,FALSE)</f>
        <v>Kaiapit</v>
      </c>
      <c r="L386" s="1" t="str">
        <f>Paris!L$82</f>
        <v>P02</v>
      </c>
      <c r="M386" s="1" t="str">
        <f>CONCATENATE(tblCong[[#This Row],[seketCode]],"-",tblCong[[#This Row],[pCode]])</f>
        <v>D02-S04-P02</v>
      </c>
      <c r="N386" s="1" t="str">
        <f>Paris!M$82</f>
        <v>Afa</v>
      </c>
      <c r="O386" s="1" t="s">
        <v>575</v>
      </c>
      <c r="P386" s="1" t="s">
        <v>934</v>
      </c>
    </row>
    <row r="387" spans="6:16" x14ac:dyDescent="0.35">
      <c r="F387" s="1" t="str">
        <f>CONCATENATE(tblCong[[#This Row],[parishCode]],"-",tblCong[[#This Row],[kCode]])</f>
        <v>D02-S04-P02-K06</v>
      </c>
      <c r="G387" s="1" t="str">
        <f>Distrik!F$6</f>
        <v>D02</v>
      </c>
      <c r="H387" s="1" t="str">
        <f>VLOOKUP(tblCong[[#This Row],[distCode]],tblDistrict[#All],2)</f>
        <v>Jabem</v>
      </c>
      <c r="I387" s="1" t="str">
        <f>Seket!I$16</f>
        <v>S04</v>
      </c>
      <c r="J387" s="1" t="str">
        <f>CONCATENATE(tblCong[[#This Row],[distCode]],"-",tblCong[[#This Row],[sCode]])</f>
        <v>D02-S04</v>
      </c>
      <c r="K387" s="1" t="str">
        <f>VLOOKUP(tblCong[[#This Row],[seketCode]],tblSeket[#All],5,FALSE)</f>
        <v>Kaiapit</v>
      </c>
      <c r="L387" s="1" t="str">
        <f>Paris!L$82</f>
        <v>P02</v>
      </c>
      <c r="M387" s="1" t="str">
        <f>CONCATENATE(tblCong[[#This Row],[seketCode]],"-",tblCong[[#This Row],[pCode]])</f>
        <v>D02-S04-P02</v>
      </c>
      <c r="N387" s="1" t="str">
        <f>Paris!M$82</f>
        <v>Afa</v>
      </c>
      <c r="O387" s="1" t="s">
        <v>576</v>
      </c>
      <c r="P387" s="1" t="s">
        <v>935</v>
      </c>
    </row>
    <row r="388" spans="6:16" x14ac:dyDescent="0.35">
      <c r="F388" s="1" t="str">
        <f>CONCATENATE(tblCong[[#This Row],[parishCode]],"-",tblCong[[#This Row],[kCode]])</f>
        <v>D02-S04-P03-K01</v>
      </c>
      <c r="G388" s="1" t="str">
        <f>Distrik!F$6</f>
        <v>D02</v>
      </c>
      <c r="H388" s="1" t="str">
        <f>VLOOKUP(tblCong[[#This Row],[distCode]],tblDistrict[#All],2)</f>
        <v>Jabem</v>
      </c>
      <c r="I388" s="1" t="str">
        <f>Seket!I$16</f>
        <v>S04</v>
      </c>
      <c r="J388" s="1" t="str">
        <f>CONCATENATE(tblCong[[#This Row],[distCode]],"-",tblCong[[#This Row],[sCode]])</f>
        <v>D02-S04</v>
      </c>
      <c r="K388" s="1" t="str">
        <f>VLOOKUP(tblCong[[#This Row],[seketCode]],tblSeket[#All],5,FALSE)</f>
        <v>Kaiapit</v>
      </c>
      <c r="L388" s="1" t="str">
        <f>Paris!L$83</f>
        <v>P03</v>
      </c>
      <c r="M388" s="1" t="str">
        <f>CONCATENATE(tblCong[[#This Row],[seketCode]],"-",tblCong[[#This Row],[pCode]])</f>
        <v>D02-S04-P03</v>
      </c>
      <c r="N388" s="1" t="str">
        <f>Paris!M$83</f>
        <v>Kisim Bek (Umi)</v>
      </c>
      <c r="O388" s="1" t="s">
        <v>567</v>
      </c>
      <c r="P388" s="1" t="s">
        <v>936</v>
      </c>
    </row>
    <row r="389" spans="6:16" x14ac:dyDescent="0.35">
      <c r="F389" s="1" t="str">
        <f>CONCATENATE(tblCong[[#This Row],[parishCode]],"-",tblCong[[#This Row],[kCode]])</f>
        <v>D02-S04-P03-K02</v>
      </c>
      <c r="G389" s="1" t="str">
        <f>Distrik!F$6</f>
        <v>D02</v>
      </c>
      <c r="H389" s="1" t="str">
        <f>VLOOKUP(tblCong[[#This Row],[distCode]],tblDistrict[#All],2)</f>
        <v>Jabem</v>
      </c>
      <c r="I389" s="1" t="str">
        <f>Seket!I$16</f>
        <v>S04</v>
      </c>
      <c r="J389" s="1" t="str">
        <f>CONCATENATE(tblCong[[#This Row],[distCode]],"-",tblCong[[#This Row],[sCode]])</f>
        <v>D02-S04</v>
      </c>
      <c r="K389" s="1" t="str">
        <f>VLOOKUP(tblCong[[#This Row],[seketCode]],tblSeket[#All],5,FALSE)</f>
        <v>Kaiapit</v>
      </c>
      <c r="L389" s="1" t="str">
        <f>Paris!L$83</f>
        <v>P03</v>
      </c>
      <c r="M389" s="1" t="str">
        <f>CONCATENATE(tblCong[[#This Row],[seketCode]],"-",tblCong[[#This Row],[pCode]])</f>
        <v>D02-S04-P03</v>
      </c>
      <c r="N389" s="1" t="str">
        <f>Paris!M$83</f>
        <v>Kisim Bek (Umi)</v>
      </c>
      <c r="O389" s="1" t="s">
        <v>569</v>
      </c>
      <c r="P389" s="1" t="s">
        <v>937</v>
      </c>
    </row>
    <row r="390" spans="6:16" x14ac:dyDescent="0.35">
      <c r="F390" s="1" t="str">
        <f>CONCATENATE(tblCong[[#This Row],[parishCode]],"-",tblCong[[#This Row],[kCode]])</f>
        <v>D02-S04-P03-K03</v>
      </c>
      <c r="G390" s="1" t="str">
        <f>Distrik!F$6</f>
        <v>D02</v>
      </c>
      <c r="H390" s="1" t="str">
        <f>VLOOKUP(tblCong[[#This Row],[distCode]],tblDistrict[#All],2)</f>
        <v>Jabem</v>
      </c>
      <c r="I390" s="1" t="str">
        <f>Seket!I$16</f>
        <v>S04</v>
      </c>
      <c r="J390" s="1" t="str">
        <f>CONCATENATE(tblCong[[#This Row],[distCode]],"-",tblCong[[#This Row],[sCode]])</f>
        <v>D02-S04</v>
      </c>
      <c r="K390" s="1" t="str">
        <f>VLOOKUP(tblCong[[#This Row],[seketCode]],tblSeket[#All],5,FALSE)</f>
        <v>Kaiapit</v>
      </c>
      <c r="L390" s="1" t="str">
        <f>Paris!L$83</f>
        <v>P03</v>
      </c>
      <c r="M390" s="1" t="str">
        <f>CONCATENATE(tblCong[[#This Row],[seketCode]],"-",tblCong[[#This Row],[pCode]])</f>
        <v>D02-S04-P03</v>
      </c>
      <c r="N390" s="1" t="str">
        <f>Paris!M$83</f>
        <v>Kisim Bek (Umi)</v>
      </c>
      <c r="O390" s="1" t="s">
        <v>571</v>
      </c>
      <c r="P390" s="1" t="s">
        <v>938</v>
      </c>
    </row>
    <row r="391" spans="6:16" x14ac:dyDescent="0.35">
      <c r="F391" s="1" t="str">
        <f>CONCATENATE(tblCong[[#This Row],[parishCode]],"-",tblCong[[#This Row],[kCode]])</f>
        <v>D02-S04-P03-K04</v>
      </c>
      <c r="G391" s="1" t="str">
        <f>Distrik!F$6</f>
        <v>D02</v>
      </c>
      <c r="H391" s="1" t="str">
        <f>VLOOKUP(tblCong[[#This Row],[distCode]],tblDistrict[#All],2)</f>
        <v>Jabem</v>
      </c>
      <c r="I391" s="1" t="str">
        <f>Seket!I$16</f>
        <v>S04</v>
      </c>
      <c r="J391" s="1" t="str">
        <f>CONCATENATE(tblCong[[#This Row],[distCode]],"-",tblCong[[#This Row],[sCode]])</f>
        <v>D02-S04</v>
      </c>
      <c r="K391" s="1" t="str">
        <f>VLOOKUP(tblCong[[#This Row],[seketCode]],tblSeket[#All],5,FALSE)</f>
        <v>Kaiapit</v>
      </c>
      <c r="L391" s="1" t="str">
        <f>Paris!L$83</f>
        <v>P03</v>
      </c>
      <c r="M391" s="1" t="str">
        <f>CONCATENATE(tblCong[[#This Row],[seketCode]],"-",tblCong[[#This Row],[pCode]])</f>
        <v>D02-S04-P03</v>
      </c>
      <c r="N391" s="1" t="str">
        <f>Paris!M$83</f>
        <v>Kisim Bek (Umi)</v>
      </c>
      <c r="O391" s="1" t="s">
        <v>573</v>
      </c>
      <c r="P391" s="1" t="s">
        <v>939</v>
      </c>
    </row>
    <row r="392" spans="6:16" x14ac:dyDescent="0.35">
      <c r="F392" s="1" t="str">
        <f>CONCATENATE(tblCong[[#This Row],[parishCode]],"-",tblCong[[#This Row],[kCode]])</f>
        <v>D02-S04-P04-K01</v>
      </c>
      <c r="G392" s="1" t="str">
        <f>Distrik!F$6</f>
        <v>D02</v>
      </c>
      <c r="H392" s="1" t="str">
        <f>VLOOKUP(tblCong[[#This Row],[distCode]],tblDistrict[#All],2)</f>
        <v>Jabem</v>
      </c>
      <c r="I392" s="1" t="str">
        <f>Seket!I$16</f>
        <v>S04</v>
      </c>
      <c r="J392" s="1" t="str">
        <f>CONCATENATE(tblCong[[#This Row],[distCode]],"-",tblCong[[#This Row],[sCode]])</f>
        <v>D02-S04</v>
      </c>
      <c r="K392" s="1" t="str">
        <f>VLOOKUP(tblCong[[#This Row],[seketCode]],tblSeket[#All],5,FALSE)</f>
        <v>Kaiapit</v>
      </c>
      <c r="L392" s="1" t="str">
        <f>Paris!L$84</f>
        <v>P04</v>
      </c>
      <c r="M392" s="1" t="str">
        <f>CONCATENATE(tblCong[[#This Row],[seketCode]],"-",tblCong[[#This Row],[pCode]])</f>
        <v>D02-S04-P04</v>
      </c>
      <c r="N392" s="1" t="str">
        <f>Paris!M$84</f>
        <v>Yangkwan</v>
      </c>
      <c r="O392" s="1" t="s">
        <v>567</v>
      </c>
      <c r="P392" s="1" t="s">
        <v>940</v>
      </c>
    </row>
    <row r="393" spans="6:16" x14ac:dyDescent="0.35">
      <c r="F393" s="1" t="str">
        <f>CONCATENATE(tblCong[[#This Row],[parishCode]],"-",tblCong[[#This Row],[kCode]])</f>
        <v>D02-S04-P04-K02</v>
      </c>
      <c r="G393" s="1" t="str">
        <f>Distrik!F$6</f>
        <v>D02</v>
      </c>
      <c r="H393" s="1" t="str">
        <f>VLOOKUP(tblCong[[#This Row],[distCode]],tblDistrict[#All],2)</f>
        <v>Jabem</v>
      </c>
      <c r="I393" s="1" t="str">
        <f>Seket!I$16</f>
        <v>S04</v>
      </c>
      <c r="J393" s="1" t="str">
        <f>CONCATENATE(tblCong[[#This Row],[distCode]],"-",tblCong[[#This Row],[sCode]])</f>
        <v>D02-S04</v>
      </c>
      <c r="K393" s="1" t="str">
        <f>VLOOKUP(tblCong[[#This Row],[seketCode]],tblSeket[#All],5,FALSE)</f>
        <v>Kaiapit</v>
      </c>
      <c r="L393" s="1" t="str">
        <f>Paris!L$84</f>
        <v>P04</v>
      </c>
      <c r="M393" s="1" t="str">
        <f>CONCATENATE(tblCong[[#This Row],[seketCode]],"-",tblCong[[#This Row],[pCode]])</f>
        <v>D02-S04-P04</v>
      </c>
      <c r="N393" s="1" t="str">
        <f>Paris!M$84</f>
        <v>Yangkwan</v>
      </c>
      <c r="O393" s="1" t="s">
        <v>569</v>
      </c>
      <c r="P393" s="1" t="s">
        <v>941</v>
      </c>
    </row>
    <row r="394" spans="6:16" x14ac:dyDescent="0.35">
      <c r="F394" s="1" t="str">
        <f>CONCATENATE(tblCong[[#This Row],[parishCode]],"-",tblCong[[#This Row],[kCode]])</f>
        <v>D02-S04-P04-K03</v>
      </c>
      <c r="G394" s="1" t="str">
        <f>Distrik!F$6</f>
        <v>D02</v>
      </c>
      <c r="H394" s="1" t="str">
        <f>VLOOKUP(tblCong[[#This Row],[distCode]],tblDistrict[#All],2)</f>
        <v>Jabem</v>
      </c>
      <c r="I394" s="1" t="str">
        <f>Seket!I$16</f>
        <v>S04</v>
      </c>
      <c r="J394" s="1" t="str">
        <f>CONCATENATE(tblCong[[#This Row],[distCode]],"-",tblCong[[#This Row],[sCode]])</f>
        <v>D02-S04</v>
      </c>
      <c r="K394" s="1" t="str">
        <f>VLOOKUP(tblCong[[#This Row],[seketCode]],tblSeket[#All],5,FALSE)</f>
        <v>Kaiapit</v>
      </c>
      <c r="L394" s="1" t="str">
        <f>Paris!L$84</f>
        <v>P04</v>
      </c>
      <c r="M394" s="1" t="str">
        <f>CONCATENATE(tblCong[[#This Row],[seketCode]],"-",tblCong[[#This Row],[pCode]])</f>
        <v>D02-S04-P04</v>
      </c>
      <c r="N394" s="1" t="str">
        <f>Paris!M$84</f>
        <v>Yangkwan</v>
      </c>
      <c r="O394" s="1" t="s">
        <v>571</v>
      </c>
      <c r="P394" s="1" t="s">
        <v>942</v>
      </c>
    </row>
    <row r="395" spans="6:16" x14ac:dyDescent="0.35">
      <c r="F395" s="1" t="str">
        <f>CONCATENATE(tblCong[[#This Row],[parishCode]],"-",tblCong[[#This Row],[kCode]])</f>
        <v>D02-S04-P04-K04</v>
      </c>
      <c r="G395" s="1" t="str">
        <f>Distrik!F$6</f>
        <v>D02</v>
      </c>
      <c r="H395" s="1" t="str">
        <f>VLOOKUP(tblCong[[#This Row],[distCode]],tblDistrict[#All],2)</f>
        <v>Jabem</v>
      </c>
      <c r="I395" s="1" t="str">
        <f>Seket!I$16</f>
        <v>S04</v>
      </c>
      <c r="J395" s="1" t="str">
        <f>CONCATENATE(tblCong[[#This Row],[distCode]],"-",tblCong[[#This Row],[sCode]])</f>
        <v>D02-S04</v>
      </c>
      <c r="K395" s="1" t="str">
        <f>VLOOKUP(tblCong[[#This Row],[seketCode]],tblSeket[#All],5,FALSE)</f>
        <v>Kaiapit</v>
      </c>
      <c r="L395" s="1" t="str">
        <f>Paris!L$84</f>
        <v>P04</v>
      </c>
      <c r="M395" s="1" t="str">
        <f>CONCATENATE(tblCong[[#This Row],[seketCode]],"-",tblCong[[#This Row],[pCode]])</f>
        <v>D02-S04-P04</v>
      </c>
      <c r="N395" s="1" t="str">
        <f>Paris!M$84</f>
        <v>Yangkwan</v>
      </c>
      <c r="O395" s="1" t="s">
        <v>573</v>
      </c>
      <c r="P395" s="1" t="s">
        <v>943</v>
      </c>
    </row>
    <row r="396" spans="6:16" x14ac:dyDescent="0.35">
      <c r="F396" s="1" t="str">
        <f>CONCATENATE(tblCong[[#This Row],[parishCode]],"-",tblCong[[#This Row],[kCode]])</f>
        <v>D02-S04-P04-K05</v>
      </c>
      <c r="G396" s="1" t="str">
        <f>Distrik!F$6</f>
        <v>D02</v>
      </c>
      <c r="H396" s="1" t="str">
        <f>VLOOKUP(tblCong[[#This Row],[distCode]],tblDistrict[#All],2)</f>
        <v>Jabem</v>
      </c>
      <c r="I396" s="1" t="str">
        <f>Seket!I$16</f>
        <v>S04</v>
      </c>
      <c r="J396" s="1" t="str">
        <f>CONCATENATE(tblCong[[#This Row],[distCode]],"-",tblCong[[#This Row],[sCode]])</f>
        <v>D02-S04</v>
      </c>
      <c r="K396" s="1" t="str">
        <f>VLOOKUP(tblCong[[#This Row],[seketCode]],tblSeket[#All],5,FALSE)</f>
        <v>Kaiapit</v>
      </c>
      <c r="L396" s="1" t="str">
        <f>Paris!L$84</f>
        <v>P04</v>
      </c>
      <c r="M396" s="1" t="str">
        <f>CONCATENATE(tblCong[[#This Row],[seketCode]],"-",tblCong[[#This Row],[pCode]])</f>
        <v>D02-S04-P04</v>
      </c>
      <c r="N396" s="1" t="str">
        <f>Paris!M$84</f>
        <v>Yangkwan</v>
      </c>
      <c r="O396" s="1" t="s">
        <v>575</v>
      </c>
      <c r="P396" s="1" t="s">
        <v>944</v>
      </c>
    </row>
    <row r="397" spans="6:16" x14ac:dyDescent="0.35">
      <c r="F397" s="1" t="str">
        <f>CONCATENATE(tblCong[[#This Row],[parishCode]],"-",tblCong[[#This Row],[kCode]])</f>
        <v>D02-S04-P05-K01</v>
      </c>
      <c r="G397" s="1" t="str">
        <f>Distrik!F$6</f>
        <v>D02</v>
      </c>
      <c r="H397" s="1" t="str">
        <f>VLOOKUP(tblCong[[#This Row],[distCode]],tblDistrict[#All],2)</f>
        <v>Jabem</v>
      </c>
      <c r="I397" s="1" t="str">
        <f>Seket!I$16</f>
        <v>S04</v>
      </c>
      <c r="J397" s="1" t="str">
        <f>CONCATENATE(tblCong[[#This Row],[distCode]],"-",tblCong[[#This Row],[sCode]])</f>
        <v>D02-S04</v>
      </c>
      <c r="K397" s="1" t="str">
        <f>VLOOKUP(tblCong[[#This Row],[seketCode]],tblSeket[#All],5,FALSE)</f>
        <v>Kaiapit</v>
      </c>
      <c r="L397" s="1" t="str">
        <f>Paris!L$85</f>
        <v>P05</v>
      </c>
      <c r="M397" s="1" t="str">
        <f>CONCATENATE(tblCong[[#This Row],[seketCode]],"-",tblCong[[#This Row],[pCode]])</f>
        <v>D02-S04-P05</v>
      </c>
      <c r="N397" s="1" t="str">
        <f>Paris!M$85</f>
        <v>St. Ketulam (Yawa)</v>
      </c>
      <c r="O397" s="1" t="s">
        <v>567</v>
      </c>
      <c r="P397" s="1" t="s">
        <v>945</v>
      </c>
    </row>
    <row r="398" spans="6:16" x14ac:dyDescent="0.35">
      <c r="F398" s="1" t="str">
        <f>CONCATENATE(tblCong[[#This Row],[parishCode]],"-",tblCong[[#This Row],[kCode]])</f>
        <v>D02-S04-P05-K02</v>
      </c>
      <c r="G398" s="1" t="str">
        <f>Distrik!F$6</f>
        <v>D02</v>
      </c>
      <c r="H398" s="1" t="str">
        <f>VLOOKUP(tblCong[[#This Row],[distCode]],tblDistrict[#All],2)</f>
        <v>Jabem</v>
      </c>
      <c r="I398" s="1" t="str">
        <f>Seket!I$16</f>
        <v>S04</v>
      </c>
      <c r="J398" s="1" t="str">
        <f>CONCATENATE(tblCong[[#This Row],[distCode]],"-",tblCong[[#This Row],[sCode]])</f>
        <v>D02-S04</v>
      </c>
      <c r="K398" s="1" t="str">
        <f>VLOOKUP(tblCong[[#This Row],[seketCode]],tblSeket[#All],5,FALSE)</f>
        <v>Kaiapit</v>
      </c>
      <c r="L398" s="1" t="str">
        <f>Paris!L$85</f>
        <v>P05</v>
      </c>
      <c r="M398" s="1" t="str">
        <f>CONCATENATE(tblCong[[#This Row],[seketCode]],"-",tblCong[[#This Row],[pCode]])</f>
        <v>D02-S04-P05</v>
      </c>
      <c r="N398" s="1" t="str">
        <f>Paris!M$85</f>
        <v>St. Ketulam (Yawa)</v>
      </c>
      <c r="O398" s="1" t="s">
        <v>569</v>
      </c>
      <c r="P398" s="1" t="s">
        <v>946</v>
      </c>
    </row>
    <row r="399" spans="6:16" x14ac:dyDescent="0.35">
      <c r="F399" s="1" t="str">
        <f>CONCATENATE(tblCong[[#This Row],[parishCode]],"-",tblCong[[#This Row],[kCode]])</f>
        <v>D02-S04-P05-K03</v>
      </c>
      <c r="G399" s="1" t="str">
        <f>Distrik!F$6</f>
        <v>D02</v>
      </c>
      <c r="H399" s="1" t="str">
        <f>VLOOKUP(tblCong[[#This Row],[distCode]],tblDistrict[#All],2)</f>
        <v>Jabem</v>
      </c>
      <c r="I399" s="1" t="str">
        <f>Seket!I$16</f>
        <v>S04</v>
      </c>
      <c r="J399" s="1" t="str">
        <f>CONCATENATE(tblCong[[#This Row],[distCode]],"-",tblCong[[#This Row],[sCode]])</f>
        <v>D02-S04</v>
      </c>
      <c r="K399" s="1" t="str">
        <f>VLOOKUP(tblCong[[#This Row],[seketCode]],tblSeket[#All],5,FALSE)</f>
        <v>Kaiapit</v>
      </c>
      <c r="L399" s="1" t="str">
        <f>Paris!L$85</f>
        <v>P05</v>
      </c>
      <c r="M399" s="1" t="str">
        <f>CONCATENATE(tblCong[[#This Row],[seketCode]],"-",tblCong[[#This Row],[pCode]])</f>
        <v>D02-S04-P05</v>
      </c>
      <c r="N399" s="1" t="str">
        <f>Paris!M$85</f>
        <v>St. Ketulam (Yawa)</v>
      </c>
      <c r="O399" s="1" t="s">
        <v>571</v>
      </c>
      <c r="P399" s="1" t="s">
        <v>947</v>
      </c>
    </row>
    <row r="400" spans="6:16" x14ac:dyDescent="0.35">
      <c r="F400" s="1" t="str">
        <f>CONCATENATE(tblCong[[#This Row],[parishCode]],"-",tblCong[[#This Row],[kCode]])</f>
        <v>D02-S04-P05-K04</v>
      </c>
      <c r="G400" s="1" t="str">
        <f>Distrik!F$6</f>
        <v>D02</v>
      </c>
      <c r="H400" s="1" t="str">
        <f>VLOOKUP(tblCong[[#This Row],[distCode]],tblDistrict[#All],2)</f>
        <v>Jabem</v>
      </c>
      <c r="I400" s="1" t="str">
        <f>Seket!I$16</f>
        <v>S04</v>
      </c>
      <c r="J400" s="1" t="str">
        <f>CONCATENATE(tblCong[[#This Row],[distCode]],"-",tblCong[[#This Row],[sCode]])</f>
        <v>D02-S04</v>
      </c>
      <c r="K400" s="1" t="str">
        <f>VLOOKUP(tblCong[[#This Row],[seketCode]],tblSeket[#All],5,FALSE)</f>
        <v>Kaiapit</v>
      </c>
      <c r="L400" s="1" t="str">
        <f>Paris!L$85</f>
        <v>P05</v>
      </c>
      <c r="M400" s="1" t="str">
        <f>CONCATENATE(tblCong[[#This Row],[seketCode]],"-",tblCong[[#This Row],[pCode]])</f>
        <v>D02-S04-P05</v>
      </c>
      <c r="N400" s="1" t="str">
        <f>Paris!M$85</f>
        <v>St. Ketulam (Yawa)</v>
      </c>
      <c r="O400" s="1" t="s">
        <v>573</v>
      </c>
      <c r="P400" s="1" t="s">
        <v>948</v>
      </c>
    </row>
    <row r="401" spans="6:16" x14ac:dyDescent="0.35">
      <c r="F401" s="1" t="str">
        <f>CONCATENATE(tblCong[[#This Row],[parishCode]],"-",tblCong[[#This Row],[kCode]])</f>
        <v>D02-S04-P05-K05</v>
      </c>
      <c r="G401" s="1" t="str">
        <f>Distrik!F$6</f>
        <v>D02</v>
      </c>
      <c r="H401" s="1" t="str">
        <f>VLOOKUP(tblCong[[#This Row],[distCode]],tblDistrict[#All],2)</f>
        <v>Jabem</v>
      </c>
      <c r="I401" s="1" t="str">
        <f>Seket!I$16</f>
        <v>S04</v>
      </c>
      <c r="J401" s="1" t="str">
        <f>CONCATENATE(tblCong[[#This Row],[distCode]],"-",tblCong[[#This Row],[sCode]])</f>
        <v>D02-S04</v>
      </c>
      <c r="K401" s="1" t="str">
        <f>VLOOKUP(tblCong[[#This Row],[seketCode]],tblSeket[#All],5,FALSE)</f>
        <v>Kaiapit</v>
      </c>
      <c r="L401" s="1" t="str">
        <f>Paris!L$85</f>
        <v>P05</v>
      </c>
      <c r="M401" s="1" t="str">
        <f>CONCATENATE(tblCong[[#This Row],[seketCode]],"-",tblCong[[#This Row],[pCode]])</f>
        <v>D02-S04-P05</v>
      </c>
      <c r="N401" s="1" t="str">
        <f>Paris!M$85</f>
        <v>St. Ketulam (Yawa)</v>
      </c>
      <c r="O401" s="1" t="s">
        <v>575</v>
      </c>
      <c r="P401" s="1" t="s">
        <v>949</v>
      </c>
    </row>
    <row r="402" spans="6:16" x14ac:dyDescent="0.35">
      <c r="F402" s="1" t="str">
        <f>CONCATENATE(tblCong[[#This Row],[parishCode]],"-",tblCong[[#This Row],[kCode]])</f>
        <v>D02-S04-P06-K01</v>
      </c>
      <c r="G402" s="1" t="str">
        <f>Distrik!F$6</f>
        <v>D02</v>
      </c>
      <c r="H402" s="1" t="str">
        <f>VLOOKUP(tblCong[[#This Row],[distCode]],tblDistrict[#All],2)</f>
        <v>Jabem</v>
      </c>
      <c r="I402" s="1" t="str">
        <f>Seket!I$16</f>
        <v>S04</v>
      </c>
      <c r="J402" s="1" t="str">
        <f>CONCATENATE(tblCong[[#This Row],[distCode]],"-",tblCong[[#This Row],[sCode]])</f>
        <v>D02-S04</v>
      </c>
      <c r="K402" s="1" t="str">
        <f>VLOOKUP(tblCong[[#This Row],[seketCode]],tblSeket[#All],5,FALSE)</f>
        <v>Kaiapit</v>
      </c>
      <c r="L402" s="1" t="str">
        <f>Paris!L$86</f>
        <v>P06</v>
      </c>
      <c r="M402" s="1" t="str">
        <f>CONCATENATE(tblCong[[#This Row],[seketCode]],"-",tblCong[[#This Row],[pCode]])</f>
        <v>D02-S04-P06</v>
      </c>
      <c r="N402" s="1" t="str">
        <f>Paris!M$86</f>
        <v>Yarus</v>
      </c>
      <c r="O402" s="1" t="s">
        <v>567</v>
      </c>
      <c r="P402" s="1" t="s">
        <v>950</v>
      </c>
    </row>
    <row r="403" spans="6:16" x14ac:dyDescent="0.35">
      <c r="F403" s="1" t="str">
        <f>CONCATENATE(tblCong[[#This Row],[parishCode]],"-",tblCong[[#This Row],[kCode]])</f>
        <v>D02-S04-P06-K02</v>
      </c>
      <c r="G403" s="1" t="str">
        <f>Distrik!F$6</f>
        <v>D02</v>
      </c>
      <c r="H403" s="1" t="str">
        <f>VLOOKUP(tblCong[[#This Row],[distCode]],tblDistrict[#All],2)</f>
        <v>Jabem</v>
      </c>
      <c r="I403" s="1" t="str">
        <f>Seket!I$16</f>
        <v>S04</v>
      </c>
      <c r="J403" s="1" t="str">
        <f>CONCATENATE(tblCong[[#This Row],[distCode]],"-",tblCong[[#This Row],[sCode]])</f>
        <v>D02-S04</v>
      </c>
      <c r="K403" s="1" t="str">
        <f>VLOOKUP(tblCong[[#This Row],[seketCode]],tblSeket[#All],5,FALSE)</f>
        <v>Kaiapit</v>
      </c>
      <c r="L403" s="1" t="str">
        <f>Paris!L$86</f>
        <v>P06</v>
      </c>
      <c r="M403" s="1" t="str">
        <f>CONCATENATE(tblCong[[#This Row],[seketCode]],"-",tblCong[[#This Row],[pCode]])</f>
        <v>D02-S04-P06</v>
      </c>
      <c r="N403" s="1" t="str">
        <f>Paris!M$86</f>
        <v>Yarus</v>
      </c>
      <c r="O403" s="1" t="s">
        <v>569</v>
      </c>
      <c r="P403" s="1" t="s">
        <v>951</v>
      </c>
    </row>
    <row r="404" spans="6:16" x14ac:dyDescent="0.35">
      <c r="F404" s="1" t="str">
        <f>CONCATENATE(tblCong[[#This Row],[parishCode]],"-",tblCong[[#This Row],[kCode]])</f>
        <v>D02-S04-P06-K03</v>
      </c>
      <c r="G404" s="1" t="str">
        <f>Distrik!F$6</f>
        <v>D02</v>
      </c>
      <c r="H404" s="1" t="str">
        <f>VLOOKUP(tblCong[[#This Row],[distCode]],tblDistrict[#All],2)</f>
        <v>Jabem</v>
      </c>
      <c r="I404" s="1" t="str">
        <f>Seket!I$16</f>
        <v>S04</v>
      </c>
      <c r="J404" s="1" t="str">
        <f>CONCATENATE(tblCong[[#This Row],[distCode]],"-",tblCong[[#This Row],[sCode]])</f>
        <v>D02-S04</v>
      </c>
      <c r="K404" s="1" t="str">
        <f>VLOOKUP(tblCong[[#This Row],[seketCode]],tblSeket[#All],5,FALSE)</f>
        <v>Kaiapit</v>
      </c>
      <c r="L404" s="1" t="str">
        <f>Paris!L$86</f>
        <v>P06</v>
      </c>
      <c r="M404" s="1" t="str">
        <f>CONCATENATE(tblCong[[#This Row],[seketCode]],"-",tblCong[[#This Row],[pCode]])</f>
        <v>D02-S04-P06</v>
      </c>
      <c r="N404" s="1" t="str">
        <f>Paris!M$86</f>
        <v>Yarus</v>
      </c>
      <c r="O404" s="1" t="s">
        <v>571</v>
      </c>
      <c r="P404" s="1" t="s">
        <v>952</v>
      </c>
    </row>
    <row r="405" spans="6:16" x14ac:dyDescent="0.35">
      <c r="F405" s="1" t="str">
        <f>CONCATENATE(tblCong[[#This Row],[parishCode]],"-",tblCong[[#This Row],[kCode]])</f>
        <v>D02-S04-P06-K04</v>
      </c>
      <c r="G405" s="1" t="str">
        <f>Distrik!F$6</f>
        <v>D02</v>
      </c>
      <c r="H405" s="1" t="str">
        <f>VLOOKUP(tblCong[[#This Row],[distCode]],tblDistrict[#All],2)</f>
        <v>Jabem</v>
      </c>
      <c r="I405" s="1" t="str">
        <f>Seket!I$16</f>
        <v>S04</v>
      </c>
      <c r="J405" s="1" t="str">
        <f>CONCATENATE(tblCong[[#This Row],[distCode]],"-",tblCong[[#This Row],[sCode]])</f>
        <v>D02-S04</v>
      </c>
      <c r="K405" s="1" t="str">
        <f>VLOOKUP(tblCong[[#This Row],[seketCode]],tblSeket[#All],5,FALSE)</f>
        <v>Kaiapit</v>
      </c>
      <c r="L405" s="1" t="str">
        <f>Paris!L$86</f>
        <v>P06</v>
      </c>
      <c r="M405" s="1" t="str">
        <f>CONCATENATE(tblCong[[#This Row],[seketCode]],"-",tblCong[[#This Row],[pCode]])</f>
        <v>D02-S04-P06</v>
      </c>
      <c r="N405" s="1" t="str">
        <f>Paris!M$86</f>
        <v>Yarus</v>
      </c>
      <c r="O405" s="1" t="s">
        <v>573</v>
      </c>
      <c r="P405" s="1" t="s">
        <v>953</v>
      </c>
    </row>
    <row r="406" spans="6:16" x14ac:dyDescent="0.35">
      <c r="F406" s="1" t="str">
        <f>CONCATENATE(tblCong[[#This Row],[parishCode]],"-",tblCong[[#This Row],[kCode]])</f>
        <v>D02-S04-P06-K05</v>
      </c>
      <c r="G406" s="1" t="str">
        <f>Distrik!F$6</f>
        <v>D02</v>
      </c>
      <c r="H406" s="1" t="str">
        <f>VLOOKUP(tblCong[[#This Row],[distCode]],tblDistrict[#All],2)</f>
        <v>Jabem</v>
      </c>
      <c r="I406" s="1" t="str">
        <f>Seket!I$16</f>
        <v>S04</v>
      </c>
      <c r="J406" s="1" t="str">
        <f>CONCATENATE(tblCong[[#This Row],[distCode]],"-",tblCong[[#This Row],[sCode]])</f>
        <v>D02-S04</v>
      </c>
      <c r="K406" s="1" t="str">
        <f>VLOOKUP(tblCong[[#This Row],[seketCode]],tblSeket[#All],5,FALSE)</f>
        <v>Kaiapit</v>
      </c>
      <c r="L406" s="1" t="str">
        <f>Paris!L$86</f>
        <v>P06</v>
      </c>
      <c r="M406" s="1" t="str">
        <f>CONCATENATE(tblCong[[#This Row],[seketCode]],"-",tblCong[[#This Row],[pCode]])</f>
        <v>D02-S04-P06</v>
      </c>
      <c r="N406" s="1" t="str">
        <f>Paris!M$86</f>
        <v>Yarus</v>
      </c>
      <c r="O406" s="1" t="s">
        <v>575</v>
      </c>
      <c r="P406" s="1" t="s">
        <v>954</v>
      </c>
    </row>
    <row r="407" spans="6:16" x14ac:dyDescent="0.35">
      <c r="F407" s="1" t="str">
        <f>CONCATENATE(tblCong[[#This Row],[parishCode]],"-",tblCong[[#This Row],[kCode]])</f>
        <v>D02-S04-P07-K01</v>
      </c>
      <c r="G407" s="1" t="str">
        <f>Distrik!F$6</f>
        <v>D02</v>
      </c>
      <c r="H407" s="1" t="str">
        <f>VLOOKUP(tblCong[[#This Row],[distCode]],tblDistrict[#All],2)</f>
        <v>Jabem</v>
      </c>
      <c r="I407" s="1" t="str">
        <f>Seket!I$16</f>
        <v>S04</v>
      </c>
      <c r="J407" s="1" t="str">
        <f>CONCATENATE(tblCong[[#This Row],[distCode]],"-",tblCong[[#This Row],[sCode]])</f>
        <v>D02-S04</v>
      </c>
      <c r="K407" s="1" t="str">
        <f>VLOOKUP(tblCong[[#This Row],[seketCode]],tblSeket[#All],5,FALSE)</f>
        <v>Kaiapit</v>
      </c>
      <c r="L407" s="1" t="str">
        <f>Paris!L$87</f>
        <v>P07</v>
      </c>
      <c r="M407" s="1" t="str">
        <f>CONCATENATE(tblCong[[#This Row],[seketCode]],"-",tblCong[[#This Row],[pCode]])</f>
        <v>D02-S04-P07</v>
      </c>
      <c r="N407" s="1" t="str">
        <f>Paris!M$87</f>
        <v>St. Josia</v>
      </c>
      <c r="O407" s="1" t="s">
        <v>567</v>
      </c>
      <c r="P407" s="1" t="s">
        <v>955</v>
      </c>
    </row>
    <row r="408" spans="6:16" x14ac:dyDescent="0.35">
      <c r="F408" s="1" t="str">
        <f>CONCATENATE(tblCong[[#This Row],[parishCode]],"-",tblCong[[#This Row],[kCode]])</f>
        <v>D02-S04-P07-K02</v>
      </c>
      <c r="G408" s="1" t="str">
        <f>Distrik!F$6</f>
        <v>D02</v>
      </c>
      <c r="H408" s="1" t="str">
        <f>VLOOKUP(tblCong[[#This Row],[distCode]],tblDistrict[#All],2)</f>
        <v>Jabem</v>
      </c>
      <c r="I408" s="1" t="str">
        <f>Seket!I$16</f>
        <v>S04</v>
      </c>
      <c r="J408" s="1" t="str">
        <f>CONCATENATE(tblCong[[#This Row],[distCode]],"-",tblCong[[#This Row],[sCode]])</f>
        <v>D02-S04</v>
      </c>
      <c r="K408" s="1" t="str">
        <f>VLOOKUP(tblCong[[#This Row],[seketCode]],tblSeket[#All],5,FALSE)</f>
        <v>Kaiapit</v>
      </c>
      <c r="L408" s="1" t="str">
        <f>Paris!L$87</f>
        <v>P07</v>
      </c>
      <c r="M408" s="1" t="str">
        <f>CONCATENATE(tblCong[[#This Row],[seketCode]],"-",tblCong[[#This Row],[pCode]])</f>
        <v>D02-S04-P07</v>
      </c>
      <c r="N408" s="1" t="str">
        <f>Paris!M$87</f>
        <v>St. Josia</v>
      </c>
      <c r="O408" s="1" t="s">
        <v>569</v>
      </c>
      <c r="P408" s="1" t="s">
        <v>956</v>
      </c>
    </row>
    <row r="409" spans="6:16" x14ac:dyDescent="0.35">
      <c r="F409" s="1" t="str">
        <f>CONCATENATE(tblCong[[#This Row],[parishCode]],"-",tblCong[[#This Row],[kCode]])</f>
        <v>D02-S04-P07-K03</v>
      </c>
      <c r="G409" s="1" t="str">
        <f>Distrik!F$6</f>
        <v>D02</v>
      </c>
      <c r="H409" s="1" t="str">
        <f>VLOOKUP(tblCong[[#This Row],[distCode]],tblDistrict[#All],2)</f>
        <v>Jabem</v>
      </c>
      <c r="I409" s="1" t="str">
        <f>Seket!I$16</f>
        <v>S04</v>
      </c>
      <c r="J409" s="1" t="str">
        <f>CONCATENATE(tblCong[[#This Row],[distCode]],"-",tblCong[[#This Row],[sCode]])</f>
        <v>D02-S04</v>
      </c>
      <c r="K409" s="1" t="str">
        <f>VLOOKUP(tblCong[[#This Row],[seketCode]],tblSeket[#All],5,FALSE)</f>
        <v>Kaiapit</v>
      </c>
      <c r="L409" s="1" t="str">
        <f>Paris!L$87</f>
        <v>P07</v>
      </c>
      <c r="M409" s="1" t="str">
        <f>CONCATENATE(tblCong[[#This Row],[seketCode]],"-",tblCong[[#This Row],[pCode]])</f>
        <v>D02-S04-P07</v>
      </c>
      <c r="N409" s="1" t="str">
        <f>Paris!M$87</f>
        <v>St. Josia</v>
      </c>
      <c r="O409" s="1" t="s">
        <v>571</v>
      </c>
      <c r="P409" s="1" t="s">
        <v>957</v>
      </c>
    </row>
    <row r="410" spans="6:16" x14ac:dyDescent="0.35">
      <c r="F410" s="1" t="str">
        <f>CONCATENATE(tblCong[[#This Row],[parishCode]],"-",tblCong[[#This Row],[kCode]])</f>
        <v>D02-S04-P07-K04</v>
      </c>
      <c r="G410" s="1" t="str">
        <f>Distrik!F$6</f>
        <v>D02</v>
      </c>
      <c r="H410" s="1" t="str">
        <f>VLOOKUP(tblCong[[#This Row],[distCode]],tblDistrict[#All],2)</f>
        <v>Jabem</v>
      </c>
      <c r="I410" s="1" t="str">
        <f>Seket!I$16</f>
        <v>S04</v>
      </c>
      <c r="J410" s="1" t="str">
        <f>CONCATENATE(tblCong[[#This Row],[distCode]],"-",tblCong[[#This Row],[sCode]])</f>
        <v>D02-S04</v>
      </c>
      <c r="K410" s="1" t="str">
        <f>VLOOKUP(tblCong[[#This Row],[seketCode]],tblSeket[#All],5,FALSE)</f>
        <v>Kaiapit</v>
      </c>
      <c r="L410" s="1" t="str">
        <f>Paris!L$87</f>
        <v>P07</v>
      </c>
      <c r="M410" s="1" t="str">
        <f>CONCATENATE(tblCong[[#This Row],[seketCode]],"-",tblCong[[#This Row],[pCode]])</f>
        <v>D02-S04-P07</v>
      </c>
      <c r="N410" s="1" t="str">
        <f>Paris!M$87</f>
        <v>St. Josia</v>
      </c>
      <c r="O410" s="1" t="s">
        <v>573</v>
      </c>
      <c r="P410" s="1" t="s">
        <v>958</v>
      </c>
    </row>
    <row r="411" spans="6:16" x14ac:dyDescent="0.35">
      <c r="F411" s="1" t="str">
        <f>CONCATENATE(tblCong[[#This Row],[parishCode]],"-",tblCong[[#This Row],[kCode]])</f>
        <v>D02-S04-P07-K05</v>
      </c>
      <c r="G411" s="1" t="str">
        <f>Distrik!F$6</f>
        <v>D02</v>
      </c>
      <c r="H411" s="1" t="str">
        <f>VLOOKUP(tblCong[[#This Row],[distCode]],tblDistrict[#All],2)</f>
        <v>Jabem</v>
      </c>
      <c r="I411" s="1" t="str">
        <f>Seket!I$16</f>
        <v>S04</v>
      </c>
      <c r="J411" s="1" t="str">
        <f>CONCATENATE(tblCong[[#This Row],[distCode]],"-",tblCong[[#This Row],[sCode]])</f>
        <v>D02-S04</v>
      </c>
      <c r="K411" s="1" t="str">
        <f>VLOOKUP(tblCong[[#This Row],[seketCode]],tblSeket[#All],5,FALSE)</f>
        <v>Kaiapit</v>
      </c>
      <c r="L411" s="1" t="str">
        <f>Paris!L$87</f>
        <v>P07</v>
      </c>
      <c r="M411" s="1" t="str">
        <f>CONCATENATE(tblCong[[#This Row],[seketCode]],"-",tblCong[[#This Row],[pCode]])</f>
        <v>D02-S04-P07</v>
      </c>
      <c r="N411" s="1" t="str">
        <f>Paris!M$87</f>
        <v>St. Josia</v>
      </c>
      <c r="O411" s="1" t="s">
        <v>575</v>
      </c>
      <c r="P411" s="1" t="s">
        <v>959</v>
      </c>
    </row>
    <row r="412" spans="6:16" x14ac:dyDescent="0.35">
      <c r="F412" s="1" t="str">
        <f>CONCATENATE(tblCong[[#This Row],[parishCode]],"-",tblCong[[#This Row],[kCode]])</f>
        <v>D02-S04-P08-K01</v>
      </c>
      <c r="G412" s="1" t="str">
        <f>Distrik!F$6</f>
        <v>D02</v>
      </c>
      <c r="H412" s="1" t="str">
        <f>VLOOKUP(tblCong[[#This Row],[distCode]],tblDistrict[#All],2)</f>
        <v>Jabem</v>
      </c>
      <c r="I412" s="1" t="str">
        <f>Seket!I$16</f>
        <v>S04</v>
      </c>
      <c r="J412" s="1" t="str">
        <f>CONCATENATE(tblCong[[#This Row],[distCode]],"-",tblCong[[#This Row],[sCode]])</f>
        <v>D02-S04</v>
      </c>
      <c r="K412" s="1" t="str">
        <f>VLOOKUP(tblCong[[#This Row],[seketCode]],tblSeket[#All],5,FALSE)</f>
        <v>Kaiapit</v>
      </c>
      <c r="L412" s="1" t="str">
        <f>Paris!L$88</f>
        <v>P08</v>
      </c>
      <c r="M412" s="1" t="str">
        <f>CONCATENATE(tblCong[[#This Row],[seketCode]],"-",tblCong[[#This Row],[pCode]])</f>
        <v>D02-S04-P08</v>
      </c>
      <c r="N412" s="1" t="str">
        <f>Paris!M$88</f>
        <v>Betel</v>
      </c>
      <c r="O412" s="1" t="s">
        <v>567</v>
      </c>
      <c r="P412" s="1" t="s">
        <v>960</v>
      </c>
    </row>
    <row r="413" spans="6:16" x14ac:dyDescent="0.35">
      <c r="F413" s="1" t="str">
        <f>CONCATENATE(tblCong[[#This Row],[parishCode]],"-",tblCong[[#This Row],[kCode]])</f>
        <v>D02-S04-P08-K02</v>
      </c>
      <c r="G413" s="1" t="str">
        <f>Distrik!F$6</f>
        <v>D02</v>
      </c>
      <c r="H413" s="1" t="str">
        <f>VLOOKUP(tblCong[[#This Row],[distCode]],tblDistrict[#All],2)</f>
        <v>Jabem</v>
      </c>
      <c r="I413" s="1" t="str">
        <f>Seket!I$16</f>
        <v>S04</v>
      </c>
      <c r="J413" s="1" t="str">
        <f>CONCATENATE(tblCong[[#This Row],[distCode]],"-",tblCong[[#This Row],[sCode]])</f>
        <v>D02-S04</v>
      </c>
      <c r="K413" s="1" t="str">
        <f>VLOOKUP(tblCong[[#This Row],[seketCode]],tblSeket[#All],5,FALSE)</f>
        <v>Kaiapit</v>
      </c>
      <c r="L413" s="1" t="str">
        <f>Paris!L$88</f>
        <v>P08</v>
      </c>
      <c r="M413" s="1" t="str">
        <f>CONCATENATE(tblCong[[#This Row],[seketCode]],"-",tblCong[[#This Row],[pCode]])</f>
        <v>D02-S04-P08</v>
      </c>
      <c r="N413" s="1" t="str">
        <f>Paris!M$88</f>
        <v>Betel</v>
      </c>
      <c r="O413" s="1" t="s">
        <v>569</v>
      </c>
      <c r="P413" s="1" t="s">
        <v>961</v>
      </c>
    </row>
    <row r="414" spans="6:16" x14ac:dyDescent="0.35">
      <c r="F414" s="1" t="str">
        <f>CONCATENATE(tblCong[[#This Row],[parishCode]],"-",tblCong[[#This Row],[kCode]])</f>
        <v>D02-S04-P08-K03</v>
      </c>
      <c r="G414" s="1" t="str">
        <f>Distrik!F$6</f>
        <v>D02</v>
      </c>
      <c r="H414" s="1" t="str">
        <f>VLOOKUP(tblCong[[#This Row],[distCode]],tblDistrict[#All],2)</f>
        <v>Jabem</v>
      </c>
      <c r="I414" s="1" t="str">
        <f>Seket!I$16</f>
        <v>S04</v>
      </c>
      <c r="J414" s="1" t="str">
        <f>CONCATENATE(tblCong[[#This Row],[distCode]],"-",tblCong[[#This Row],[sCode]])</f>
        <v>D02-S04</v>
      </c>
      <c r="K414" s="1" t="str">
        <f>VLOOKUP(tblCong[[#This Row],[seketCode]],tblSeket[#All],5,FALSE)</f>
        <v>Kaiapit</v>
      </c>
      <c r="L414" s="1" t="str">
        <f>Paris!L$88</f>
        <v>P08</v>
      </c>
      <c r="M414" s="1" t="str">
        <f>CONCATENATE(tblCong[[#This Row],[seketCode]],"-",tblCong[[#This Row],[pCode]])</f>
        <v>D02-S04-P08</v>
      </c>
      <c r="N414" s="1" t="str">
        <f>Paris!M$88</f>
        <v>Betel</v>
      </c>
      <c r="O414" s="1" t="s">
        <v>571</v>
      </c>
      <c r="P414" s="1" t="s">
        <v>962</v>
      </c>
    </row>
    <row r="415" spans="6:16" x14ac:dyDescent="0.35">
      <c r="F415" s="1" t="str">
        <f>CONCATENATE(tblCong[[#This Row],[parishCode]],"-",tblCong[[#This Row],[kCode]])</f>
        <v>D02-S04-P08-K04</v>
      </c>
      <c r="G415" s="1" t="str">
        <f>Distrik!F$6</f>
        <v>D02</v>
      </c>
      <c r="H415" s="1" t="str">
        <f>VLOOKUP(tblCong[[#This Row],[distCode]],tblDistrict[#All],2)</f>
        <v>Jabem</v>
      </c>
      <c r="I415" s="1" t="str">
        <f>Seket!I$16</f>
        <v>S04</v>
      </c>
      <c r="J415" s="1" t="str">
        <f>CONCATENATE(tblCong[[#This Row],[distCode]],"-",tblCong[[#This Row],[sCode]])</f>
        <v>D02-S04</v>
      </c>
      <c r="K415" s="1" t="str">
        <f>VLOOKUP(tblCong[[#This Row],[seketCode]],tblSeket[#All],5,FALSE)</f>
        <v>Kaiapit</v>
      </c>
      <c r="L415" s="1" t="str">
        <f>Paris!L$88</f>
        <v>P08</v>
      </c>
      <c r="M415" s="1" t="str">
        <f>CONCATENATE(tblCong[[#This Row],[seketCode]],"-",tblCong[[#This Row],[pCode]])</f>
        <v>D02-S04-P08</v>
      </c>
      <c r="N415" s="1" t="str">
        <f>Paris!M$88</f>
        <v>Betel</v>
      </c>
      <c r="O415" s="1" t="s">
        <v>573</v>
      </c>
      <c r="P415" s="1" t="s">
        <v>963</v>
      </c>
    </row>
    <row r="416" spans="6:16" x14ac:dyDescent="0.35">
      <c r="F416" s="1" t="str">
        <f>CONCATENATE(tblCong[[#This Row],[parishCode]],"-",tblCong[[#This Row],[kCode]])</f>
        <v>D02-S04-P08-K05</v>
      </c>
      <c r="G416" s="1" t="str">
        <f>Distrik!F$6</f>
        <v>D02</v>
      </c>
      <c r="H416" s="1" t="str">
        <f>VLOOKUP(tblCong[[#This Row],[distCode]],tblDistrict[#All],2)</f>
        <v>Jabem</v>
      </c>
      <c r="I416" s="1" t="str">
        <f>Seket!I$16</f>
        <v>S04</v>
      </c>
      <c r="J416" s="1" t="str">
        <f>CONCATENATE(tblCong[[#This Row],[distCode]],"-",tblCong[[#This Row],[sCode]])</f>
        <v>D02-S04</v>
      </c>
      <c r="K416" s="1" t="str">
        <f>VLOOKUP(tblCong[[#This Row],[seketCode]],tblSeket[#All],5,FALSE)</f>
        <v>Kaiapit</v>
      </c>
      <c r="L416" s="1" t="str">
        <f>Paris!L$88</f>
        <v>P08</v>
      </c>
      <c r="M416" s="1" t="str">
        <f>CONCATENATE(tblCong[[#This Row],[seketCode]],"-",tblCong[[#This Row],[pCode]])</f>
        <v>D02-S04-P08</v>
      </c>
      <c r="N416" s="1" t="str">
        <f>Paris!M$88</f>
        <v>Betel</v>
      </c>
      <c r="O416" s="1" t="s">
        <v>575</v>
      </c>
      <c r="P416" s="1" t="s">
        <v>964</v>
      </c>
    </row>
    <row r="417" spans="6:16" x14ac:dyDescent="0.35">
      <c r="F417" s="1" t="str">
        <f>CONCATENATE(tblCong[[#This Row],[parishCode]],"-",tblCong[[#This Row],[kCode]])</f>
        <v>D02-S04-P08-K06</v>
      </c>
      <c r="G417" s="1" t="str">
        <f>Distrik!F$6</f>
        <v>D02</v>
      </c>
      <c r="H417" s="1" t="str">
        <f>VLOOKUP(tblCong[[#This Row],[distCode]],tblDistrict[#All],2)</f>
        <v>Jabem</v>
      </c>
      <c r="I417" s="1" t="str">
        <f>Seket!I$16</f>
        <v>S04</v>
      </c>
      <c r="J417" s="1" t="str">
        <f>CONCATENATE(tblCong[[#This Row],[distCode]],"-",tblCong[[#This Row],[sCode]])</f>
        <v>D02-S04</v>
      </c>
      <c r="K417" s="1" t="str">
        <f>VLOOKUP(tblCong[[#This Row],[seketCode]],tblSeket[#All],5,FALSE)</f>
        <v>Kaiapit</v>
      </c>
      <c r="L417" s="1" t="str">
        <f>Paris!L$88</f>
        <v>P08</v>
      </c>
      <c r="M417" s="1" t="str">
        <f>CONCATENATE(tblCong[[#This Row],[seketCode]],"-",tblCong[[#This Row],[pCode]])</f>
        <v>D02-S04-P08</v>
      </c>
      <c r="N417" s="1" t="str">
        <f>Paris!M$88</f>
        <v>Betel</v>
      </c>
      <c r="O417" s="1" t="s">
        <v>576</v>
      </c>
      <c r="P417" s="1" t="s">
        <v>965</v>
      </c>
    </row>
    <row r="418" spans="6:16" x14ac:dyDescent="0.35">
      <c r="F418" s="1" t="str">
        <f>CONCATENATE(tblCong[[#This Row],[parishCode]],"-",tblCong[[#This Row],[kCode]])</f>
        <v>D02-S04-P08-K07</v>
      </c>
      <c r="G418" s="1" t="str">
        <f>Distrik!F$6</f>
        <v>D02</v>
      </c>
      <c r="H418" s="1" t="str">
        <f>VLOOKUP(tblCong[[#This Row],[distCode]],tblDistrict[#All],2)</f>
        <v>Jabem</v>
      </c>
      <c r="I418" s="1" t="str">
        <f>Seket!I$16</f>
        <v>S04</v>
      </c>
      <c r="J418" s="1" t="str">
        <f>CONCATENATE(tblCong[[#This Row],[distCode]],"-",tblCong[[#This Row],[sCode]])</f>
        <v>D02-S04</v>
      </c>
      <c r="K418" s="1" t="str">
        <f>VLOOKUP(tblCong[[#This Row],[seketCode]],tblSeket[#All],5,FALSE)</f>
        <v>Kaiapit</v>
      </c>
      <c r="L418" s="1" t="str">
        <f>Paris!L$88</f>
        <v>P08</v>
      </c>
      <c r="M418" s="1" t="str">
        <f>CONCATENATE(tblCong[[#This Row],[seketCode]],"-",tblCong[[#This Row],[pCode]])</f>
        <v>D02-S04-P08</v>
      </c>
      <c r="N418" s="1" t="str">
        <f>Paris!M$88</f>
        <v>Betel</v>
      </c>
      <c r="O418" s="1" t="s">
        <v>578</v>
      </c>
      <c r="P418" s="1" t="s">
        <v>966</v>
      </c>
    </row>
    <row r="419" spans="6:16" x14ac:dyDescent="0.35">
      <c r="F419" s="1" t="str">
        <f>CONCATENATE(tblCong[[#This Row],[parishCode]],"-",tblCong[[#This Row],[kCode]])</f>
        <v>D02-S04-P09-K01</v>
      </c>
      <c r="G419" s="1" t="str">
        <f>Distrik!F$6</f>
        <v>D02</v>
      </c>
      <c r="H419" s="1" t="str">
        <f>VLOOKUP(tblCong[[#This Row],[distCode]],tblDistrict[#All],2)</f>
        <v>Jabem</v>
      </c>
      <c r="I419" s="1" t="str">
        <f>Seket!I$16</f>
        <v>S04</v>
      </c>
      <c r="J419" s="1" t="str">
        <f>CONCATENATE(tblCong[[#This Row],[distCode]],"-",tblCong[[#This Row],[sCode]])</f>
        <v>D02-S04</v>
      </c>
      <c r="K419" s="1" t="str">
        <f>VLOOKUP(tblCong[[#This Row],[seketCode]],tblSeket[#All],5,FALSE)</f>
        <v>Kaiapit</v>
      </c>
      <c r="L419" s="1" t="str">
        <f>Paris!L$89</f>
        <v>P09</v>
      </c>
      <c r="M419" s="1" t="str">
        <f>CONCATENATE(tblCong[[#This Row],[seketCode]],"-",tblCong[[#This Row],[pCode]])</f>
        <v>D02-S04-P09</v>
      </c>
      <c r="N419" s="1" t="str">
        <f>Paris!M$89</f>
        <v>Yati</v>
      </c>
      <c r="O419" s="1" t="s">
        <v>567</v>
      </c>
      <c r="P419" s="1" t="s">
        <v>967</v>
      </c>
    </row>
    <row r="420" spans="6:16" x14ac:dyDescent="0.35">
      <c r="F420" s="1" t="str">
        <f>CONCATENATE(tblCong[[#This Row],[parishCode]],"-",tblCong[[#This Row],[kCode]])</f>
        <v>D02-S04-P09-K02</v>
      </c>
      <c r="G420" s="1" t="str">
        <f>Distrik!F$6</f>
        <v>D02</v>
      </c>
      <c r="H420" s="1" t="str">
        <f>VLOOKUP(tblCong[[#This Row],[distCode]],tblDistrict[#All],2)</f>
        <v>Jabem</v>
      </c>
      <c r="I420" s="1" t="str">
        <f>Seket!I$16</f>
        <v>S04</v>
      </c>
      <c r="J420" s="1" t="str">
        <f>CONCATENATE(tblCong[[#This Row],[distCode]],"-",tblCong[[#This Row],[sCode]])</f>
        <v>D02-S04</v>
      </c>
      <c r="K420" s="1" t="str">
        <f>VLOOKUP(tblCong[[#This Row],[seketCode]],tblSeket[#All],5,FALSE)</f>
        <v>Kaiapit</v>
      </c>
      <c r="L420" s="1" t="str">
        <f>Paris!L$89</f>
        <v>P09</v>
      </c>
      <c r="M420" s="1" t="str">
        <f>CONCATENATE(tblCong[[#This Row],[seketCode]],"-",tblCong[[#This Row],[pCode]])</f>
        <v>D02-S04-P09</v>
      </c>
      <c r="N420" s="1" t="str">
        <f>Paris!M$89</f>
        <v>Yati</v>
      </c>
      <c r="O420" s="1" t="s">
        <v>569</v>
      </c>
      <c r="P420" s="1" t="s">
        <v>968</v>
      </c>
    </row>
    <row r="421" spans="6:16" x14ac:dyDescent="0.35">
      <c r="F421" s="1" t="str">
        <f>CONCATENATE(tblCong[[#This Row],[parishCode]],"-",tblCong[[#This Row],[kCode]])</f>
        <v>D02-S04-P09-K03</v>
      </c>
      <c r="G421" s="1" t="str">
        <f>Distrik!F$6</f>
        <v>D02</v>
      </c>
      <c r="H421" s="1" t="str">
        <f>VLOOKUP(tblCong[[#This Row],[distCode]],tblDistrict[#All],2)</f>
        <v>Jabem</v>
      </c>
      <c r="I421" s="1" t="str">
        <f>Seket!I$16</f>
        <v>S04</v>
      </c>
      <c r="J421" s="1" t="str">
        <f>CONCATENATE(tblCong[[#This Row],[distCode]],"-",tblCong[[#This Row],[sCode]])</f>
        <v>D02-S04</v>
      </c>
      <c r="K421" s="1" t="str">
        <f>VLOOKUP(tblCong[[#This Row],[seketCode]],tblSeket[#All],5,FALSE)</f>
        <v>Kaiapit</v>
      </c>
      <c r="L421" s="1" t="str">
        <f>Paris!L$89</f>
        <v>P09</v>
      </c>
      <c r="M421" s="1" t="str">
        <f>CONCATENATE(tblCong[[#This Row],[seketCode]],"-",tblCong[[#This Row],[pCode]])</f>
        <v>D02-S04-P09</v>
      </c>
      <c r="N421" s="1" t="str">
        <f>Paris!M$89</f>
        <v>Yati</v>
      </c>
      <c r="O421" s="1" t="s">
        <v>571</v>
      </c>
      <c r="P421" s="1" t="s">
        <v>969</v>
      </c>
    </row>
    <row r="422" spans="6:16" x14ac:dyDescent="0.35">
      <c r="F422" s="1" t="str">
        <f>CONCATENATE(tblCong[[#This Row],[parishCode]],"-",tblCong[[#This Row],[kCode]])</f>
        <v>D02-S04-P09-K04</v>
      </c>
      <c r="G422" s="1" t="str">
        <f>Distrik!F$6</f>
        <v>D02</v>
      </c>
      <c r="H422" s="1" t="str">
        <f>VLOOKUP(tblCong[[#This Row],[distCode]],tblDistrict[#All],2)</f>
        <v>Jabem</v>
      </c>
      <c r="I422" s="1" t="str">
        <f>Seket!I$16</f>
        <v>S04</v>
      </c>
      <c r="J422" s="1" t="str">
        <f>CONCATENATE(tblCong[[#This Row],[distCode]],"-",tblCong[[#This Row],[sCode]])</f>
        <v>D02-S04</v>
      </c>
      <c r="K422" s="1" t="str">
        <f>VLOOKUP(tblCong[[#This Row],[seketCode]],tblSeket[#All],5,FALSE)</f>
        <v>Kaiapit</v>
      </c>
      <c r="L422" s="1" t="str">
        <f>Paris!L$89</f>
        <v>P09</v>
      </c>
      <c r="M422" s="1" t="str">
        <f>CONCATENATE(tblCong[[#This Row],[seketCode]],"-",tblCong[[#This Row],[pCode]])</f>
        <v>D02-S04-P09</v>
      </c>
      <c r="N422" s="1" t="str">
        <f>Paris!M$89</f>
        <v>Yati</v>
      </c>
      <c r="O422" s="1" t="s">
        <v>573</v>
      </c>
      <c r="P422" s="1" t="s">
        <v>970</v>
      </c>
    </row>
    <row r="423" spans="6:16" x14ac:dyDescent="0.35">
      <c r="F423" s="1" t="str">
        <f>CONCATENATE(tblCong[[#This Row],[parishCode]],"-",tblCong[[#This Row],[kCode]])</f>
        <v>D02-S04-P09-K05</v>
      </c>
      <c r="G423" s="1" t="str">
        <f>Distrik!F$6</f>
        <v>D02</v>
      </c>
      <c r="H423" s="1" t="str">
        <f>VLOOKUP(tblCong[[#This Row],[distCode]],tblDistrict[#All],2)</f>
        <v>Jabem</v>
      </c>
      <c r="I423" s="1" t="str">
        <f>Seket!I$16</f>
        <v>S04</v>
      </c>
      <c r="J423" s="1" t="str">
        <f>CONCATENATE(tblCong[[#This Row],[distCode]],"-",tblCong[[#This Row],[sCode]])</f>
        <v>D02-S04</v>
      </c>
      <c r="K423" s="1" t="str">
        <f>VLOOKUP(tblCong[[#This Row],[seketCode]],tblSeket[#All],5,FALSE)</f>
        <v>Kaiapit</v>
      </c>
      <c r="L423" s="1" t="str">
        <f>Paris!L$89</f>
        <v>P09</v>
      </c>
      <c r="M423" s="1" t="str">
        <f>CONCATENATE(tblCong[[#This Row],[seketCode]],"-",tblCong[[#This Row],[pCode]])</f>
        <v>D02-S04-P09</v>
      </c>
      <c r="N423" s="1" t="str">
        <f>Paris!M$89</f>
        <v>Yati</v>
      </c>
      <c r="O423" s="1" t="s">
        <v>575</v>
      </c>
      <c r="P423" s="1" t="s">
        <v>971</v>
      </c>
    </row>
    <row r="424" spans="6:16" x14ac:dyDescent="0.35">
      <c r="F424" s="1" t="str">
        <f>CONCATENATE(tblCong[[#This Row],[parishCode]],"-",tblCong[[#This Row],[kCode]])</f>
        <v>D02-S04-P09-K06</v>
      </c>
      <c r="G424" s="1" t="str">
        <f>Distrik!F$6</f>
        <v>D02</v>
      </c>
      <c r="H424" s="1" t="str">
        <f>VLOOKUP(tblCong[[#This Row],[distCode]],tblDistrict[#All],2)</f>
        <v>Jabem</v>
      </c>
      <c r="I424" s="1" t="str">
        <f>Seket!I$16</f>
        <v>S04</v>
      </c>
      <c r="J424" s="1" t="str">
        <f>CONCATENATE(tblCong[[#This Row],[distCode]],"-",tblCong[[#This Row],[sCode]])</f>
        <v>D02-S04</v>
      </c>
      <c r="K424" s="1" t="str">
        <f>VLOOKUP(tblCong[[#This Row],[seketCode]],tblSeket[#All],5,FALSE)</f>
        <v>Kaiapit</v>
      </c>
      <c r="L424" s="1" t="str">
        <f>Paris!L$89</f>
        <v>P09</v>
      </c>
      <c r="M424" s="1" t="str">
        <f>CONCATENATE(tblCong[[#This Row],[seketCode]],"-",tblCong[[#This Row],[pCode]])</f>
        <v>D02-S04-P09</v>
      </c>
      <c r="N424" s="1" t="str">
        <f>Paris!M$89</f>
        <v>Yati</v>
      </c>
      <c r="O424" s="1" t="s">
        <v>576</v>
      </c>
      <c r="P424" s="1" t="s">
        <v>972</v>
      </c>
    </row>
    <row r="425" spans="6:16" x14ac:dyDescent="0.35">
      <c r="F425" s="1" t="str">
        <f>CONCATENATE(tblCong[[#This Row],[parishCode]],"-",tblCong[[#This Row],[kCode]])</f>
        <v>D02-S04-P09-K07</v>
      </c>
      <c r="G425" s="1" t="str">
        <f>Distrik!F$6</f>
        <v>D02</v>
      </c>
      <c r="H425" s="1" t="str">
        <f>VLOOKUP(tblCong[[#This Row],[distCode]],tblDistrict[#All],2)</f>
        <v>Jabem</v>
      </c>
      <c r="I425" s="1" t="str">
        <f>Seket!I$16</f>
        <v>S04</v>
      </c>
      <c r="J425" s="1" t="str">
        <f>CONCATENATE(tblCong[[#This Row],[distCode]],"-",tblCong[[#This Row],[sCode]])</f>
        <v>D02-S04</v>
      </c>
      <c r="K425" s="1" t="str">
        <f>VLOOKUP(tblCong[[#This Row],[seketCode]],tblSeket[#All],5,FALSE)</f>
        <v>Kaiapit</v>
      </c>
      <c r="L425" s="1" t="str">
        <f>Paris!L$89</f>
        <v>P09</v>
      </c>
      <c r="M425" s="1" t="str">
        <f>CONCATENATE(tblCong[[#This Row],[seketCode]],"-",tblCong[[#This Row],[pCode]])</f>
        <v>D02-S04-P09</v>
      </c>
      <c r="N425" s="1" t="str">
        <f>Paris!M$89</f>
        <v>Yati</v>
      </c>
      <c r="O425" s="1" t="s">
        <v>578</v>
      </c>
      <c r="P425" s="1" t="s">
        <v>973</v>
      </c>
    </row>
    <row r="426" spans="6:16" x14ac:dyDescent="0.35">
      <c r="F426" s="1" t="str">
        <f>CONCATENATE(tblCong[[#This Row],[parishCode]],"-",tblCong[[#This Row],[kCode]])</f>
        <v>D02-S04-P10-K01</v>
      </c>
      <c r="G426" s="1" t="str">
        <f>Distrik!F$6</f>
        <v>D02</v>
      </c>
      <c r="H426" s="1" t="str">
        <f>VLOOKUP(tblCong[[#This Row],[distCode]],tblDistrict[#All],2)</f>
        <v>Jabem</v>
      </c>
      <c r="I426" s="1" t="str">
        <f>Seket!I$16</f>
        <v>S04</v>
      </c>
      <c r="J426" s="1" t="str">
        <f>CONCATENATE(tblCong[[#This Row],[distCode]],"-",tblCong[[#This Row],[sCode]])</f>
        <v>D02-S04</v>
      </c>
      <c r="K426" s="1" t="str">
        <f>VLOOKUP(tblCong[[#This Row],[seketCode]],tblSeket[#All],5,FALSE)</f>
        <v>Kaiapit</v>
      </c>
      <c r="L426" s="1" t="str">
        <f>Paris!L$90</f>
        <v>P10</v>
      </c>
      <c r="M426" s="1" t="str">
        <f>CONCATENATE(tblCong[[#This Row],[seketCode]],"-",tblCong[[#This Row],[pCode]])</f>
        <v>D02-S04-P10</v>
      </c>
      <c r="N426" s="1" t="str">
        <f>Paris!M$90</f>
        <v>Gama</v>
      </c>
      <c r="O426" s="1" t="s">
        <v>567</v>
      </c>
      <c r="P426" s="1" t="s">
        <v>974</v>
      </c>
    </row>
    <row r="427" spans="6:16" x14ac:dyDescent="0.35">
      <c r="F427" s="1" t="str">
        <f>CONCATENATE(tblCong[[#This Row],[parishCode]],"-",tblCong[[#This Row],[kCode]])</f>
        <v>D02-S04-P10-K02</v>
      </c>
      <c r="G427" s="1" t="str">
        <f>Distrik!F$6</f>
        <v>D02</v>
      </c>
      <c r="H427" s="1" t="str">
        <f>VLOOKUP(tblCong[[#This Row],[distCode]],tblDistrict[#All],2)</f>
        <v>Jabem</v>
      </c>
      <c r="I427" s="1" t="str">
        <f>Seket!I$16</f>
        <v>S04</v>
      </c>
      <c r="J427" s="1" t="str">
        <f>CONCATENATE(tblCong[[#This Row],[distCode]],"-",tblCong[[#This Row],[sCode]])</f>
        <v>D02-S04</v>
      </c>
      <c r="K427" s="1" t="str">
        <f>VLOOKUP(tblCong[[#This Row],[seketCode]],tblSeket[#All],5,FALSE)</f>
        <v>Kaiapit</v>
      </c>
      <c r="L427" s="1" t="str">
        <f>Paris!L$90</f>
        <v>P10</v>
      </c>
      <c r="M427" s="1" t="str">
        <f>CONCATENATE(tblCong[[#This Row],[seketCode]],"-",tblCong[[#This Row],[pCode]])</f>
        <v>D02-S04-P10</v>
      </c>
      <c r="N427" s="1" t="str">
        <f>Paris!M$90</f>
        <v>Gama</v>
      </c>
      <c r="O427" s="1" t="s">
        <v>569</v>
      </c>
      <c r="P427" s="1" t="s">
        <v>975</v>
      </c>
    </row>
    <row r="428" spans="6:16" x14ac:dyDescent="0.35">
      <c r="F428" s="1" t="str">
        <f>CONCATENATE(tblCong[[#This Row],[parishCode]],"-",tblCong[[#This Row],[kCode]])</f>
        <v>D02-S04-P10-K03</v>
      </c>
      <c r="G428" s="1" t="str">
        <f>Distrik!F$6</f>
        <v>D02</v>
      </c>
      <c r="H428" s="1" t="str">
        <f>VLOOKUP(tblCong[[#This Row],[distCode]],tblDistrict[#All],2)</f>
        <v>Jabem</v>
      </c>
      <c r="I428" s="1" t="str">
        <f>Seket!I$16</f>
        <v>S04</v>
      </c>
      <c r="J428" s="1" t="str">
        <f>CONCATENATE(tblCong[[#This Row],[distCode]],"-",tblCong[[#This Row],[sCode]])</f>
        <v>D02-S04</v>
      </c>
      <c r="K428" s="1" t="str">
        <f>VLOOKUP(tblCong[[#This Row],[seketCode]],tblSeket[#All],5,FALSE)</f>
        <v>Kaiapit</v>
      </c>
      <c r="L428" s="1" t="str">
        <f>Paris!L$90</f>
        <v>P10</v>
      </c>
      <c r="M428" s="1" t="str">
        <f>CONCATENATE(tblCong[[#This Row],[seketCode]],"-",tblCong[[#This Row],[pCode]])</f>
        <v>D02-S04-P10</v>
      </c>
      <c r="N428" s="1" t="str">
        <f>Paris!M$90</f>
        <v>Gama</v>
      </c>
      <c r="O428" s="1" t="s">
        <v>571</v>
      </c>
      <c r="P428" s="1" t="s">
        <v>976</v>
      </c>
    </row>
    <row r="429" spans="6:16" x14ac:dyDescent="0.35">
      <c r="F429" s="1" t="str">
        <f>CONCATENATE(tblCong[[#This Row],[parishCode]],"-",tblCong[[#This Row],[kCode]])</f>
        <v>D02-S04-P10-K04</v>
      </c>
      <c r="G429" s="1" t="str">
        <f>Distrik!F$6</f>
        <v>D02</v>
      </c>
      <c r="H429" s="1" t="str">
        <f>VLOOKUP(tblCong[[#This Row],[distCode]],tblDistrict[#All],2)</f>
        <v>Jabem</v>
      </c>
      <c r="I429" s="1" t="str">
        <f>Seket!I$16</f>
        <v>S04</v>
      </c>
      <c r="J429" s="1" t="str">
        <f>CONCATENATE(tblCong[[#This Row],[distCode]],"-",tblCong[[#This Row],[sCode]])</f>
        <v>D02-S04</v>
      </c>
      <c r="K429" s="1" t="str">
        <f>VLOOKUP(tblCong[[#This Row],[seketCode]],tblSeket[#All],5,FALSE)</f>
        <v>Kaiapit</v>
      </c>
      <c r="L429" s="1" t="str">
        <f>Paris!L$90</f>
        <v>P10</v>
      </c>
      <c r="M429" s="1" t="str">
        <f>CONCATENATE(tblCong[[#This Row],[seketCode]],"-",tblCong[[#This Row],[pCode]])</f>
        <v>D02-S04-P10</v>
      </c>
      <c r="N429" s="1" t="str">
        <f>Paris!M$90</f>
        <v>Gama</v>
      </c>
      <c r="O429" s="1" t="s">
        <v>573</v>
      </c>
      <c r="P429" s="1" t="s">
        <v>977</v>
      </c>
    </row>
    <row r="430" spans="6:16" x14ac:dyDescent="0.35">
      <c r="F430" s="1" t="str">
        <f>CONCATENATE(tblCong[[#This Row],[parishCode]],"-",tblCong[[#This Row],[kCode]])</f>
        <v>D02-S04-P10-K05</v>
      </c>
      <c r="G430" s="1" t="str">
        <f>Distrik!F$6</f>
        <v>D02</v>
      </c>
      <c r="H430" s="1" t="str">
        <f>VLOOKUP(tblCong[[#This Row],[distCode]],tblDistrict[#All],2)</f>
        <v>Jabem</v>
      </c>
      <c r="I430" s="1" t="str">
        <f>Seket!I$16</f>
        <v>S04</v>
      </c>
      <c r="J430" s="1" t="str">
        <f>CONCATENATE(tblCong[[#This Row],[distCode]],"-",tblCong[[#This Row],[sCode]])</f>
        <v>D02-S04</v>
      </c>
      <c r="K430" s="1" t="str">
        <f>VLOOKUP(tblCong[[#This Row],[seketCode]],tblSeket[#All],5,FALSE)</f>
        <v>Kaiapit</v>
      </c>
      <c r="L430" s="1" t="str">
        <f>Paris!L$90</f>
        <v>P10</v>
      </c>
      <c r="M430" s="1" t="str">
        <f>CONCATENATE(tblCong[[#This Row],[seketCode]],"-",tblCong[[#This Row],[pCode]])</f>
        <v>D02-S04-P10</v>
      </c>
      <c r="N430" s="1" t="str">
        <f>Paris!M$90</f>
        <v>Gama</v>
      </c>
      <c r="O430" s="1" t="s">
        <v>575</v>
      </c>
      <c r="P430" s="1" t="s">
        <v>978</v>
      </c>
    </row>
    <row r="431" spans="6:16" x14ac:dyDescent="0.35">
      <c r="F431" s="1" t="str">
        <f>CONCATENATE(tblCong[[#This Row],[parishCode]],"-",tblCong[[#This Row],[kCode]])</f>
        <v>D02-S04-P10-K06</v>
      </c>
      <c r="G431" s="1" t="str">
        <f>Distrik!F$6</f>
        <v>D02</v>
      </c>
      <c r="H431" s="1" t="str">
        <f>VLOOKUP(tblCong[[#This Row],[distCode]],tblDistrict[#All],2)</f>
        <v>Jabem</v>
      </c>
      <c r="I431" s="1" t="str">
        <f>Seket!I$16</f>
        <v>S04</v>
      </c>
      <c r="J431" s="1" t="str">
        <f>CONCATENATE(tblCong[[#This Row],[distCode]],"-",tblCong[[#This Row],[sCode]])</f>
        <v>D02-S04</v>
      </c>
      <c r="K431" s="1" t="str">
        <f>VLOOKUP(tblCong[[#This Row],[seketCode]],tblSeket[#All],5,FALSE)</f>
        <v>Kaiapit</v>
      </c>
      <c r="L431" s="1" t="str">
        <f>Paris!L$90</f>
        <v>P10</v>
      </c>
      <c r="M431" s="1" t="str">
        <f>CONCATENATE(tblCong[[#This Row],[seketCode]],"-",tblCong[[#This Row],[pCode]])</f>
        <v>D02-S04-P10</v>
      </c>
      <c r="N431" s="1" t="str">
        <f>Paris!M$90</f>
        <v>Gama</v>
      </c>
      <c r="O431" s="1" t="s">
        <v>576</v>
      </c>
      <c r="P431" s="1" t="s">
        <v>979</v>
      </c>
    </row>
    <row r="432" spans="6:16" x14ac:dyDescent="0.35">
      <c r="F432" s="1" t="str">
        <f>CONCATENATE(tblCong[[#This Row],[parishCode]],"-",tblCong[[#This Row],[kCode]])</f>
        <v>D02-S04-P10-K07</v>
      </c>
      <c r="G432" s="1" t="str">
        <f>Distrik!F$6</f>
        <v>D02</v>
      </c>
      <c r="H432" s="1" t="str">
        <f>VLOOKUP(tblCong[[#This Row],[distCode]],tblDistrict[#All],2)</f>
        <v>Jabem</v>
      </c>
      <c r="I432" s="1" t="str">
        <f>Seket!I$16</f>
        <v>S04</v>
      </c>
      <c r="J432" s="1" t="str">
        <f>CONCATENATE(tblCong[[#This Row],[distCode]],"-",tblCong[[#This Row],[sCode]])</f>
        <v>D02-S04</v>
      </c>
      <c r="K432" s="1" t="str">
        <f>VLOOKUP(tblCong[[#This Row],[seketCode]],tblSeket[#All],5,FALSE)</f>
        <v>Kaiapit</v>
      </c>
      <c r="L432" s="1" t="str">
        <f>Paris!L$90</f>
        <v>P10</v>
      </c>
      <c r="M432" s="1" t="str">
        <f>CONCATENATE(tblCong[[#This Row],[seketCode]],"-",tblCong[[#This Row],[pCode]])</f>
        <v>D02-S04-P10</v>
      </c>
      <c r="N432" s="1" t="str">
        <f>Paris!M$90</f>
        <v>Gama</v>
      </c>
      <c r="O432" s="1" t="s">
        <v>578</v>
      </c>
      <c r="P432" s="1" t="s">
        <v>980</v>
      </c>
    </row>
    <row r="433" spans="6:16" x14ac:dyDescent="0.35">
      <c r="F433" s="1" t="str">
        <f>CONCATENATE(tblCong[[#This Row],[parishCode]],"-",tblCong[[#This Row],[kCode]])</f>
        <v>D02-S04-P11-K01</v>
      </c>
      <c r="G433" s="1" t="str">
        <f>Distrik!F$6</f>
        <v>D02</v>
      </c>
      <c r="H433" s="1" t="str">
        <f>VLOOKUP(tblCong[[#This Row],[distCode]],tblDistrict[#All],2)</f>
        <v>Jabem</v>
      </c>
      <c r="I433" s="1" t="str">
        <f>Seket!I$16</f>
        <v>S04</v>
      </c>
      <c r="J433" s="1" t="str">
        <f>CONCATENATE(tblCong[[#This Row],[distCode]],"-",tblCong[[#This Row],[sCode]])</f>
        <v>D02-S04</v>
      </c>
      <c r="K433" s="1" t="str">
        <f>VLOOKUP(tblCong[[#This Row],[seketCode]],tblSeket[#All],5,FALSE)</f>
        <v>Kaiapit</v>
      </c>
      <c r="L433" s="1" t="str">
        <f>Paris!L$91</f>
        <v>P11</v>
      </c>
      <c r="M433" s="1" t="str">
        <f>CONCATENATE(tblCong[[#This Row],[seketCode]],"-",tblCong[[#This Row],[pCode]])</f>
        <v>D02-S04-P11</v>
      </c>
      <c r="N433" s="1" t="str">
        <f>Paris!M$91</f>
        <v>Gugurup</v>
      </c>
      <c r="O433" s="1" t="s">
        <v>567</v>
      </c>
      <c r="P433" s="1" t="s">
        <v>981</v>
      </c>
    </row>
    <row r="434" spans="6:16" x14ac:dyDescent="0.35">
      <c r="F434" s="1" t="str">
        <f>CONCATENATE(tblCong[[#This Row],[parishCode]],"-",tblCong[[#This Row],[kCode]])</f>
        <v>D02-S04-P11-K02</v>
      </c>
      <c r="G434" s="1" t="str">
        <f>Distrik!F$6</f>
        <v>D02</v>
      </c>
      <c r="H434" s="1" t="str">
        <f>VLOOKUP(tblCong[[#This Row],[distCode]],tblDistrict[#All],2)</f>
        <v>Jabem</v>
      </c>
      <c r="I434" s="1" t="str">
        <f>Seket!I$16</f>
        <v>S04</v>
      </c>
      <c r="J434" s="1" t="str">
        <f>CONCATENATE(tblCong[[#This Row],[distCode]],"-",tblCong[[#This Row],[sCode]])</f>
        <v>D02-S04</v>
      </c>
      <c r="K434" s="1" t="str">
        <f>VLOOKUP(tblCong[[#This Row],[seketCode]],tblSeket[#All],5,FALSE)</f>
        <v>Kaiapit</v>
      </c>
      <c r="L434" s="1" t="str">
        <f>Paris!L$91</f>
        <v>P11</v>
      </c>
      <c r="M434" s="1" t="str">
        <f>CONCATENATE(tblCong[[#This Row],[seketCode]],"-",tblCong[[#This Row],[pCode]])</f>
        <v>D02-S04-P11</v>
      </c>
      <c r="N434" s="1" t="str">
        <f>Paris!M$91</f>
        <v>Gugurup</v>
      </c>
      <c r="O434" s="1" t="s">
        <v>569</v>
      </c>
      <c r="P434" s="1" t="s">
        <v>982</v>
      </c>
    </row>
    <row r="435" spans="6:16" x14ac:dyDescent="0.35">
      <c r="F435" s="1" t="str">
        <f>CONCATENATE(tblCong[[#This Row],[parishCode]],"-",tblCong[[#This Row],[kCode]])</f>
        <v>D02-S04-P11-K03</v>
      </c>
      <c r="G435" s="1" t="str">
        <f>Distrik!F$6</f>
        <v>D02</v>
      </c>
      <c r="H435" s="1" t="str">
        <f>VLOOKUP(tblCong[[#This Row],[distCode]],tblDistrict[#All],2)</f>
        <v>Jabem</v>
      </c>
      <c r="I435" s="1" t="str">
        <f>Seket!I$16</f>
        <v>S04</v>
      </c>
      <c r="J435" s="1" t="str">
        <f>CONCATENATE(tblCong[[#This Row],[distCode]],"-",tblCong[[#This Row],[sCode]])</f>
        <v>D02-S04</v>
      </c>
      <c r="K435" s="1" t="str">
        <f>VLOOKUP(tblCong[[#This Row],[seketCode]],tblSeket[#All],5,FALSE)</f>
        <v>Kaiapit</v>
      </c>
      <c r="L435" s="1" t="str">
        <f>Paris!L$91</f>
        <v>P11</v>
      </c>
      <c r="M435" s="1" t="str">
        <f>CONCATENATE(tblCong[[#This Row],[seketCode]],"-",tblCong[[#This Row],[pCode]])</f>
        <v>D02-S04-P11</v>
      </c>
      <c r="N435" s="1" t="str">
        <f>Paris!M$91</f>
        <v>Gugurup</v>
      </c>
      <c r="O435" s="1" t="s">
        <v>571</v>
      </c>
      <c r="P435" s="1" t="s">
        <v>983</v>
      </c>
    </row>
    <row r="436" spans="6:16" x14ac:dyDescent="0.35">
      <c r="F436" s="1" t="str">
        <f>CONCATENATE(tblCong[[#This Row],[parishCode]],"-",tblCong[[#This Row],[kCode]])</f>
        <v>D02-S04-P12-K01</v>
      </c>
      <c r="G436" s="1" t="str">
        <f>Distrik!F$6</f>
        <v>D02</v>
      </c>
      <c r="H436" s="1" t="str">
        <f>VLOOKUP(tblCong[[#This Row],[distCode]],tblDistrict[#All],2)</f>
        <v>Jabem</v>
      </c>
      <c r="I436" s="1" t="str">
        <f>Seket!I$16</f>
        <v>S04</v>
      </c>
      <c r="J436" s="1" t="str">
        <f>CONCATENATE(tblCong[[#This Row],[distCode]],"-",tblCong[[#This Row],[sCode]])</f>
        <v>D02-S04</v>
      </c>
      <c r="K436" s="1" t="str">
        <f>VLOOKUP(tblCong[[#This Row],[seketCode]],tblSeket[#All],5,FALSE)</f>
        <v>Kaiapit</v>
      </c>
      <c r="L436" s="1" t="str">
        <f>Paris!L$92</f>
        <v>P12</v>
      </c>
      <c r="M436" s="1" t="str">
        <f>CONCATENATE(tblCong[[#This Row],[seketCode]],"-",tblCong[[#This Row],[pCode]])</f>
        <v>D02-S04-P12</v>
      </c>
      <c r="N436" s="1" t="str">
        <f>Paris!M$92</f>
        <v>Guruf</v>
      </c>
      <c r="O436" s="1" t="s">
        <v>567</v>
      </c>
      <c r="P436" s="1" t="s">
        <v>984</v>
      </c>
    </row>
    <row r="437" spans="6:16" x14ac:dyDescent="0.35">
      <c r="F437" s="1" t="str">
        <f>CONCATENATE(tblCong[[#This Row],[parishCode]],"-",tblCong[[#This Row],[kCode]])</f>
        <v>D02-S04-P12-K02</v>
      </c>
      <c r="G437" s="1" t="str">
        <f>Distrik!F$6</f>
        <v>D02</v>
      </c>
      <c r="H437" s="1" t="str">
        <f>VLOOKUP(tblCong[[#This Row],[distCode]],tblDistrict[#All],2)</f>
        <v>Jabem</v>
      </c>
      <c r="I437" s="1" t="str">
        <f>Seket!I$16</f>
        <v>S04</v>
      </c>
      <c r="J437" s="1" t="str">
        <f>CONCATENATE(tblCong[[#This Row],[distCode]],"-",tblCong[[#This Row],[sCode]])</f>
        <v>D02-S04</v>
      </c>
      <c r="K437" s="1" t="str">
        <f>VLOOKUP(tblCong[[#This Row],[seketCode]],tblSeket[#All],5,FALSE)</f>
        <v>Kaiapit</v>
      </c>
      <c r="L437" s="1" t="str">
        <f>Paris!L$92</f>
        <v>P12</v>
      </c>
      <c r="M437" s="1" t="str">
        <f>CONCATENATE(tblCong[[#This Row],[seketCode]],"-",tblCong[[#This Row],[pCode]])</f>
        <v>D02-S04-P12</v>
      </c>
      <c r="N437" s="1" t="str">
        <f>Paris!M$92</f>
        <v>Guruf</v>
      </c>
      <c r="O437" s="1" t="s">
        <v>569</v>
      </c>
      <c r="P437" s="1" t="s">
        <v>985</v>
      </c>
    </row>
    <row r="438" spans="6:16" x14ac:dyDescent="0.35">
      <c r="F438" s="1" t="str">
        <f>CONCATENATE(tblCong[[#This Row],[parishCode]],"-",tblCong[[#This Row],[kCode]])</f>
        <v>D02-S04-P12-K03</v>
      </c>
      <c r="G438" s="1" t="str">
        <f>Distrik!F$6</f>
        <v>D02</v>
      </c>
      <c r="H438" s="1" t="str">
        <f>VLOOKUP(tblCong[[#This Row],[distCode]],tblDistrict[#All],2)</f>
        <v>Jabem</v>
      </c>
      <c r="I438" s="1" t="str">
        <f>Seket!I$16</f>
        <v>S04</v>
      </c>
      <c r="J438" s="1" t="str">
        <f>CONCATENATE(tblCong[[#This Row],[distCode]],"-",tblCong[[#This Row],[sCode]])</f>
        <v>D02-S04</v>
      </c>
      <c r="K438" s="1" t="str">
        <f>VLOOKUP(tblCong[[#This Row],[seketCode]],tblSeket[#All],5,FALSE)</f>
        <v>Kaiapit</v>
      </c>
      <c r="L438" s="1" t="str">
        <f>Paris!L$92</f>
        <v>P12</v>
      </c>
      <c r="M438" s="1" t="str">
        <f>CONCATENATE(tblCong[[#This Row],[seketCode]],"-",tblCong[[#This Row],[pCode]])</f>
        <v>D02-S04-P12</v>
      </c>
      <c r="N438" s="1" t="str">
        <f>Paris!M$92</f>
        <v>Guruf</v>
      </c>
      <c r="O438" s="1" t="s">
        <v>571</v>
      </c>
      <c r="P438" s="1" t="s">
        <v>303</v>
      </c>
    </row>
    <row r="439" spans="6:16" x14ac:dyDescent="0.35">
      <c r="F439" s="1" t="str">
        <f>CONCATENATE(tblCong[[#This Row],[parishCode]],"-",tblCong[[#This Row],[kCode]])</f>
        <v>D02-S04-P12-K04</v>
      </c>
      <c r="G439" s="1" t="str">
        <f>Distrik!F$6</f>
        <v>D02</v>
      </c>
      <c r="H439" s="1" t="str">
        <f>VLOOKUP(tblCong[[#This Row],[distCode]],tblDistrict[#All],2)</f>
        <v>Jabem</v>
      </c>
      <c r="I439" s="1" t="str">
        <f>Seket!I$16</f>
        <v>S04</v>
      </c>
      <c r="J439" s="1" t="str">
        <f>CONCATENATE(tblCong[[#This Row],[distCode]],"-",tblCong[[#This Row],[sCode]])</f>
        <v>D02-S04</v>
      </c>
      <c r="K439" s="1" t="str">
        <f>VLOOKUP(tblCong[[#This Row],[seketCode]],tblSeket[#All],5,FALSE)</f>
        <v>Kaiapit</v>
      </c>
      <c r="L439" s="1" t="str">
        <f>Paris!L$92</f>
        <v>P12</v>
      </c>
      <c r="M439" s="1" t="str">
        <f>CONCATENATE(tblCong[[#This Row],[seketCode]],"-",tblCong[[#This Row],[pCode]])</f>
        <v>D02-S04-P12</v>
      </c>
      <c r="N439" s="1" t="str">
        <f>Paris!M$92</f>
        <v>Guruf</v>
      </c>
      <c r="O439" s="1" t="s">
        <v>573</v>
      </c>
      <c r="P439" s="1" t="s">
        <v>986</v>
      </c>
    </row>
    <row r="440" spans="6:16" x14ac:dyDescent="0.35">
      <c r="F440" s="1" t="str">
        <f>CONCATENATE(tblCong[[#This Row],[parishCode]],"-",tblCong[[#This Row],[kCode]])</f>
        <v>D02-S04-P12-K05</v>
      </c>
      <c r="G440" s="1" t="str">
        <f>Distrik!F$6</f>
        <v>D02</v>
      </c>
      <c r="H440" s="1" t="str">
        <f>VLOOKUP(tblCong[[#This Row],[distCode]],tblDistrict[#All],2)</f>
        <v>Jabem</v>
      </c>
      <c r="I440" s="1" t="str">
        <f>Seket!I$16</f>
        <v>S04</v>
      </c>
      <c r="J440" s="1" t="str">
        <f>CONCATENATE(tblCong[[#This Row],[distCode]],"-",tblCong[[#This Row],[sCode]])</f>
        <v>D02-S04</v>
      </c>
      <c r="K440" s="1" t="str">
        <f>VLOOKUP(tblCong[[#This Row],[seketCode]],tblSeket[#All],5,FALSE)</f>
        <v>Kaiapit</v>
      </c>
      <c r="L440" s="1" t="str">
        <f>Paris!L$92</f>
        <v>P12</v>
      </c>
      <c r="M440" s="1" t="str">
        <f>CONCATENATE(tblCong[[#This Row],[seketCode]],"-",tblCong[[#This Row],[pCode]])</f>
        <v>D02-S04-P12</v>
      </c>
      <c r="N440" s="1" t="str">
        <f>Paris!M$92</f>
        <v>Guruf</v>
      </c>
      <c r="O440" s="1" t="s">
        <v>575</v>
      </c>
      <c r="P440" s="1" t="s">
        <v>987</v>
      </c>
    </row>
    <row r="441" spans="6:16" x14ac:dyDescent="0.35">
      <c r="F441" s="1" t="str">
        <f>CONCATENATE(tblCong[[#This Row],[parishCode]],"-",tblCong[[#This Row],[kCode]])</f>
        <v>D02-S04-P12-K06</v>
      </c>
      <c r="G441" s="1" t="str">
        <f>Distrik!F$6</f>
        <v>D02</v>
      </c>
      <c r="H441" s="1" t="str">
        <f>VLOOKUP(tblCong[[#This Row],[distCode]],tblDistrict[#All],2)</f>
        <v>Jabem</v>
      </c>
      <c r="I441" s="1" t="str">
        <f>Seket!I$16</f>
        <v>S04</v>
      </c>
      <c r="J441" s="1" t="str">
        <f>CONCATENATE(tblCong[[#This Row],[distCode]],"-",tblCong[[#This Row],[sCode]])</f>
        <v>D02-S04</v>
      </c>
      <c r="K441" s="1" t="str">
        <f>VLOOKUP(tblCong[[#This Row],[seketCode]],tblSeket[#All],5,FALSE)</f>
        <v>Kaiapit</v>
      </c>
      <c r="L441" s="1" t="str">
        <f>Paris!L$92</f>
        <v>P12</v>
      </c>
      <c r="M441" s="1" t="str">
        <f>CONCATENATE(tblCong[[#This Row],[seketCode]],"-",tblCong[[#This Row],[pCode]])</f>
        <v>D02-S04-P12</v>
      </c>
      <c r="N441" s="1" t="str">
        <f>Paris!M$92</f>
        <v>Guruf</v>
      </c>
      <c r="O441" s="1" t="s">
        <v>576</v>
      </c>
      <c r="P441" s="1" t="s">
        <v>988</v>
      </c>
    </row>
    <row r="442" spans="6:16" x14ac:dyDescent="0.35">
      <c r="F442" s="1" t="str">
        <f>CONCATENATE(tblCong[[#This Row],[parishCode]],"-",tblCong[[#This Row],[kCode]])</f>
        <v>D02-S05-P01-K01</v>
      </c>
      <c r="G442" s="1" t="str">
        <f>Distrik!F$6</f>
        <v>D02</v>
      </c>
      <c r="H442" s="1" t="str">
        <f>VLOOKUP(tblCong[[#This Row],[distCode]],tblDistrict[#All],2)</f>
        <v>Jabem</v>
      </c>
      <c r="I442" s="1" t="str">
        <f>Seket!I$17</f>
        <v>S05</v>
      </c>
      <c r="J442" s="1" t="str">
        <f>CONCATENATE(tblCong[[#This Row],[distCode]],"-",tblCong[[#This Row],[sCode]])</f>
        <v>D02-S05</v>
      </c>
      <c r="K442" s="1" t="str">
        <f>VLOOKUP(tblCong[[#This Row],[seketCode]],tblSeket[#All],5,FALSE)</f>
        <v>Kainantiba</v>
      </c>
      <c r="L442" s="1" t="str">
        <f>Paris!L$93</f>
        <v>P01</v>
      </c>
      <c r="M442" s="1" t="str">
        <f>CONCATENATE(tblCong[[#This Row],[seketCode]],"-",tblCong[[#This Row],[pCode]])</f>
        <v>D02-S05-P01</v>
      </c>
      <c r="N442" s="1" t="str">
        <f>Paris!M$93</f>
        <v>Apataiwa</v>
      </c>
      <c r="O442" s="1" t="s">
        <v>567</v>
      </c>
      <c r="P442" s="1" t="s">
        <v>304</v>
      </c>
    </row>
    <row r="443" spans="6:16" x14ac:dyDescent="0.35">
      <c r="F443" s="1" t="str">
        <f>CONCATENATE(tblCong[[#This Row],[parishCode]],"-",tblCong[[#This Row],[kCode]])</f>
        <v>D02-S05-P01-K02</v>
      </c>
      <c r="G443" s="1" t="str">
        <f>Distrik!F$6</f>
        <v>D02</v>
      </c>
      <c r="H443" s="1" t="str">
        <f>VLOOKUP(tblCong[[#This Row],[distCode]],tblDistrict[#All],2)</f>
        <v>Jabem</v>
      </c>
      <c r="I443" s="1" t="str">
        <f>Seket!I$17</f>
        <v>S05</v>
      </c>
      <c r="J443" s="1" t="str">
        <f>CONCATENATE(tblCong[[#This Row],[distCode]],"-",tblCong[[#This Row],[sCode]])</f>
        <v>D02-S05</v>
      </c>
      <c r="K443" s="1" t="str">
        <f>VLOOKUP(tblCong[[#This Row],[seketCode]],tblSeket[#All],5,FALSE)</f>
        <v>Kainantiba</v>
      </c>
      <c r="L443" s="1" t="str">
        <f>Paris!L$93</f>
        <v>P01</v>
      </c>
      <c r="M443" s="1" t="str">
        <f>CONCATENATE(tblCong[[#This Row],[seketCode]],"-",tblCong[[#This Row],[pCode]])</f>
        <v>D02-S05-P01</v>
      </c>
      <c r="N443" s="1" t="str">
        <f>Paris!M$93</f>
        <v>Apataiwa</v>
      </c>
      <c r="O443" s="1" t="s">
        <v>569</v>
      </c>
      <c r="P443" s="1" t="s">
        <v>989</v>
      </c>
    </row>
    <row r="444" spans="6:16" x14ac:dyDescent="0.35">
      <c r="F444" s="1" t="str">
        <f>CONCATENATE(tblCong[[#This Row],[parishCode]],"-",tblCong[[#This Row],[kCode]])</f>
        <v>D02-S05-P01-K03</v>
      </c>
      <c r="G444" s="1" t="str">
        <f>Distrik!F$6</f>
        <v>D02</v>
      </c>
      <c r="H444" s="1" t="str">
        <f>VLOOKUP(tblCong[[#This Row],[distCode]],tblDistrict[#All],2)</f>
        <v>Jabem</v>
      </c>
      <c r="I444" s="1" t="str">
        <f>Seket!I$17</f>
        <v>S05</v>
      </c>
      <c r="J444" s="1" t="str">
        <f>CONCATENATE(tblCong[[#This Row],[distCode]],"-",tblCong[[#This Row],[sCode]])</f>
        <v>D02-S05</v>
      </c>
      <c r="K444" s="1" t="str">
        <f>VLOOKUP(tblCong[[#This Row],[seketCode]],tblSeket[#All],5,FALSE)</f>
        <v>Kainantiba</v>
      </c>
      <c r="L444" s="1" t="str">
        <f>Paris!L$93</f>
        <v>P01</v>
      </c>
      <c r="M444" s="1" t="str">
        <f>CONCATENATE(tblCong[[#This Row],[seketCode]],"-",tblCong[[#This Row],[pCode]])</f>
        <v>D02-S05-P01</v>
      </c>
      <c r="N444" s="1" t="str">
        <f>Paris!M$93</f>
        <v>Apataiwa</v>
      </c>
      <c r="O444" s="1" t="s">
        <v>571</v>
      </c>
      <c r="P444" s="1" t="s">
        <v>357</v>
      </c>
    </row>
    <row r="445" spans="6:16" x14ac:dyDescent="0.35">
      <c r="F445" s="1" t="str">
        <f>CONCATENATE(tblCong[[#This Row],[parishCode]],"-",tblCong[[#This Row],[kCode]])</f>
        <v>D02-S05-P01-K04</v>
      </c>
      <c r="G445" s="1" t="str">
        <f>Distrik!F$6</f>
        <v>D02</v>
      </c>
      <c r="H445" s="1" t="str">
        <f>VLOOKUP(tblCong[[#This Row],[distCode]],tblDistrict[#All],2)</f>
        <v>Jabem</v>
      </c>
      <c r="I445" s="1" t="str">
        <f>Seket!I$17</f>
        <v>S05</v>
      </c>
      <c r="J445" s="1" t="str">
        <f>CONCATENATE(tblCong[[#This Row],[distCode]],"-",tblCong[[#This Row],[sCode]])</f>
        <v>D02-S05</v>
      </c>
      <c r="K445" s="1" t="str">
        <f>VLOOKUP(tblCong[[#This Row],[seketCode]],tblSeket[#All],5,FALSE)</f>
        <v>Kainantiba</v>
      </c>
      <c r="L445" s="1" t="str">
        <f>Paris!L$93</f>
        <v>P01</v>
      </c>
      <c r="M445" s="1" t="str">
        <f>CONCATENATE(tblCong[[#This Row],[seketCode]],"-",tblCong[[#This Row],[pCode]])</f>
        <v>D02-S05-P01</v>
      </c>
      <c r="N445" s="1" t="str">
        <f>Paris!M$93</f>
        <v>Apataiwa</v>
      </c>
      <c r="O445" s="1" t="s">
        <v>573</v>
      </c>
      <c r="P445" s="1" t="s">
        <v>990</v>
      </c>
    </row>
    <row r="446" spans="6:16" x14ac:dyDescent="0.35">
      <c r="F446" s="1" t="str">
        <f>CONCATENATE(tblCong[[#This Row],[parishCode]],"-",tblCong[[#This Row],[kCode]])</f>
        <v>D02-S05-P01-K05</v>
      </c>
      <c r="G446" s="1" t="str">
        <f>Distrik!F$6</f>
        <v>D02</v>
      </c>
      <c r="H446" s="1" t="str">
        <f>VLOOKUP(tblCong[[#This Row],[distCode]],tblDistrict[#All],2)</f>
        <v>Jabem</v>
      </c>
      <c r="I446" s="1" t="str">
        <f>Seket!I$17</f>
        <v>S05</v>
      </c>
      <c r="J446" s="1" t="str">
        <f>CONCATENATE(tblCong[[#This Row],[distCode]],"-",tblCong[[#This Row],[sCode]])</f>
        <v>D02-S05</v>
      </c>
      <c r="K446" s="1" t="str">
        <f>VLOOKUP(tblCong[[#This Row],[seketCode]],tblSeket[#All],5,FALSE)</f>
        <v>Kainantiba</v>
      </c>
      <c r="L446" s="1" t="str">
        <f>Paris!L$93</f>
        <v>P01</v>
      </c>
      <c r="M446" s="1" t="str">
        <f>CONCATENATE(tblCong[[#This Row],[seketCode]],"-",tblCong[[#This Row],[pCode]])</f>
        <v>D02-S05-P01</v>
      </c>
      <c r="N446" s="1" t="str">
        <f>Paris!M$93</f>
        <v>Apataiwa</v>
      </c>
      <c r="O446" s="1" t="s">
        <v>575</v>
      </c>
      <c r="P446" s="1" t="s">
        <v>991</v>
      </c>
    </row>
    <row r="447" spans="6:16" x14ac:dyDescent="0.35">
      <c r="F447" s="1" t="str">
        <f>CONCATENATE(tblCong[[#This Row],[parishCode]],"-",tblCong[[#This Row],[kCode]])</f>
        <v>D02-S05-P01-K06</v>
      </c>
      <c r="G447" s="1" t="str">
        <f>Distrik!F$6</f>
        <v>D02</v>
      </c>
      <c r="H447" s="1" t="str">
        <f>VLOOKUP(tblCong[[#This Row],[distCode]],tblDistrict[#All],2)</f>
        <v>Jabem</v>
      </c>
      <c r="I447" s="1" t="str">
        <f>Seket!I$17</f>
        <v>S05</v>
      </c>
      <c r="J447" s="1" t="str">
        <f>CONCATENATE(tblCong[[#This Row],[distCode]],"-",tblCong[[#This Row],[sCode]])</f>
        <v>D02-S05</v>
      </c>
      <c r="K447" s="1" t="str">
        <f>VLOOKUP(tblCong[[#This Row],[seketCode]],tblSeket[#All],5,FALSE)</f>
        <v>Kainantiba</v>
      </c>
      <c r="L447" s="1" t="str">
        <f>Paris!L$93</f>
        <v>P01</v>
      </c>
      <c r="M447" s="1" t="str">
        <f>CONCATENATE(tblCong[[#This Row],[seketCode]],"-",tblCong[[#This Row],[pCode]])</f>
        <v>D02-S05-P01</v>
      </c>
      <c r="N447" s="1" t="str">
        <f>Paris!M$93</f>
        <v>Apataiwa</v>
      </c>
      <c r="O447" s="1" t="s">
        <v>576</v>
      </c>
      <c r="P447" s="1" t="s">
        <v>992</v>
      </c>
    </row>
    <row r="448" spans="6:16" x14ac:dyDescent="0.35">
      <c r="F448" s="1" t="str">
        <f>CONCATENATE(tblCong[[#This Row],[parishCode]],"-",tblCong[[#This Row],[kCode]])</f>
        <v>D02-S05-P01-K07</v>
      </c>
      <c r="G448" s="1" t="str">
        <f>Distrik!F$6</f>
        <v>D02</v>
      </c>
      <c r="H448" s="1" t="str">
        <f>VLOOKUP(tblCong[[#This Row],[distCode]],tblDistrict[#All],2)</f>
        <v>Jabem</v>
      </c>
      <c r="I448" s="1" t="str">
        <f>Seket!I$17</f>
        <v>S05</v>
      </c>
      <c r="J448" s="1" t="str">
        <f>CONCATENATE(tblCong[[#This Row],[distCode]],"-",tblCong[[#This Row],[sCode]])</f>
        <v>D02-S05</v>
      </c>
      <c r="K448" s="1" t="str">
        <f>VLOOKUP(tblCong[[#This Row],[seketCode]],tblSeket[#All],5,FALSE)</f>
        <v>Kainantiba</v>
      </c>
      <c r="L448" s="1" t="str">
        <f>Paris!L$93</f>
        <v>P01</v>
      </c>
      <c r="M448" s="1" t="str">
        <f>CONCATENATE(tblCong[[#This Row],[seketCode]],"-",tblCong[[#This Row],[pCode]])</f>
        <v>D02-S05-P01</v>
      </c>
      <c r="N448" s="1" t="str">
        <f>Paris!M$93</f>
        <v>Apataiwa</v>
      </c>
      <c r="O448" s="1" t="s">
        <v>578</v>
      </c>
      <c r="P448" s="1" t="s">
        <v>993</v>
      </c>
    </row>
    <row r="449" spans="6:16" x14ac:dyDescent="0.35">
      <c r="F449" s="1" t="str">
        <f>CONCATENATE(tblCong[[#This Row],[parishCode]],"-",tblCong[[#This Row],[kCode]])</f>
        <v>D02-S05-P02-K01</v>
      </c>
      <c r="G449" s="1" t="str">
        <f>Distrik!F$6</f>
        <v>D02</v>
      </c>
      <c r="H449" s="1" t="str">
        <f>VLOOKUP(tblCong[[#This Row],[distCode]],tblDistrict[#All],2)</f>
        <v>Jabem</v>
      </c>
      <c r="I449" s="1" t="str">
        <f>Seket!I$17</f>
        <v>S05</v>
      </c>
      <c r="J449" s="1" t="str">
        <f>CONCATENATE(tblCong[[#This Row],[distCode]],"-",tblCong[[#This Row],[sCode]])</f>
        <v>D02-S05</v>
      </c>
      <c r="K449" s="1" t="str">
        <f>VLOOKUP(tblCong[[#This Row],[seketCode]],tblSeket[#All],5,FALSE)</f>
        <v>Kainantiba</v>
      </c>
      <c r="L449" s="1" t="str">
        <f>Paris!L$94</f>
        <v>P02</v>
      </c>
      <c r="M449" s="1" t="str">
        <f>CONCATENATE(tblCong[[#This Row],[seketCode]],"-",tblCong[[#This Row],[pCode]])</f>
        <v>D02-S05-P02</v>
      </c>
      <c r="N449" s="1" t="str">
        <f>Paris!M$93</f>
        <v>Apataiwa</v>
      </c>
      <c r="O449" s="1" t="s">
        <v>567</v>
      </c>
      <c r="P449" s="1" t="s">
        <v>994</v>
      </c>
    </row>
    <row r="450" spans="6:16" x14ac:dyDescent="0.35">
      <c r="F450" s="1" t="str">
        <f>CONCATENATE(tblCong[[#This Row],[parishCode]],"-",tblCong[[#This Row],[kCode]])</f>
        <v>D02-S05-P02-K02</v>
      </c>
      <c r="G450" s="1" t="str">
        <f>Distrik!F$6</f>
        <v>D02</v>
      </c>
      <c r="H450" s="1" t="str">
        <f>VLOOKUP(tblCong[[#This Row],[distCode]],tblDistrict[#All],2)</f>
        <v>Jabem</v>
      </c>
      <c r="I450" s="1" t="str">
        <f>Seket!I$17</f>
        <v>S05</v>
      </c>
      <c r="J450" s="1" t="str">
        <f>CONCATENATE(tblCong[[#This Row],[distCode]],"-",tblCong[[#This Row],[sCode]])</f>
        <v>D02-S05</v>
      </c>
      <c r="K450" s="1" t="str">
        <f>VLOOKUP(tblCong[[#This Row],[seketCode]],tblSeket[#All],5,FALSE)</f>
        <v>Kainantiba</v>
      </c>
      <c r="L450" s="1" t="str">
        <f>Paris!L$94</f>
        <v>P02</v>
      </c>
      <c r="M450" s="1" t="str">
        <f>CONCATENATE(tblCong[[#This Row],[seketCode]],"-",tblCong[[#This Row],[pCode]])</f>
        <v>D02-S05-P02</v>
      </c>
      <c r="N450" s="1" t="str">
        <f>Paris!M$94</f>
        <v>Kawaini</v>
      </c>
      <c r="O450" s="1" t="s">
        <v>569</v>
      </c>
      <c r="P450" s="1" t="s">
        <v>995</v>
      </c>
    </row>
    <row r="451" spans="6:16" x14ac:dyDescent="0.35">
      <c r="F451" s="1" t="str">
        <f>CONCATENATE(tblCong[[#This Row],[parishCode]],"-",tblCong[[#This Row],[kCode]])</f>
        <v>D02-S05-P02-K03</v>
      </c>
      <c r="G451" s="1" t="str">
        <f>Distrik!F$6</f>
        <v>D02</v>
      </c>
      <c r="H451" s="1" t="str">
        <f>VLOOKUP(tblCong[[#This Row],[distCode]],tblDistrict[#All],2)</f>
        <v>Jabem</v>
      </c>
      <c r="I451" s="1" t="str">
        <f>Seket!I$17</f>
        <v>S05</v>
      </c>
      <c r="J451" s="1" t="str">
        <f>CONCATENATE(tblCong[[#This Row],[distCode]],"-",tblCong[[#This Row],[sCode]])</f>
        <v>D02-S05</v>
      </c>
      <c r="K451" s="1" t="str">
        <f>VLOOKUP(tblCong[[#This Row],[seketCode]],tblSeket[#All],5,FALSE)</f>
        <v>Kainantiba</v>
      </c>
      <c r="L451" s="1" t="str">
        <f>Paris!L$94</f>
        <v>P02</v>
      </c>
      <c r="M451" s="1" t="str">
        <f>CONCATENATE(tblCong[[#This Row],[seketCode]],"-",tblCong[[#This Row],[pCode]])</f>
        <v>D02-S05-P02</v>
      </c>
      <c r="N451" s="1" t="str">
        <f>Paris!M$94</f>
        <v>Kawaini</v>
      </c>
      <c r="O451" s="1" t="s">
        <v>571</v>
      </c>
      <c r="P451" s="1" t="s">
        <v>996</v>
      </c>
    </row>
    <row r="452" spans="6:16" x14ac:dyDescent="0.35">
      <c r="F452" s="1" t="str">
        <f>CONCATENATE(tblCong[[#This Row],[parishCode]],"-",tblCong[[#This Row],[kCode]])</f>
        <v>D02-S05-P02-K04</v>
      </c>
      <c r="G452" s="1" t="str">
        <f>Distrik!F$6</f>
        <v>D02</v>
      </c>
      <c r="H452" s="1" t="str">
        <f>VLOOKUP(tblCong[[#This Row],[distCode]],tblDistrict[#All],2)</f>
        <v>Jabem</v>
      </c>
      <c r="I452" s="1" t="str">
        <f>Seket!I$17</f>
        <v>S05</v>
      </c>
      <c r="J452" s="1" t="str">
        <f>CONCATENATE(tblCong[[#This Row],[distCode]],"-",tblCong[[#This Row],[sCode]])</f>
        <v>D02-S05</v>
      </c>
      <c r="K452" s="1" t="str">
        <f>VLOOKUP(tblCong[[#This Row],[seketCode]],tblSeket[#All],5,FALSE)</f>
        <v>Kainantiba</v>
      </c>
      <c r="L452" s="1" t="str">
        <f>Paris!L$94</f>
        <v>P02</v>
      </c>
      <c r="M452" s="1" t="str">
        <f>CONCATENATE(tblCong[[#This Row],[seketCode]],"-",tblCong[[#This Row],[pCode]])</f>
        <v>D02-S05-P02</v>
      </c>
      <c r="N452" s="1" t="str">
        <f>Paris!M$94</f>
        <v>Kawaini</v>
      </c>
      <c r="O452" s="1" t="s">
        <v>573</v>
      </c>
      <c r="P452" s="1" t="s">
        <v>997</v>
      </c>
    </row>
    <row r="453" spans="6:16" x14ac:dyDescent="0.35">
      <c r="F453" s="1" t="str">
        <f>CONCATENATE(tblCong[[#This Row],[parishCode]],"-",tblCong[[#This Row],[kCode]])</f>
        <v>D02-S05-P02-K05</v>
      </c>
      <c r="G453" s="1" t="str">
        <f>Distrik!F$6</f>
        <v>D02</v>
      </c>
      <c r="H453" s="1" t="str">
        <f>VLOOKUP(tblCong[[#This Row],[distCode]],tblDistrict[#All],2)</f>
        <v>Jabem</v>
      </c>
      <c r="I453" s="1" t="str">
        <f>Seket!I$17</f>
        <v>S05</v>
      </c>
      <c r="J453" s="1" t="str">
        <f>CONCATENATE(tblCong[[#This Row],[distCode]],"-",tblCong[[#This Row],[sCode]])</f>
        <v>D02-S05</v>
      </c>
      <c r="K453" s="1" t="str">
        <f>VLOOKUP(tblCong[[#This Row],[seketCode]],tblSeket[#All],5,FALSE)</f>
        <v>Kainantiba</v>
      </c>
      <c r="L453" s="1" t="str">
        <f>Paris!L$94</f>
        <v>P02</v>
      </c>
      <c r="M453" s="1" t="str">
        <f>CONCATENATE(tblCong[[#This Row],[seketCode]],"-",tblCong[[#This Row],[pCode]])</f>
        <v>D02-S05-P02</v>
      </c>
      <c r="N453" s="1" t="str">
        <f>Paris!M$94</f>
        <v>Kawaini</v>
      </c>
      <c r="O453" s="1" t="s">
        <v>575</v>
      </c>
      <c r="P453" s="1" t="s">
        <v>998</v>
      </c>
    </row>
    <row r="454" spans="6:16" x14ac:dyDescent="0.35">
      <c r="F454" s="1" t="str">
        <f>CONCATENATE(tblCong[[#This Row],[parishCode]],"-",tblCong[[#This Row],[kCode]])</f>
        <v>D02-S05-P03-K01</v>
      </c>
      <c r="G454" s="1" t="str">
        <f>Distrik!F$6</f>
        <v>D02</v>
      </c>
      <c r="H454" s="1" t="str">
        <f>VLOOKUP(tblCong[[#This Row],[distCode]],tblDistrict[#All],2)</f>
        <v>Jabem</v>
      </c>
      <c r="I454" s="1" t="str">
        <f>Seket!I$17</f>
        <v>S05</v>
      </c>
      <c r="J454" s="1" t="str">
        <f>CONCATENATE(tblCong[[#This Row],[distCode]],"-",tblCong[[#This Row],[sCode]])</f>
        <v>D02-S05</v>
      </c>
      <c r="K454" s="1" t="str">
        <f>VLOOKUP(tblCong[[#This Row],[seketCode]],tblSeket[#All],5,FALSE)</f>
        <v>Kainantiba</v>
      </c>
      <c r="L454" s="1" t="str">
        <f>Paris!L$95</f>
        <v>P03</v>
      </c>
      <c r="M454" s="1" t="str">
        <f>CONCATENATE(tblCong[[#This Row],[seketCode]],"-",tblCong[[#This Row],[pCode]])</f>
        <v>D02-S05-P03</v>
      </c>
      <c r="N454" s="1" t="str">
        <f>Paris!M$95</f>
        <v>Ambuini</v>
      </c>
      <c r="O454" s="1" t="s">
        <v>567</v>
      </c>
      <c r="P454" s="1" t="s">
        <v>306</v>
      </c>
    </row>
    <row r="455" spans="6:16" x14ac:dyDescent="0.35">
      <c r="F455" s="1" t="str">
        <f>CONCATENATE(tblCong[[#This Row],[parishCode]],"-",tblCong[[#This Row],[kCode]])</f>
        <v>D02-S05-P03-K02</v>
      </c>
      <c r="G455" s="1" t="str">
        <f>Distrik!F$6</f>
        <v>D02</v>
      </c>
      <c r="H455" s="1" t="str">
        <f>VLOOKUP(tblCong[[#This Row],[distCode]],tblDistrict[#All],2)</f>
        <v>Jabem</v>
      </c>
      <c r="I455" s="1" t="str">
        <f>Seket!I$17</f>
        <v>S05</v>
      </c>
      <c r="J455" s="1" t="str">
        <f>CONCATENATE(tblCong[[#This Row],[distCode]],"-",tblCong[[#This Row],[sCode]])</f>
        <v>D02-S05</v>
      </c>
      <c r="K455" s="1" t="str">
        <f>VLOOKUP(tblCong[[#This Row],[seketCode]],tblSeket[#All],5,FALSE)</f>
        <v>Kainantiba</v>
      </c>
      <c r="L455" s="1" t="str">
        <f>Paris!L$95</f>
        <v>P03</v>
      </c>
      <c r="M455" s="1" t="str">
        <f>CONCATENATE(tblCong[[#This Row],[seketCode]],"-",tblCong[[#This Row],[pCode]])</f>
        <v>D02-S05-P03</v>
      </c>
      <c r="N455" s="1" t="str">
        <f>Paris!M$95</f>
        <v>Ambuini</v>
      </c>
      <c r="O455" s="1" t="s">
        <v>569</v>
      </c>
      <c r="P455" s="1" t="s">
        <v>999</v>
      </c>
    </row>
    <row r="456" spans="6:16" x14ac:dyDescent="0.35">
      <c r="F456" s="1" t="str">
        <f>CONCATENATE(tblCong[[#This Row],[parishCode]],"-",tblCong[[#This Row],[kCode]])</f>
        <v>D02-S05-P03-K03</v>
      </c>
      <c r="G456" s="1" t="str">
        <f>Distrik!F$6</f>
        <v>D02</v>
      </c>
      <c r="H456" s="1" t="str">
        <f>VLOOKUP(tblCong[[#This Row],[distCode]],tblDistrict[#All],2)</f>
        <v>Jabem</v>
      </c>
      <c r="I456" s="1" t="str">
        <f>Seket!I$17</f>
        <v>S05</v>
      </c>
      <c r="J456" s="1" t="str">
        <f>CONCATENATE(tblCong[[#This Row],[distCode]],"-",tblCong[[#This Row],[sCode]])</f>
        <v>D02-S05</v>
      </c>
      <c r="K456" s="1" t="str">
        <f>VLOOKUP(tblCong[[#This Row],[seketCode]],tblSeket[#All],5,FALSE)</f>
        <v>Kainantiba</v>
      </c>
      <c r="L456" s="1" t="str">
        <f>Paris!L$95</f>
        <v>P03</v>
      </c>
      <c r="M456" s="1" t="str">
        <f>CONCATENATE(tblCong[[#This Row],[seketCode]],"-",tblCong[[#This Row],[pCode]])</f>
        <v>D02-S05-P03</v>
      </c>
      <c r="N456" s="1" t="str">
        <f>Paris!M$95</f>
        <v>Ambuini</v>
      </c>
      <c r="O456" s="1" t="s">
        <v>571</v>
      </c>
      <c r="P456" s="1" t="s">
        <v>1000</v>
      </c>
    </row>
    <row r="457" spans="6:16" x14ac:dyDescent="0.35">
      <c r="F457" s="1" t="str">
        <f>CONCATENATE(tblCong[[#This Row],[parishCode]],"-",tblCong[[#This Row],[kCode]])</f>
        <v>D02-S05-P03-K04</v>
      </c>
      <c r="G457" s="1" t="str">
        <f>Distrik!F$6</f>
        <v>D02</v>
      </c>
      <c r="H457" s="1" t="str">
        <f>VLOOKUP(tblCong[[#This Row],[distCode]],tblDistrict[#All],2)</f>
        <v>Jabem</v>
      </c>
      <c r="I457" s="1" t="str">
        <f>Seket!I$17</f>
        <v>S05</v>
      </c>
      <c r="J457" s="1" t="str">
        <f>CONCATENATE(tblCong[[#This Row],[distCode]],"-",tblCong[[#This Row],[sCode]])</f>
        <v>D02-S05</v>
      </c>
      <c r="K457" s="1" t="str">
        <f>VLOOKUP(tblCong[[#This Row],[seketCode]],tblSeket[#All],5,FALSE)</f>
        <v>Kainantiba</v>
      </c>
      <c r="L457" s="1" t="str">
        <f>Paris!L$95</f>
        <v>P03</v>
      </c>
      <c r="M457" s="1" t="str">
        <f>CONCATENATE(tblCong[[#This Row],[seketCode]],"-",tblCong[[#This Row],[pCode]])</f>
        <v>D02-S05-P03</v>
      </c>
      <c r="N457" s="1" t="str">
        <f>Paris!M$95</f>
        <v>Ambuini</v>
      </c>
      <c r="O457" s="1" t="s">
        <v>573</v>
      </c>
      <c r="P457" s="1" t="s">
        <v>1001</v>
      </c>
    </row>
    <row r="458" spans="6:16" x14ac:dyDescent="0.35">
      <c r="F458" s="1" t="str">
        <f>CONCATENATE(tblCong[[#This Row],[parishCode]],"-",tblCong[[#This Row],[kCode]])</f>
        <v>D02-S05-P03-K05</v>
      </c>
      <c r="G458" s="1" t="str">
        <f>Distrik!F$6</f>
        <v>D02</v>
      </c>
      <c r="H458" s="1" t="str">
        <f>VLOOKUP(tblCong[[#This Row],[distCode]],tblDistrict[#All],2)</f>
        <v>Jabem</v>
      </c>
      <c r="I458" s="1" t="str">
        <f>Seket!I$17</f>
        <v>S05</v>
      </c>
      <c r="J458" s="1" t="str">
        <f>CONCATENATE(tblCong[[#This Row],[distCode]],"-",tblCong[[#This Row],[sCode]])</f>
        <v>D02-S05</v>
      </c>
      <c r="K458" s="1" t="str">
        <f>VLOOKUP(tblCong[[#This Row],[seketCode]],tblSeket[#All],5,FALSE)</f>
        <v>Kainantiba</v>
      </c>
      <c r="L458" s="1" t="str">
        <f>Paris!L$95</f>
        <v>P03</v>
      </c>
      <c r="M458" s="1" t="str">
        <f>CONCATENATE(tblCong[[#This Row],[seketCode]],"-",tblCong[[#This Row],[pCode]])</f>
        <v>D02-S05-P03</v>
      </c>
      <c r="N458" s="1" t="str">
        <f>Paris!M$95</f>
        <v>Ambuini</v>
      </c>
      <c r="O458" s="1" t="s">
        <v>575</v>
      </c>
      <c r="P458" s="1" t="s">
        <v>1002</v>
      </c>
    </row>
    <row r="459" spans="6:16" x14ac:dyDescent="0.35">
      <c r="F459" s="1" t="str">
        <f>CONCATENATE(tblCong[[#This Row],[parishCode]],"-",tblCong[[#This Row],[kCode]])</f>
        <v>D02-S05-P04-K01</v>
      </c>
      <c r="G459" s="1" t="str">
        <f>Distrik!F$6</f>
        <v>D02</v>
      </c>
      <c r="H459" s="1" t="str">
        <f>VLOOKUP(tblCong[[#This Row],[distCode]],tblDistrict[#All],2)</f>
        <v>Jabem</v>
      </c>
      <c r="I459" s="1" t="str">
        <f>Seket!I$17</f>
        <v>S05</v>
      </c>
      <c r="J459" s="1" t="str">
        <f>CONCATENATE(tblCong[[#This Row],[distCode]],"-",tblCong[[#This Row],[sCode]])</f>
        <v>D02-S05</v>
      </c>
      <c r="K459" s="1" t="str">
        <f>VLOOKUP(tblCong[[#This Row],[seketCode]],tblSeket[#All],5,FALSE)</f>
        <v>Kainantiba</v>
      </c>
      <c r="L459" s="1" t="str">
        <f>Paris!L$96</f>
        <v>P04</v>
      </c>
      <c r="M459" s="1" t="str">
        <f>CONCATENATE(tblCong[[#This Row],[seketCode]],"-",tblCong[[#This Row],[pCode]])</f>
        <v>D02-S05-P04</v>
      </c>
      <c r="N459" s="1" t="str">
        <f>Paris!M$96</f>
        <v>Tauri</v>
      </c>
      <c r="O459" s="1" t="s">
        <v>567</v>
      </c>
      <c r="P459" s="1" t="s">
        <v>1003</v>
      </c>
    </row>
    <row r="460" spans="6:16" x14ac:dyDescent="0.35">
      <c r="F460" s="1" t="str">
        <f>CONCATENATE(tblCong[[#This Row],[parishCode]],"-",tblCong[[#This Row],[kCode]])</f>
        <v>D02-S05-P04-K02</v>
      </c>
      <c r="G460" s="1" t="str">
        <f>Distrik!F$6</f>
        <v>D02</v>
      </c>
      <c r="H460" s="1" t="str">
        <f>VLOOKUP(tblCong[[#This Row],[distCode]],tblDistrict[#All],2)</f>
        <v>Jabem</v>
      </c>
      <c r="I460" s="1" t="str">
        <f>Seket!I$17</f>
        <v>S05</v>
      </c>
      <c r="J460" s="1" t="str">
        <f>CONCATENATE(tblCong[[#This Row],[distCode]],"-",tblCong[[#This Row],[sCode]])</f>
        <v>D02-S05</v>
      </c>
      <c r="K460" s="1" t="str">
        <f>VLOOKUP(tblCong[[#This Row],[seketCode]],tblSeket[#All],5,FALSE)</f>
        <v>Kainantiba</v>
      </c>
      <c r="L460" s="1" t="str">
        <f>Paris!L$96</f>
        <v>P04</v>
      </c>
      <c r="M460" s="1" t="str">
        <f>CONCATENATE(tblCong[[#This Row],[seketCode]],"-",tblCong[[#This Row],[pCode]])</f>
        <v>D02-S05-P04</v>
      </c>
      <c r="N460" s="1" t="str">
        <f>Paris!M$96</f>
        <v>Tauri</v>
      </c>
      <c r="O460" s="1" t="s">
        <v>569</v>
      </c>
      <c r="P460" s="1" t="s">
        <v>1004</v>
      </c>
    </row>
    <row r="461" spans="6:16" x14ac:dyDescent="0.35">
      <c r="F461" s="1" t="str">
        <f>CONCATENATE(tblCong[[#This Row],[parishCode]],"-",tblCong[[#This Row],[kCode]])</f>
        <v>D02-S05-P04-K03</v>
      </c>
      <c r="G461" s="1" t="str">
        <f>Distrik!F$6</f>
        <v>D02</v>
      </c>
      <c r="H461" s="1" t="str">
        <f>VLOOKUP(tblCong[[#This Row],[distCode]],tblDistrict[#All],2)</f>
        <v>Jabem</v>
      </c>
      <c r="I461" s="1" t="str">
        <f>Seket!I$17</f>
        <v>S05</v>
      </c>
      <c r="J461" s="1" t="str">
        <f>CONCATENATE(tblCong[[#This Row],[distCode]],"-",tblCong[[#This Row],[sCode]])</f>
        <v>D02-S05</v>
      </c>
      <c r="K461" s="1" t="str">
        <f>VLOOKUP(tblCong[[#This Row],[seketCode]],tblSeket[#All],5,FALSE)</f>
        <v>Kainantiba</v>
      </c>
      <c r="L461" s="1" t="str">
        <f>Paris!L$96</f>
        <v>P04</v>
      </c>
      <c r="M461" s="1" t="str">
        <f>CONCATENATE(tblCong[[#This Row],[seketCode]],"-",tblCong[[#This Row],[pCode]])</f>
        <v>D02-S05-P04</v>
      </c>
      <c r="N461" s="1" t="str">
        <f>Paris!M$96</f>
        <v>Tauri</v>
      </c>
      <c r="O461" s="1" t="s">
        <v>571</v>
      </c>
      <c r="P461" s="1" t="s">
        <v>1005</v>
      </c>
    </row>
    <row r="462" spans="6:16" x14ac:dyDescent="0.35">
      <c r="F462" s="1" t="str">
        <f>CONCATENATE(tblCong[[#This Row],[parishCode]],"-",tblCong[[#This Row],[kCode]])</f>
        <v>D02-S05-P04-K04</v>
      </c>
      <c r="G462" s="1" t="str">
        <f>Distrik!F$6</f>
        <v>D02</v>
      </c>
      <c r="H462" s="1" t="str">
        <f>VLOOKUP(tblCong[[#This Row],[distCode]],tblDistrict[#All],2)</f>
        <v>Jabem</v>
      </c>
      <c r="I462" s="1" t="str">
        <f>Seket!I$17</f>
        <v>S05</v>
      </c>
      <c r="J462" s="1" t="str">
        <f>CONCATENATE(tblCong[[#This Row],[distCode]],"-",tblCong[[#This Row],[sCode]])</f>
        <v>D02-S05</v>
      </c>
      <c r="K462" s="1" t="str">
        <f>VLOOKUP(tblCong[[#This Row],[seketCode]],tblSeket[#All],5,FALSE)</f>
        <v>Kainantiba</v>
      </c>
      <c r="L462" s="1" t="str">
        <f>Paris!L$96</f>
        <v>P04</v>
      </c>
      <c r="M462" s="1" t="str">
        <f>CONCATENATE(tblCong[[#This Row],[seketCode]],"-",tblCong[[#This Row],[pCode]])</f>
        <v>D02-S05-P04</v>
      </c>
      <c r="N462" s="1" t="str">
        <f>Paris!M$96</f>
        <v>Tauri</v>
      </c>
      <c r="O462" s="1" t="s">
        <v>573</v>
      </c>
      <c r="P462" s="1" t="s">
        <v>1006</v>
      </c>
    </row>
    <row r="463" spans="6:16" x14ac:dyDescent="0.35">
      <c r="F463" s="1" t="str">
        <f>CONCATENATE(tblCong[[#This Row],[parishCode]],"-",tblCong[[#This Row],[kCode]])</f>
        <v>D02-S05-P04-K05</v>
      </c>
      <c r="G463" s="1" t="str">
        <f>Distrik!F$6</f>
        <v>D02</v>
      </c>
      <c r="H463" s="1" t="str">
        <f>VLOOKUP(tblCong[[#This Row],[distCode]],tblDistrict[#All],2)</f>
        <v>Jabem</v>
      </c>
      <c r="I463" s="1" t="str">
        <f>Seket!I$17</f>
        <v>S05</v>
      </c>
      <c r="J463" s="1" t="str">
        <f>CONCATENATE(tblCong[[#This Row],[distCode]],"-",tblCong[[#This Row],[sCode]])</f>
        <v>D02-S05</v>
      </c>
      <c r="K463" s="1" t="str">
        <f>VLOOKUP(tblCong[[#This Row],[seketCode]],tblSeket[#All],5,FALSE)</f>
        <v>Kainantiba</v>
      </c>
      <c r="L463" s="1" t="str">
        <f>Paris!L$96</f>
        <v>P04</v>
      </c>
      <c r="M463" s="1" t="str">
        <f>CONCATENATE(tblCong[[#This Row],[seketCode]],"-",tblCong[[#This Row],[pCode]])</f>
        <v>D02-S05-P04</v>
      </c>
      <c r="N463" s="1" t="str">
        <f>Paris!M$96</f>
        <v>Tauri</v>
      </c>
      <c r="O463" s="1" t="s">
        <v>575</v>
      </c>
      <c r="P463" s="1" t="s">
        <v>1007</v>
      </c>
    </row>
    <row r="464" spans="6:16" x14ac:dyDescent="0.35">
      <c r="F464" s="1" t="str">
        <f>CONCATENATE(tblCong[[#This Row],[parishCode]],"-",tblCong[[#This Row],[kCode]])</f>
        <v>D02-S05-P04-K06</v>
      </c>
      <c r="G464" s="1" t="str">
        <f>Distrik!F$6</f>
        <v>D02</v>
      </c>
      <c r="H464" s="1" t="str">
        <f>VLOOKUP(tblCong[[#This Row],[distCode]],tblDistrict[#All],2)</f>
        <v>Jabem</v>
      </c>
      <c r="I464" s="1" t="str">
        <f>Seket!I$17</f>
        <v>S05</v>
      </c>
      <c r="J464" s="1" t="str">
        <f>CONCATENATE(tblCong[[#This Row],[distCode]],"-",tblCong[[#This Row],[sCode]])</f>
        <v>D02-S05</v>
      </c>
      <c r="K464" s="1" t="str">
        <f>VLOOKUP(tblCong[[#This Row],[seketCode]],tblSeket[#All],5,FALSE)</f>
        <v>Kainantiba</v>
      </c>
      <c r="L464" s="1" t="str">
        <f>Paris!L$96</f>
        <v>P04</v>
      </c>
      <c r="M464" s="1" t="str">
        <f>CONCATENATE(tblCong[[#This Row],[seketCode]],"-",tblCong[[#This Row],[pCode]])</f>
        <v>D02-S05-P04</v>
      </c>
      <c r="N464" s="1" t="str">
        <f>Paris!M$96</f>
        <v>Tauri</v>
      </c>
      <c r="O464" s="1" t="s">
        <v>576</v>
      </c>
      <c r="P464" s="1" t="s">
        <v>1008</v>
      </c>
    </row>
    <row r="465" spans="6:16" x14ac:dyDescent="0.35">
      <c r="F465" s="1" t="str">
        <f>CONCATENATE(tblCong[[#This Row],[parishCode]],"-",tblCong[[#This Row],[kCode]])</f>
        <v>D02-S05-P04-K07</v>
      </c>
      <c r="G465" s="1" t="str">
        <f>Distrik!F$6</f>
        <v>D02</v>
      </c>
      <c r="H465" s="1" t="str">
        <f>VLOOKUP(tblCong[[#This Row],[distCode]],tblDistrict[#All],2)</f>
        <v>Jabem</v>
      </c>
      <c r="I465" s="1" t="str">
        <f>Seket!I$17</f>
        <v>S05</v>
      </c>
      <c r="J465" s="1" t="str">
        <f>CONCATENATE(tblCong[[#This Row],[distCode]],"-",tblCong[[#This Row],[sCode]])</f>
        <v>D02-S05</v>
      </c>
      <c r="K465" s="1" t="str">
        <f>VLOOKUP(tblCong[[#This Row],[seketCode]],tblSeket[#All],5,FALSE)</f>
        <v>Kainantiba</v>
      </c>
      <c r="L465" s="1" t="str">
        <f>Paris!L$96</f>
        <v>P04</v>
      </c>
      <c r="M465" s="1" t="str">
        <f>CONCATENATE(tblCong[[#This Row],[seketCode]],"-",tblCong[[#This Row],[pCode]])</f>
        <v>D02-S05-P04</v>
      </c>
      <c r="N465" s="1" t="str">
        <f>Paris!M$96</f>
        <v>Tauri</v>
      </c>
      <c r="O465" s="1" t="s">
        <v>578</v>
      </c>
      <c r="P465" s="1" t="s">
        <v>1009</v>
      </c>
    </row>
    <row r="466" spans="6:16" x14ac:dyDescent="0.35">
      <c r="F466" s="1" t="str">
        <f>CONCATENATE(tblCong[[#This Row],[parishCode]],"-",tblCong[[#This Row],[kCode]])</f>
        <v>D02-S05-P04-K08</v>
      </c>
      <c r="G466" s="1" t="str">
        <f>Distrik!F$6</f>
        <v>D02</v>
      </c>
      <c r="H466" s="1" t="str">
        <f>VLOOKUP(tblCong[[#This Row],[distCode]],tblDistrict[#All],2)</f>
        <v>Jabem</v>
      </c>
      <c r="I466" s="1" t="str">
        <f>Seket!I$17</f>
        <v>S05</v>
      </c>
      <c r="J466" s="1" t="str">
        <f>CONCATENATE(tblCong[[#This Row],[distCode]],"-",tblCong[[#This Row],[sCode]])</f>
        <v>D02-S05</v>
      </c>
      <c r="K466" s="1" t="str">
        <f>VLOOKUP(tblCong[[#This Row],[seketCode]],tblSeket[#All],5,FALSE)</f>
        <v>Kainantiba</v>
      </c>
      <c r="L466" s="1" t="str">
        <f>Paris!L$96</f>
        <v>P04</v>
      </c>
      <c r="M466" s="1" t="str">
        <f>CONCATENATE(tblCong[[#This Row],[seketCode]],"-",tblCong[[#This Row],[pCode]])</f>
        <v>D02-S05-P04</v>
      </c>
      <c r="N466" s="1" t="str">
        <f>Paris!M$96</f>
        <v>Tauri</v>
      </c>
      <c r="O466" s="1" t="s">
        <v>651</v>
      </c>
      <c r="P466" s="1" t="s">
        <v>1010</v>
      </c>
    </row>
    <row r="467" spans="6:16" x14ac:dyDescent="0.35">
      <c r="F467" s="1" t="str">
        <f>CONCATENATE(tblCong[[#This Row],[parishCode]],"-",tblCong[[#This Row],[kCode]])</f>
        <v>D02-S05-P04-K09</v>
      </c>
      <c r="G467" s="1" t="str">
        <f>Distrik!F$6</f>
        <v>D02</v>
      </c>
      <c r="H467" s="1" t="str">
        <f>VLOOKUP(tblCong[[#This Row],[distCode]],tblDistrict[#All],2)</f>
        <v>Jabem</v>
      </c>
      <c r="I467" s="1" t="str">
        <f>Seket!I$17</f>
        <v>S05</v>
      </c>
      <c r="J467" s="1" t="str">
        <f>CONCATENATE(tblCong[[#This Row],[distCode]],"-",tblCong[[#This Row],[sCode]])</f>
        <v>D02-S05</v>
      </c>
      <c r="K467" s="1" t="str">
        <f>VLOOKUP(tblCong[[#This Row],[seketCode]],tblSeket[#All],5,FALSE)</f>
        <v>Kainantiba</v>
      </c>
      <c r="L467" s="1" t="str">
        <f>Paris!L$96</f>
        <v>P04</v>
      </c>
      <c r="M467" s="1" t="str">
        <f>CONCATENATE(tblCong[[#This Row],[seketCode]],"-",tblCong[[#This Row],[pCode]])</f>
        <v>D02-S05-P04</v>
      </c>
      <c r="N467" s="1" t="str">
        <f>Paris!M$96</f>
        <v>Tauri</v>
      </c>
      <c r="O467" s="1" t="s">
        <v>653</v>
      </c>
      <c r="P467" s="1" t="s">
        <v>1011</v>
      </c>
    </row>
    <row r="468" spans="6:16" x14ac:dyDescent="0.35">
      <c r="F468" s="1" t="str">
        <f>CONCATENATE(tblCong[[#This Row],[parishCode]],"-",tblCong[[#This Row],[kCode]])</f>
        <v>D02-S05-P04-K10</v>
      </c>
      <c r="G468" s="1" t="str">
        <f>Distrik!F$6</f>
        <v>D02</v>
      </c>
      <c r="H468" s="1" t="str">
        <f>VLOOKUP(tblCong[[#This Row],[distCode]],tblDistrict[#All],2)</f>
        <v>Jabem</v>
      </c>
      <c r="I468" s="1" t="str">
        <f>Seket!I$17</f>
        <v>S05</v>
      </c>
      <c r="J468" s="1" t="str">
        <f>CONCATENATE(tblCong[[#This Row],[distCode]],"-",tblCong[[#This Row],[sCode]])</f>
        <v>D02-S05</v>
      </c>
      <c r="K468" s="1" t="str">
        <f>VLOOKUP(tblCong[[#This Row],[seketCode]],tblSeket[#All],5,FALSE)</f>
        <v>Kainantiba</v>
      </c>
      <c r="L468" s="1" t="str">
        <f>Paris!L$96</f>
        <v>P04</v>
      </c>
      <c r="M468" s="1" t="str">
        <f>CONCATENATE(tblCong[[#This Row],[seketCode]],"-",tblCong[[#This Row],[pCode]])</f>
        <v>D02-S05-P04</v>
      </c>
      <c r="N468" s="1" t="str">
        <f>Paris!M$96</f>
        <v>Tauri</v>
      </c>
      <c r="O468" s="1" t="s">
        <v>655</v>
      </c>
      <c r="P468" s="1" t="s">
        <v>1012</v>
      </c>
    </row>
    <row r="469" spans="6:16" x14ac:dyDescent="0.35">
      <c r="F469" s="1" t="str">
        <f>CONCATENATE(tblCong[[#This Row],[parishCode]],"-",tblCong[[#This Row],[kCode]])</f>
        <v>D02-S05-P04-K11</v>
      </c>
      <c r="G469" s="1" t="str">
        <f>Distrik!F$6</f>
        <v>D02</v>
      </c>
      <c r="H469" s="1" t="str">
        <f>VLOOKUP(tblCong[[#This Row],[distCode]],tblDistrict[#All],2)</f>
        <v>Jabem</v>
      </c>
      <c r="I469" s="1" t="str">
        <f>Seket!I$17</f>
        <v>S05</v>
      </c>
      <c r="J469" s="1" t="str">
        <f>CONCATENATE(tblCong[[#This Row],[distCode]],"-",tblCong[[#This Row],[sCode]])</f>
        <v>D02-S05</v>
      </c>
      <c r="K469" s="1" t="str">
        <f>VLOOKUP(tblCong[[#This Row],[seketCode]],tblSeket[#All],5,FALSE)</f>
        <v>Kainantiba</v>
      </c>
      <c r="L469" s="1" t="str">
        <f>Paris!L$96</f>
        <v>P04</v>
      </c>
      <c r="M469" s="1" t="str">
        <f>CONCATENATE(tblCong[[#This Row],[seketCode]],"-",tblCong[[#This Row],[pCode]])</f>
        <v>D02-S05-P04</v>
      </c>
      <c r="N469" s="1" t="str">
        <f>Paris!M$96</f>
        <v>Tauri</v>
      </c>
      <c r="O469" s="1" t="s">
        <v>1013</v>
      </c>
      <c r="P469" s="1" t="s">
        <v>1014</v>
      </c>
    </row>
    <row r="470" spans="6:16" x14ac:dyDescent="0.35">
      <c r="F470" s="1" t="str">
        <f>CONCATENATE(tblCong[[#This Row],[parishCode]],"-",tblCong[[#This Row],[kCode]])</f>
        <v>D02-S05-P04-K12</v>
      </c>
      <c r="G470" s="1" t="str">
        <f>Distrik!F$6</f>
        <v>D02</v>
      </c>
      <c r="H470" s="1" t="str">
        <f>VLOOKUP(tblCong[[#This Row],[distCode]],tblDistrict[#All],2)</f>
        <v>Jabem</v>
      </c>
      <c r="I470" s="1" t="str">
        <f>Seket!I$17</f>
        <v>S05</v>
      </c>
      <c r="J470" s="1" t="str">
        <f>CONCATENATE(tblCong[[#This Row],[distCode]],"-",tblCong[[#This Row],[sCode]])</f>
        <v>D02-S05</v>
      </c>
      <c r="K470" s="1" t="str">
        <f>VLOOKUP(tblCong[[#This Row],[seketCode]],tblSeket[#All],5,FALSE)</f>
        <v>Kainantiba</v>
      </c>
      <c r="L470" s="1" t="str">
        <f>Paris!L$96</f>
        <v>P04</v>
      </c>
      <c r="M470" s="1" t="str">
        <f>CONCATENATE(tblCong[[#This Row],[seketCode]],"-",tblCong[[#This Row],[pCode]])</f>
        <v>D02-S05-P04</v>
      </c>
      <c r="N470" s="1" t="str">
        <f>Paris!M$96</f>
        <v>Tauri</v>
      </c>
      <c r="O470" s="1" t="s">
        <v>1015</v>
      </c>
      <c r="P470" s="1" t="s">
        <v>1016</v>
      </c>
    </row>
    <row r="471" spans="6:16" x14ac:dyDescent="0.35">
      <c r="F471" s="1" t="str">
        <f>CONCATENATE(tblCong[[#This Row],[parishCode]],"-",tblCong[[#This Row],[kCode]])</f>
        <v>D02-S05-P04-K13</v>
      </c>
      <c r="G471" s="1" t="str">
        <f>Distrik!F$6</f>
        <v>D02</v>
      </c>
      <c r="H471" s="1" t="str">
        <f>VLOOKUP(tblCong[[#This Row],[distCode]],tblDistrict[#All],2)</f>
        <v>Jabem</v>
      </c>
      <c r="I471" s="1" t="str">
        <f>Seket!I$17</f>
        <v>S05</v>
      </c>
      <c r="J471" s="1" t="str">
        <f>CONCATENATE(tblCong[[#This Row],[distCode]],"-",tblCong[[#This Row],[sCode]])</f>
        <v>D02-S05</v>
      </c>
      <c r="K471" s="1" t="str">
        <f>VLOOKUP(tblCong[[#This Row],[seketCode]],tblSeket[#All],5,FALSE)</f>
        <v>Kainantiba</v>
      </c>
      <c r="L471" s="1" t="str">
        <f>Paris!L$96</f>
        <v>P04</v>
      </c>
      <c r="M471" s="1" t="str">
        <f>CONCATENATE(tblCong[[#This Row],[seketCode]],"-",tblCong[[#This Row],[pCode]])</f>
        <v>D02-S05-P04</v>
      </c>
      <c r="N471" s="1" t="str">
        <f>Paris!M$96</f>
        <v>Tauri</v>
      </c>
      <c r="O471" s="1" t="s">
        <v>1017</v>
      </c>
      <c r="P471" s="1" t="s">
        <v>1018</v>
      </c>
    </row>
    <row r="472" spans="6:16" x14ac:dyDescent="0.35">
      <c r="F472" s="1" t="str">
        <f>CONCATENATE(tblCong[[#This Row],[parishCode]],"-",tblCong[[#This Row],[kCode]])</f>
        <v>D02-S05-P04-K14</v>
      </c>
      <c r="G472" s="1" t="str">
        <f>Distrik!F$6</f>
        <v>D02</v>
      </c>
      <c r="H472" s="1" t="str">
        <f>VLOOKUP(tblCong[[#This Row],[distCode]],tblDistrict[#All],2)</f>
        <v>Jabem</v>
      </c>
      <c r="I472" s="1" t="str">
        <f>Seket!I$17</f>
        <v>S05</v>
      </c>
      <c r="J472" s="1" t="str">
        <f>CONCATENATE(tblCong[[#This Row],[distCode]],"-",tblCong[[#This Row],[sCode]])</f>
        <v>D02-S05</v>
      </c>
      <c r="K472" s="1" t="str">
        <f>VLOOKUP(tblCong[[#This Row],[seketCode]],tblSeket[#All],5,FALSE)</f>
        <v>Kainantiba</v>
      </c>
      <c r="L472" s="1" t="str">
        <f>Paris!L$96</f>
        <v>P04</v>
      </c>
      <c r="M472" s="1" t="str">
        <f>CONCATENATE(tblCong[[#This Row],[seketCode]],"-",tblCong[[#This Row],[pCode]])</f>
        <v>D02-S05-P04</v>
      </c>
      <c r="N472" s="1" t="str">
        <f>Paris!M$96</f>
        <v>Tauri</v>
      </c>
      <c r="O472" s="1" t="s">
        <v>1019</v>
      </c>
      <c r="P472" s="1" t="s">
        <v>1020</v>
      </c>
    </row>
    <row r="473" spans="6:16" x14ac:dyDescent="0.35">
      <c r="F473" s="1" t="str">
        <f>CONCATENATE(tblCong[[#This Row],[parishCode]],"-",tblCong[[#This Row],[kCode]])</f>
        <v>D02-S05-P04-K15</v>
      </c>
      <c r="G473" s="1" t="str">
        <f>Distrik!F$6</f>
        <v>D02</v>
      </c>
      <c r="H473" s="1" t="str">
        <f>VLOOKUP(tblCong[[#This Row],[distCode]],tblDistrict[#All],2)</f>
        <v>Jabem</v>
      </c>
      <c r="I473" s="1" t="str">
        <f>Seket!I$17</f>
        <v>S05</v>
      </c>
      <c r="J473" s="1" t="str">
        <f>CONCATENATE(tblCong[[#This Row],[distCode]],"-",tblCong[[#This Row],[sCode]])</f>
        <v>D02-S05</v>
      </c>
      <c r="K473" s="1" t="str">
        <f>VLOOKUP(tblCong[[#This Row],[seketCode]],tblSeket[#All],5,FALSE)</f>
        <v>Kainantiba</v>
      </c>
      <c r="L473" s="1" t="str">
        <f>Paris!L$96</f>
        <v>P04</v>
      </c>
      <c r="M473" s="1" t="str">
        <f>CONCATENATE(tblCong[[#This Row],[seketCode]],"-",tblCong[[#This Row],[pCode]])</f>
        <v>D02-S05-P04</v>
      </c>
      <c r="N473" s="1" t="str">
        <f>Paris!M$96</f>
        <v>Tauri</v>
      </c>
      <c r="O473" s="1" t="s">
        <v>1021</v>
      </c>
      <c r="P473" s="1" t="s">
        <v>1022</v>
      </c>
    </row>
    <row r="474" spans="6:16" x14ac:dyDescent="0.35">
      <c r="F474" s="1" t="str">
        <f>CONCATENATE(tblCong[[#This Row],[parishCode]],"-",tblCong[[#This Row],[kCode]])</f>
        <v>D02-S05-P04-K16</v>
      </c>
      <c r="G474" s="1" t="str">
        <f>Distrik!F$6</f>
        <v>D02</v>
      </c>
      <c r="H474" s="1" t="str">
        <f>VLOOKUP(tblCong[[#This Row],[distCode]],tblDistrict[#All],2)</f>
        <v>Jabem</v>
      </c>
      <c r="I474" s="1" t="str">
        <f>Seket!I$17</f>
        <v>S05</v>
      </c>
      <c r="J474" s="1" t="str">
        <f>CONCATENATE(tblCong[[#This Row],[distCode]],"-",tblCong[[#This Row],[sCode]])</f>
        <v>D02-S05</v>
      </c>
      <c r="K474" s="1" t="str">
        <f>VLOOKUP(tblCong[[#This Row],[seketCode]],tblSeket[#All],5,FALSE)</f>
        <v>Kainantiba</v>
      </c>
      <c r="L474" s="1" t="str">
        <f>Paris!L$96</f>
        <v>P04</v>
      </c>
      <c r="M474" s="1" t="str">
        <f>CONCATENATE(tblCong[[#This Row],[seketCode]],"-",tblCong[[#This Row],[pCode]])</f>
        <v>D02-S05-P04</v>
      </c>
      <c r="N474" s="1" t="str">
        <f>Paris!M$96</f>
        <v>Tauri</v>
      </c>
      <c r="O474" s="1" t="s">
        <v>1023</v>
      </c>
      <c r="P474" s="1" t="s">
        <v>1024</v>
      </c>
    </row>
    <row r="475" spans="6:16" x14ac:dyDescent="0.35">
      <c r="F475" s="1" t="str">
        <f>CONCATENATE(tblCong[[#This Row],[parishCode]],"-",tblCong[[#This Row],[kCode]])</f>
        <v>D02-S05-P04-K17</v>
      </c>
      <c r="G475" s="1" t="str">
        <f>Distrik!F$6</f>
        <v>D02</v>
      </c>
      <c r="H475" s="1" t="str">
        <f>VLOOKUP(tblCong[[#This Row],[distCode]],tblDistrict[#All],2)</f>
        <v>Jabem</v>
      </c>
      <c r="I475" s="1" t="str">
        <f>Seket!I$17</f>
        <v>S05</v>
      </c>
      <c r="J475" s="1" t="str">
        <f>CONCATENATE(tblCong[[#This Row],[distCode]],"-",tblCong[[#This Row],[sCode]])</f>
        <v>D02-S05</v>
      </c>
      <c r="K475" s="1" t="str">
        <f>VLOOKUP(tblCong[[#This Row],[seketCode]],tblSeket[#All],5,FALSE)</f>
        <v>Kainantiba</v>
      </c>
      <c r="L475" s="1" t="str">
        <f>Paris!L$96</f>
        <v>P04</v>
      </c>
      <c r="M475" s="1" t="str">
        <f>CONCATENATE(tblCong[[#This Row],[seketCode]],"-",tblCong[[#This Row],[pCode]])</f>
        <v>D02-S05-P04</v>
      </c>
      <c r="N475" s="1" t="str">
        <f>Paris!M$96</f>
        <v>Tauri</v>
      </c>
      <c r="O475" s="1" t="s">
        <v>1025</v>
      </c>
      <c r="P475" s="1" t="s">
        <v>1026</v>
      </c>
    </row>
    <row r="476" spans="6:16" x14ac:dyDescent="0.35">
      <c r="F476" s="1" t="str">
        <f>CONCATENATE(tblCong[[#This Row],[parishCode]],"-",tblCong[[#This Row],[kCode]])</f>
        <v>D02-S05-P04-K18</v>
      </c>
      <c r="G476" s="1" t="str">
        <f>Distrik!F$6</f>
        <v>D02</v>
      </c>
      <c r="H476" s="1" t="str">
        <f>VLOOKUP(tblCong[[#This Row],[distCode]],tblDistrict[#All],2)</f>
        <v>Jabem</v>
      </c>
      <c r="I476" s="1" t="str">
        <f>Seket!I$17</f>
        <v>S05</v>
      </c>
      <c r="J476" s="1" t="str">
        <f>CONCATENATE(tblCong[[#This Row],[distCode]],"-",tblCong[[#This Row],[sCode]])</f>
        <v>D02-S05</v>
      </c>
      <c r="K476" s="1" t="str">
        <f>VLOOKUP(tblCong[[#This Row],[seketCode]],tblSeket[#All],5,FALSE)</f>
        <v>Kainantiba</v>
      </c>
      <c r="L476" s="1" t="str">
        <f>Paris!L$96</f>
        <v>P04</v>
      </c>
      <c r="M476" s="1" t="str">
        <f>CONCATENATE(tblCong[[#This Row],[seketCode]],"-",tblCong[[#This Row],[pCode]])</f>
        <v>D02-S05-P04</v>
      </c>
      <c r="N476" s="1" t="str">
        <f>Paris!M$96</f>
        <v>Tauri</v>
      </c>
      <c r="O476" s="1" t="s">
        <v>1027</v>
      </c>
      <c r="P476" s="1" t="s">
        <v>1028</v>
      </c>
    </row>
    <row r="477" spans="6:16" x14ac:dyDescent="0.35">
      <c r="F477" s="1" t="str">
        <f>CONCATENATE(tblCong[[#This Row],[parishCode]],"-",tblCong[[#This Row],[kCode]])</f>
        <v>D02-S06-P03-K01</v>
      </c>
      <c r="G477" s="1" t="str">
        <f>Distrik!F$6</f>
        <v>D02</v>
      </c>
      <c r="H477" s="1" t="str">
        <f>VLOOKUP(tblCong[[#This Row],[distCode]],tblDistrict[#All],2)</f>
        <v>Jabem</v>
      </c>
      <c r="I477" s="1" t="str">
        <f>Seket!I$18</f>
        <v>S06</v>
      </c>
      <c r="J477" s="1" t="str">
        <f>CONCATENATE(tblCong[[#This Row],[distCode]],"-",tblCong[[#This Row],[sCode]])</f>
        <v>D02-S06</v>
      </c>
      <c r="K477" s="1" t="str">
        <f>VLOOKUP(tblCong[[#This Row],[seketCode]],tblSeket[#All],5,FALSE)</f>
        <v>Lae City</v>
      </c>
      <c r="L477" s="1" t="str">
        <f>Paris!L$99</f>
        <v>P03</v>
      </c>
      <c r="M477" s="1" t="str">
        <f>CONCATENATE(tblCong[[#This Row],[seketCode]],"-",tblCong[[#This Row],[pCode]])</f>
        <v>D02-S06-P03</v>
      </c>
      <c r="N477" s="1" t="str">
        <f>Paris!M$99</f>
        <v>Wanbel</v>
      </c>
      <c r="O477" s="1" t="s">
        <v>567</v>
      </c>
      <c r="P477" s="1" t="s">
        <v>1029</v>
      </c>
    </row>
    <row r="478" spans="6:16" x14ac:dyDescent="0.35">
      <c r="F478" s="1" t="str">
        <f>CONCATENATE(tblCong[[#This Row],[parishCode]],"-",tblCong[[#This Row],[kCode]])</f>
        <v>D02-S06-P03-K02</v>
      </c>
      <c r="G478" s="1" t="str">
        <f>Distrik!F$6</f>
        <v>D02</v>
      </c>
      <c r="H478" s="1" t="str">
        <f>VLOOKUP(tblCong[[#This Row],[distCode]],tblDistrict[#All],2)</f>
        <v>Jabem</v>
      </c>
      <c r="I478" s="1" t="str">
        <f>Seket!I$18</f>
        <v>S06</v>
      </c>
      <c r="J478" s="1" t="str">
        <f>CONCATENATE(tblCong[[#This Row],[distCode]],"-",tblCong[[#This Row],[sCode]])</f>
        <v>D02-S06</v>
      </c>
      <c r="K478" s="1" t="str">
        <f>VLOOKUP(tblCong[[#This Row],[seketCode]],tblSeket[#All],5,FALSE)</f>
        <v>Lae City</v>
      </c>
      <c r="L478" s="1" t="str">
        <f>Paris!L$99</f>
        <v>P03</v>
      </c>
      <c r="M478" s="1" t="str">
        <f>CONCATENATE(tblCong[[#This Row],[seketCode]],"-",tblCong[[#This Row],[pCode]])</f>
        <v>D02-S06-P03</v>
      </c>
      <c r="N478" s="1" t="str">
        <f>Paris!M$99</f>
        <v>Wanbel</v>
      </c>
      <c r="O478" s="1" t="s">
        <v>569</v>
      </c>
      <c r="P478" s="1" t="s">
        <v>1030</v>
      </c>
    </row>
    <row r="479" spans="6:16" x14ac:dyDescent="0.35">
      <c r="F479" s="1" t="str">
        <f>CONCATENATE(tblCong[[#This Row],[parishCode]],"-",tblCong[[#This Row],[kCode]])</f>
        <v>D02-S06-P03-K03</v>
      </c>
      <c r="G479" s="1" t="str">
        <f>Distrik!F$6</f>
        <v>D02</v>
      </c>
      <c r="H479" s="1" t="str">
        <f>VLOOKUP(tblCong[[#This Row],[distCode]],tblDistrict[#All],2)</f>
        <v>Jabem</v>
      </c>
      <c r="I479" s="1" t="str">
        <f>Seket!I$18</f>
        <v>S06</v>
      </c>
      <c r="J479" s="1" t="str">
        <f>CONCATENATE(tblCong[[#This Row],[distCode]],"-",tblCong[[#This Row],[sCode]])</f>
        <v>D02-S06</v>
      </c>
      <c r="K479" s="1" t="str">
        <f>VLOOKUP(tblCong[[#This Row],[seketCode]],tblSeket[#All],5,FALSE)</f>
        <v>Lae City</v>
      </c>
      <c r="L479" s="1" t="str">
        <f>Paris!L$99</f>
        <v>P03</v>
      </c>
      <c r="M479" s="1" t="str">
        <f>CONCATENATE(tblCong[[#This Row],[seketCode]],"-",tblCong[[#This Row],[pCode]])</f>
        <v>D02-S06-P03</v>
      </c>
      <c r="N479" s="1" t="str">
        <f>Paris!M$99</f>
        <v>Wanbel</v>
      </c>
      <c r="O479" s="1" t="s">
        <v>571</v>
      </c>
      <c r="P479" s="1" t="s">
        <v>1031</v>
      </c>
    </row>
    <row r="480" spans="6:16" x14ac:dyDescent="0.35">
      <c r="F480" s="1" t="str">
        <f>CONCATENATE(tblCong[[#This Row],[parishCode]],"-",tblCong[[#This Row],[kCode]])</f>
        <v>D02-S06-P03-K04</v>
      </c>
      <c r="G480" s="1" t="str">
        <f>Distrik!F$6</f>
        <v>D02</v>
      </c>
      <c r="H480" s="1" t="str">
        <f>VLOOKUP(tblCong[[#This Row],[distCode]],tblDistrict[#All],2)</f>
        <v>Jabem</v>
      </c>
      <c r="I480" s="1" t="str">
        <f>Seket!I$18</f>
        <v>S06</v>
      </c>
      <c r="J480" s="1" t="str">
        <f>CONCATENATE(tblCong[[#This Row],[distCode]],"-",tblCong[[#This Row],[sCode]])</f>
        <v>D02-S06</v>
      </c>
      <c r="K480" s="1" t="str">
        <f>VLOOKUP(tblCong[[#This Row],[seketCode]],tblSeket[#All],5,FALSE)</f>
        <v>Lae City</v>
      </c>
      <c r="L480" s="1" t="str">
        <f>Paris!L$99</f>
        <v>P03</v>
      </c>
      <c r="M480" s="1" t="str">
        <f>CONCATENATE(tblCong[[#This Row],[seketCode]],"-",tblCong[[#This Row],[pCode]])</f>
        <v>D02-S06-P03</v>
      </c>
      <c r="N480" s="1" t="str">
        <f>Paris!M$99</f>
        <v>Wanbel</v>
      </c>
      <c r="O480" s="1" t="s">
        <v>573</v>
      </c>
      <c r="P480" s="1" t="s">
        <v>1032</v>
      </c>
    </row>
    <row r="481" spans="6:16" x14ac:dyDescent="0.35">
      <c r="F481" s="1" t="str">
        <f>CONCATENATE(tblCong[[#This Row],[parishCode]],"-",tblCong[[#This Row],[kCode]])</f>
        <v>D02-S06-P06-K01</v>
      </c>
      <c r="G481" s="1" t="str">
        <f>Distrik!F$6</f>
        <v>D02</v>
      </c>
      <c r="H481" s="1" t="str">
        <f>VLOOKUP(tblCong[[#This Row],[distCode]],tblDistrict[#All],2)</f>
        <v>Jabem</v>
      </c>
      <c r="I481" s="1" t="str">
        <f>Seket!I$18</f>
        <v>S06</v>
      </c>
      <c r="J481" s="1" t="str">
        <f>CONCATENATE(tblCong[[#This Row],[distCode]],"-",tblCong[[#This Row],[sCode]])</f>
        <v>D02-S06</v>
      </c>
      <c r="K481" s="1" t="str">
        <f>VLOOKUP(tblCong[[#This Row],[seketCode]],tblSeket[#All],5,FALSE)</f>
        <v>Lae City</v>
      </c>
      <c r="L481" s="1" t="str">
        <f>Paris!L$102</f>
        <v>P06</v>
      </c>
      <c r="M481" s="1" t="str">
        <f>CONCATENATE(tblCong[[#This Row],[seketCode]],"-",tblCong[[#This Row],[pCode]])</f>
        <v>D02-S06-P06</v>
      </c>
      <c r="N481" s="1" t="str">
        <f>Paris!M$102</f>
        <v>Kaisa</v>
      </c>
      <c r="O481" s="1" t="s">
        <v>567</v>
      </c>
      <c r="P481" s="1" t="s">
        <v>1033</v>
      </c>
    </row>
    <row r="482" spans="6:16" x14ac:dyDescent="0.35">
      <c r="F482" s="1" t="str">
        <f>CONCATENATE(tblCong[[#This Row],[parishCode]],"-",tblCong[[#This Row],[kCode]])</f>
        <v>D02-S06-P06-K02</v>
      </c>
      <c r="G482" s="1" t="str">
        <f>Distrik!F$6</f>
        <v>D02</v>
      </c>
      <c r="H482" s="1" t="str">
        <f>VLOOKUP(tblCong[[#This Row],[distCode]],tblDistrict[#All],2)</f>
        <v>Jabem</v>
      </c>
      <c r="I482" s="1" t="str">
        <f>Seket!I$18</f>
        <v>S06</v>
      </c>
      <c r="J482" s="1" t="str">
        <f>CONCATENATE(tblCong[[#This Row],[distCode]],"-",tblCong[[#This Row],[sCode]])</f>
        <v>D02-S06</v>
      </c>
      <c r="K482" s="1" t="str">
        <f>VLOOKUP(tblCong[[#This Row],[seketCode]],tblSeket[#All],5,FALSE)</f>
        <v>Lae City</v>
      </c>
      <c r="L482" s="1" t="str">
        <f>Paris!L$102</f>
        <v>P06</v>
      </c>
      <c r="M482" s="1" t="str">
        <f>CONCATENATE(tblCong[[#This Row],[seketCode]],"-",tblCong[[#This Row],[pCode]])</f>
        <v>D02-S06-P06</v>
      </c>
      <c r="N482" s="1" t="str">
        <f>Paris!M$102</f>
        <v>Kaisa</v>
      </c>
      <c r="O482" s="1" t="s">
        <v>569</v>
      </c>
      <c r="P482" s="1" t="s">
        <v>1034</v>
      </c>
    </row>
    <row r="483" spans="6:16" x14ac:dyDescent="0.35">
      <c r="F483" s="1" t="str">
        <f>CONCATENATE(tblCong[[#This Row],[parishCode]],"-",tblCong[[#This Row],[kCode]])</f>
        <v>D02-S06-P06-K03</v>
      </c>
      <c r="G483" s="1" t="str">
        <f>Distrik!F$6</f>
        <v>D02</v>
      </c>
      <c r="H483" s="1" t="str">
        <f>VLOOKUP(tblCong[[#This Row],[distCode]],tblDistrict[#All],2)</f>
        <v>Jabem</v>
      </c>
      <c r="I483" s="1" t="str">
        <f>Seket!I$18</f>
        <v>S06</v>
      </c>
      <c r="J483" s="1" t="str">
        <f>CONCATENATE(tblCong[[#This Row],[distCode]],"-",tblCong[[#This Row],[sCode]])</f>
        <v>D02-S06</v>
      </c>
      <c r="K483" s="1" t="str">
        <f>VLOOKUP(tblCong[[#This Row],[seketCode]],tblSeket[#All],5,FALSE)</f>
        <v>Lae City</v>
      </c>
      <c r="L483" s="1" t="str">
        <f>Paris!L$102</f>
        <v>P06</v>
      </c>
      <c r="M483" s="1" t="str">
        <f>CONCATENATE(tblCong[[#This Row],[seketCode]],"-",tblCong[[#This Row],[pCode]])</f>
        <v>D02-S06-P06</v>
      </c>
      <c r="N483" s="1" t="str">
        <f>Paris!M$102</f>
        <v>Kaisa</v>
      </c>
      <c r="O483" s="1" t="s">
        <v>571</v>
      </c>
      <c r="P483" s="1" t="s">
        <v>1035</v>
      </c>
    </row>
    <row r="484" spans="6:16" x14ac:dyDescent="0.35">
      <c r="F484" s="1" t="str">
        <f>CONCATENATE(tblCong[[#This Row],[parishCode]],"-",tblCong[[#This Row],[kCode]])</f>
        <v>D02-S06-P09-K01</v>
      </c>
      <c r="G484" s="1" t="str">
        <f>Distrik!F$6</f>
        <v>D02</v>
      </c>
      <c r="H484" s="1" t="str">
        <f>VLOOKUP(tblCong[[#This Row],[distCode]],tblDistrict[#All],2)</f>
        <v>Jabem</v>
      </c>
      <c r="I484" s="1" t="str">
        <f>Seket!I$18</f>
        <v>S06</v>
      </c>
      <c r="J484" s="1" t="str">
        <f>CONCATENATE(tblCong[[#This Row],[distCode]],"-",tblCong[[#This Row],[sCode]])</f>
        <v>D02-S06</v>
      </c>
      <c r="K484" s="1" t="str">
        <f>VLOOKUP(tblCong[[#This Row],[seketCode]],tblSeket[#All],5,FALSE)</f>
        <v>Lae City</v>
      </c>
      <c r="L484" s="1" t="str">
        <f>Paris!L$105</f>
        <v>P09</v>
      </c>
      <c r="M484" s="1" t="str">
        <f>CONCATENATE(tblCong[[#This Row],[seketCode]],"-",tblCong[[#This Row],[pCode]])</f>
        <v>D02-S06-P09</v>
      </c>
      <c r="N484" s="1" t="str">
        <f>Paris!M$105</f>
        <v>St. Timothy</v>
      </c>
      <c r="O484" s="1" t="s">
        <v>567</v>
      </c>
      <c r="P484" s="1" t="s">
        <v>1036</v>
      </c>
    </row>
    <row r="485" spans="6:16" x14ac:dyDescent="0.35">
      <c r="F485" s="1" t="str">
        <f>CONCATENATE(tblCong[[#This Row],[parishCode]],"-",tblCong[[#This Row],[kCode]])</f>
        <v>D02-S06-P09-K02</v>
      </c>
      <c r="G485" s="1" t="str">
        <f>Distrik!F$6</f>
        <v>D02</v>
      </c>
      <c r="H485" s="1" t="str">
        <f>VLOOKUP(tblCong[[#This Row],[distCode]],tblDistrict[#All],2)</f>
        <v>Jabem</v>
      </c>
      <c r="I485" s="1" t="str">
        <f>Seket!I$18</f>
        <v>S06</v>
      </c>
      <c r="J485" s="1" t="str">
        <f>CONCATENATE(tblCong[[#This Row],[distCode]],"-",tblCong[[#This Row],[sCode]])</f>
        <v>D02-S06</v>
      </c>
      <c r="K485" s="1" t="str">
        <f>VLOOKUP(tblCong[[#This Row],[seketCode]],tblSeket[#All],5,FALSE)</f>
        <v>Lae City</v>
      </c>
      <c r="L485" s="1" t="str">
        <f>Paris!L$105</f>
        <v>P09</v>
      </c>
      <c r="M485" s="1" t="str">
        <f>CONCATENATE(tblCong[[#This Row],[seketCode]],"-",tblCong[[#This Row],[pCode]])</f>
        <v>D02-S06-P09</v>
      </c>
      <c r="O485" s="1" t="s">
        <v>569</v>
      </c>
      <c r="P485" s="1" t="s">
        <v>1037</v>
      </c>
    </row>
    <row r="486" spans="6:16" x14ac:dyDescent="0.35">
      <c r="F486" s="1" t="str">
        <f>CONCATENATE(tblCong[[#This Row],[parishCode]],"-",tblCong[[#This Row],[kCode]])</f>
        <v>D02-S06-P09-K03</v>
      </c>
      <c r="G486" s="1" t="str">
        <f>Distrik!F$6</f>
        <v>D02</v>
      </c>
      <c r="H486" s="1" t="str">
        <f>VLOOKUP(tblCong[[#This Row],[distCode]],tblDistrict[#All],2)</f>
        <v>Jabem</v>
      </c>
      <c r="I486" s="1" t="str">
        <f>Seket!I$18</f>
        <v>S06</v>
      </c>
      <c r="J486" s="1" t="str">
        <f>CONCATENATE(tblCong[[#This Row],[distCode]],"-",tblCong[[#This Row],[sCode]])</f>
        <v>D02-S06</v>
      </c>
      <c r="K486" s="1" t="str">
        <f>VLOOKUP(tblCong[[#This Row],[seketCode]],tblSeket[#All],5,FALSE)</f>
        <v>Lae City</v>
      </c>
      <c r="L486" s="1" t="str">
        <f>Paris!L$105</f>
        <v>P09</v>
      </c>
      <c r="M486" s="1" t="str">
        <f>CONCATENATE(tblCong[[#This Row],[seketCode]],"-",tblCong[[#This Row],[pCode]])</f>
        <v>D02-S06-P09</v>
      </c>
      <c r="O486" s="1" t="s">
        <v>571</v>
      </c>
      <c r="P486" s="1" t="s">
        <v>1038</v>
      </c>
    </row>
    <row r="487" spans="6:16" x14ac:dyDescent="0.35">
      <c r="F487" s="1" t="str">
        <f>CONCATENATE(tblCong[[#This Row],[parishCode]],"-",tblCong[[#This Row],[kCode]])</f>
        <v>D02-S06-P13-K01</v>
      </c>
      <c r="G487" s="1" t="str">
        <f>Distrik!F$6</f>
        <v>D02</v>
      </c>
      <c r="H487" s="1" t="str">
        <f>VLOOKUP(tblCong[[#This Row],[distCode]],tblDistrict[#All],2)</f>
        <v>Jabem</v>
      </c>
      <c r="I487" s="1" t="str">
        <f>Seket!I$18</f>
        <v>S06</v>
      </c>
      <c r="J487" s="1" t="str">
        <f>CONCATENATE(tblCong[[#This Row],[distCode]],"-",tblCong[[#This Row],[sCode]])</f>
        <v>D02-S06</v>
      </c>
      <c r="K487" s="1" t="str">
        <f>VLOOKUP(tblCong[[#This Row],[seketCode]],tblSeket[#All],5,FALSE)</f>
        <v>Lae City</v>
      </c>
      <c r="L487" s="1" t="str">
        <f>Paris!L$109</f>
        <v>P13</v>
      </c>
      <c r="M487" s="1" t="str">
        <f>CONCATENATE(tblCong[[#This Row],[seketCode]],"-",tblCong[[#This Row],[pCode]])</f>
        <v>D02-S06-P13</v>
      </c>
      <c r="N487" s="1" t="str">
        <f>Paris!M$109</f>
        <v>Busu</v>
      </c>
      <c r="O487" s="1" t="s">
        <v>567</v>
      </c>
      <c r="P487" s="1" t="s">
        <v>321</v>
      </c>
    </row>
    <row r="488" spans="6:16" x14ac:dyDescent="0.35">
      <c r="F488" s="1" t="str">
        <f>CONCATENATE(tblCong[[#This Row],[parishCode]],"-",tblCong[[#This Row],[kCode]])</f>
        <v>D02-S06-P13-K02</v>
      </c>
      <c r="G488" s="1" t="str">
        <f>Distrik!F$6</f>
        <v>D02</v>
      </c>
      <c r="H488" s="1" t="str">
        <f>VLOOKUP(tblCong[[#This Row],[distCode]],tblDistrict[#All],2)</f>
        <v>Jabem</v>
      </c>
      <c r="I488" s="1" t="str">
        <f>Seket!I$18</f>
        <v>S06</v>
      </c>
      <c r="J488" s="1" t="str">
        <f>CONCATENATE(tblCong[[#This Row],[distCode]],"-",tblCong[[#This Row],[sCode]])</f>
        <v>D02-S06</v>
      </c>
      <c r="K488" s="1" t="str">
        <f>VLOOKUP(tblCong[[#This Row],[seketCode]],tblSeket[#All],5,FALSE)</f>
        <v>Lae City</v>
      </c>
      <c r="L488" s="1" t="str">
        <f>Paris!L$109</f>
        <v>P13</v>
      </c>
      <c r="M488" s="1" t="str">
        <f>CONCATENATE(tblCong[[#This Row],[seketCode]],"-",tblCong[[#This Row],[pCode]])</f>
        <v>D02-S06-P13</v>
      </c>
      <c r="N488" s="1" t="str">
        <f>Paris!M$109</f>
        <v>Busu</v>
      </c>
      <c r="O488" s="1" t="s">
        <v>569</v>
      </c>
      <c r="P488" s="1" t="s">
        <v>1039</v>
      </c>
    </row>
    <row r="489" spans="6:16" x14ac:dyDescent="0.35">
      <c r="F489" s="1" t="str">
        <f>CONCATENATE(tblCong[[#This Row],[parishCode]],"-",tblCong[[#This Row],[kCode]])</f>
        <v>D02-S06-P13-K03</v>
      </c>
      <c r="G489" s="1" t="str">
        <f>Distrik!F$6</f>
        <v>D02</v>
      </c>
      <c r="H489" s="1" t="str">
        <f>VLOOKUP(tblCong[[#This Row],[distCode]],tblDistrict[#All],2)</f>
        <v>Jabem</v>
      </c>
      <c r="I489" s="1" t="str">
        <f>Seket!I$18</f>
        <v>S06</v>
      </c>
      <c r="J489" s="1" t="str">
        <f>CONCATENATE(tblCong[[#This Row],[distCode]],"-",tblCong[[#This Row],[sCode]])</f>
        <v>D02-S06</v>
      </c>
      <c r="K489" s="1" t="str">
        <f>VLOOKUP(tblCong[[#This Row],[seketCode]],tblSeket[#All],5,FALSE)</f>
        <v>Lae City</v>
      </c>
      <c r="L489" s="1" t="str">
        <f>Paris!L$109</f>
        <v>P13</v>
      </c>
      <c r="M489" s="1" t="str">
        <f>CONCATENATE(tblCong[[#This Row],[seketCode]],"-",tblCong[[#This Row],[pCode]])</f>
        <v>D02-S06-P13</v>
      </c>
      <c r="N489" s="1" t="str">
        <f>Paris!M$109</f>
        <v>Busu</v>
      </c>
      <c r="O489" s="1" t="s">
        <v>571</v>
      </c>
      <c r="P489" s="1" t="s">
        <v>1040</v>
      </c>
    </row>
    <row r="490" spans="6:16" x14ac:dyDescent="0.35">
      <c r="F490" s="1" t="str">
        <f>CONCATENATE(tblCong[[#This Row],[parishCode]],"-",tblCong[[#This Row],[kCode]])</f>
        <v>D02-S06-P13-K04</v>
      </c>
      <c r="G490" s="1" t="str">
        <f>Distrik!F$6</f>
        <v>D02</v>
      </c>
      <c r="H490" s="1" t="str">
        <f>VLOOKUP(tblCong[[#This Row],[distCode]],tblDistrict[#All],2)</f>
        <v>Jabem</v>
      </c>
      <c r="I490" s="1" t="str">
        <f>Seket!I$18</f>
        <v>S06</v>
      </c>
      <c r="J490" s="1" t="str">
        <f>CONCATENATE(tblCong[[#This Row],[distCode]],"-",tblCong[[#This Row],[sCode]])</f>
        <v>D02-S06</v>
      </c>
      <c r="K490" s="1" t="str">
        <f>VLOOKUP(tblCong[[#This Row],[seketCode]],tblSeket[#All],5,FALSE)</f>
        <v>Lae City</v>
      </c>
      <c r="L490" s="1" t="str">
        <f>Paris!L$109</f>
        <v>P13</v>
      </c>
      <c r="M490" s="1" t="str">
        <f>CONCATENATE(tblCong[[#This Row],[seketCode]],"-",tblCong[[#This Row],[pCode]])</f>
        <v>D02-S06-P13</v>
      </c>
      <c r="N490" s="1" t="str">
        <f>Paris!M$109</f>
        <v>Busu</v>
      </c>
      <c r="O490" s="1" t="s">
        <v>573</v>
      </c>
      <c r="P490" s="1" t="s">
        <v>1041</v>
      </c>
    </row>
    <row r="491" spans="6:16" x14ac:dyDescent="0.35">
      <c r="F491" s="1" t="str">
        <f>CONCATENATE(tblCong[[#This Row],[parishCode]],"-",tblCong[[#This Row],[kCode]])</f>
        <v>D02-S06-P13-K05</v>
      </c>
      <c r="G491" s="1" t="str">
        <f>Distrik!F$6</f>
        <v>D02</v>
      </c>
      <c r="H491" s="1" t="str">
        <f>VLOOKUP(tblCong[[#This Row],[distCode]],tblDistrict[#All],2)</f>
        <v>Jabem</v>
      </c>
      <c r="I491" s="1" t="str">
        <f>Seket!I$18</f>
        <v>S06</v>
      </c>
      <c r="J491" s="1" t="str">
        <f>CONCATENATE(tblCong[[#This Row],[distCode]],"-",tblCong[[#This Row],[sCode]])</f>
        <v>D02-S06</v>
      </c>
      <c r="K491" s="1" t="str">
        <f>VLOOKUP(tblCong[[#This Row],[seketCode]],tblSeket[#All],5,FALSE)</f>
        <v>Lae City</v>
      </c>
      <c r="L491" s="1" t="str">
        <f>Paris!L$109</f>
        <v>P13</v>
      </c>
      <c r="M491" s="1" t="str">
        <f>CONCATENATE(tblCong[[#This Row],[seketCode]],"-",tblCong[[#This Row],[pCode]])</f>
        <v>D02-S06-P13</v>
      </c>
      <c r="N491" s="1" t="str">
        <f>Paris!M$109</f>
        <v>Busu</v>
      </c>
      <c r="O491" s="1" t="s">
        <v>575</v>
      </c>
      <c r="P491" s="1" t="s">
        <v>1042</v>
      </c>
    </row>
    <row r="492" spans="6:16" x14ac:dyDescent="0.35">
      <c r="F492" s="1" t="str">
        <f>CONCATENATE(tblCong[[#This Row],[parishCode]],"-",tblCong[[#This Row],[kCode]])</f>
        <v>D02-S06-P13-K06</v>
      </c>
      <c r="G492" s="1" t="str">
        <f>Distrik!F$6</f>
        <v>D02</v>
      </c>
      <c r="H492" s="1" t="str">
        <f>VLOOKUP(tblCong[[#This Row],[distCode]],tblDistrict[#All],2)</f>
        <v>Jabem</v>
      </c>
      <c r="I492" s="1" t="str">
        <f>Seket!I$18</f>
        <v>S06</v>
      </c>
      <c r="J492" s="1" t="str">
        <f>CONCATENATE(tblCong[[#This Row],[distCode]],"-",tblCong[[#This Row],[sCode]])</f>
        <v>D02-S06</v>
      </c>
      <c r="K492" s="1" t="str">
        <f>VLOOKUP(tblCong[[#This Row],[seketCode]],tblSeket[#All],5,FALSE)</f>
        <v>Lae City</v>
      </c>
      <c r="L492" s="1" t="str">
        <f>Paris!L$109</f>
        <v>P13</v>
      </c>
      <c r="M492" s="1" t="str">
        <f>CONCATENATE(tblCong[[#This Row],[seketCode]],"-",tblCong[[#This Row],[pCode]])</f>
        <v>D02-S06-P13</v>
      </c>
      <c r="N492" s="1" t="str">
        <f>Paris!M$109</f>
        <v>Busu</v>
      </c>
      <c r="O492" s="1" t="s">
        <v>576</v>
      </c>
      <c r="P492" s="1" t="s">
        <v>47</v>
      </c>
    </row>
    <row r="493" spans="6:16" x14ac:dyDescent="0.35">
      <c r="F493" s="1" t="str">
        <f>CONCATENATE(tblCong[[#This Row],[parishCode]],"-",tblCong[[#This Row],[kCode]])</f>
        <v>D02-S06-P14-K01</v>
      </c>
      <c r="G493" s="1" t="str">
        <f>Distrik!F$6</f>
        <v>D02</v>
      </c>
      <c r="H493" s="1" t="str">
        <f>VLOOKUP(tblCong[[#This Row],[distCode]],tblDistrict[#All],2)</f>
        <v>Jabem</v>
      </c>
      <c r="I493" s="1" t="str">
        <f>Seket!I$18</f>
        <v>S06</v>
      </c>
      <c r="J493" s="1" t="str">
        <f>CONCATENATE(tblCong[[#This Row],[distCode]],"-",tblCong[[#This Row],[sCode]])</f>
        <v>D02-S06</v>
      </c>
      <c r="K493" s="1" t="str">
        <f>VLOOKUP(tblCong[[#This Row],[seketCode]],tblSeket[#All],5,FALSE)</f>
        <v>Lae City</v>
      </c>
      <c r="L493" s="1" t="str">
        <f>Paris!L$110</f>
        <v>P14</v>
      </c>
      <c r="M493" s="1" t="str">
        <f>CONCATENATE(tblCong[[#This Row],[seketCode]],"-",tblCong[[#This Row],[pCode]])</f>
        <v>D02-S06-P14</v>
      </c>
      <c r="N493" s="1" t="str">
        <f>Paris!M$110</f>
        <v>Redeemer</v>
      </c>
      <c r="O493" s="1" t="s">
        <v>567</v>
      </c>
      <c r="P493" s="1" t="s">
        <v>1043</v>
      </c>
    </row>
    <row r="494" spans="6:16" x14ac:dyDescent="0.35">
      <c r="F494" s="1" t="str">
        <f>CONCATENATE(tblCong[[#This Row],[parishCode]],"-",tblCong[[#This Row],[kCode]])</f>
        <v>D02-S06-P14-K02</v>
      </c>
      <c r="G494" s="1" t="str">
        <f>Distrik!F$6</f>
        <v>D02</v>
      </c>
      <c r="H494" s="1" t="str">
        <f>VLOOKUP(tblCong[[#This Row],[distCode]],tblDistrict[#All],2)</f>
        <v>Jabem</v>
      </c>
      <c r="I494" s="1" t="str">
        <f>Seket!I$18</f>
        <v>S06</v>
      </c>
      <c r="J494" s="1" t="str">
        <f>CONCATENATE(tblCong[[#This Row],[distCode]],"-",tblCong[[#This Row],[sCode]])</f>
        <v>D02-S06</v>
      </c>
      <c r="K494" s="1" t="str">
        <f>VLOOKUP(tblCong[[#This Row],[seketCode]],tblSeket[#All],5,FALSE)</f>
        <v>Lae City</v>
      </c>
      <c r="L494" s="1" t="str">
        <f>Paris!L$110</f>
        <v>P14</v>
      </c>
      <c r="M494" s="1" t="str">
        <f>CONCATENATE(tblCong[[#This Row],[seketCode]],"-",tblCong[[#This Row],[pCode]])</f>
        <v>D02-S06-P14</v>
      </c>
      <c r="N494" s="1" t="str">
        <f>Paris!M$110</f>
        <v>Redeemer</v>
      </c>
      <c r="O494" s="1" t="s">
        <v>569</v>
      </c>
      <c r="P494" s="1" t="s">
        <v>1037</v>
      </c>
    </row>
    <row r="495" spans="6:16" x14ac:dyDescent="0.35">
      <c r="F495" s="1" t="str">
        <f>CONCATENATE(tblCong[[#This Row],[parishCode]],"-",tblCong[[#This Row],[kCode]])</f>
        <v>D02-S06-P14-K03</v>
      </c>
      <c r="G495" s="1" t="str">
        <f>Distrik!F$6</f>
        <v>D02</v>
      </c>
      <c r="H495" s="1" t="str">
        <f>VLOOKUP(tblCong[[#This Row],[distCode]],tblDistrict[#All],2)</f>
        <v>Jabem</v>
      </c>
      <c r="I495" s="1" t="str">
        <f>Seket!I$18</f>
        <v>S06</v>
      </c>
      <c r="J495" s="1" t="str">
        <f>CONCATENATE(tblCong[[#This Row],[distCode]],"-",tblCong[[#This Row],[sCode]])</f>
        <v>D02-S06</v>
      </c>
      <c r="K495" s="1" t="str">
        <f>VLOOKUP(tblCong[[#This Row],[seketCode]],tblSeket[#All],5,FALSE)</f>
        <v>Lae City</v>
      </c>
      <c r="L495" s="1" t="str">
        <f>Paris!L$110</f>
        <v>P14</v>
      </c>
      <c r="M495" s="1" t="str">
        <f>CONCATENATE(tblCong[[#This Row],[seketCode]],"-",tblCong[[#This Row],[pCode]])</f>
        <v>D02-S06-P14</v>
      </c>
      <c r="N495" s="1" t="str">
        <f>Paris!M$110</f>
        <v>Redeemer</v>
      </c>
      <c r="O495" s="1" t="s">
        <v>571</v>
      </c>
      <c r="P495" s="1" t="s">
        <v>1044</v>
      </c>
    </row>
    <row r="496" spans="6:16" x14ac:dyDescent="0.35">
      <c r="F496" s="1" t="str">
        <f>CONCATENATE(tblCong[[#This Row],[parishCode]],"-",tblCong[[#This Row],[kCode]])</f>
        <v>D02-S06-P16-K01</v>
      </c>
      <c r="G496" s="1" t="str">
        <f>Distrik!F$6</f>
        <v>D02</v>
      </c>
      <c r="H496" s="1" t="str">
        <f>VLOOKUP(tblCong[[#This Row],[distCode]],tblDistrict[#All],2)</f>
        <v>Jabem</v>
      </c>
      <c r="I496" s="1" t="str">
        <f>Seket!I$18</f>
        <v>S06</v>
      </c>
      <c r="J496" s="1" t="str">
        <f>CONCATENATE(tblCong[[#This Row],[distCode]],"-",tblCong[[#This Row],[sCode]])</f>
        <v>D02-S06</v>
      </c>
      <c r="K496" s="1" t="str">
        <f>VLOOKUP(tblCong[[#This Row],[seketCode]],tblSeket[#All],5,FALSE)</f>
        <v>Lae City</v>
      </c>
      <c r="L496" s="1" t="str">
        <f>Paris!L$112</f>
        <v>P16</v>
      </c>
      <c r="M496" s="1" t="str">
        <f>CONCATENATE(tblCong[[#This Row],[seketCode]],"-",tblCong[[#This Row],[pCode]])</f>
        <v>D02-S06-P16</v>
      </c>
      <c r="N496" s="1" t="str">
        <f>Paris!M$112</f>
        <v>Resurrection</v>
      </c>
      <c r="O496" s="1" t="s">
        <v>567</v>
      </c>
      <c r="P496" s="1" t="s">
        <v>327</v>
      </c>
    </row>
    <row r="497" spans="6:16" x14ac:dyDescent="0.35">
      <c r="F497" s="1" t="str">
        <f>CONCATENATE(tblCong[[#This Row],[parishCode]],"-",tblCong[[#This Row],[kCode]])</f>
        <v>D02-S06-P16-K02</v>
      </c>
      <c r="G497" s="1" t="str">
        <f>Distrik!F$6</f>
        <v>D02</v>
      </c>
      <c r="H497" s="1" t="str">
        <f>VLOOKUP(tblCong[[#This Row],[distCode]],tblDistrict[#All],2)</f>
        <v>Jabem</v>
      </c>
      <c r="I497" s="1" t="str">
        <f>Seket!I$18</f>
        <v>S06</v>
      </c>
      <c r="J497" s="1" t="str">
        <f>CONCATENATE(tblCong[[#This Row],[distCode]],"-",tblCong[[#This Row],[sCode]])</f>
        <v>D02-S06</v>
      </c>
      <c r="K497" s="1" t="str">
        <f>VLOOKUP(tblCong[[#This Row],[seketCode]],tblSeket[#All],5,FALSE)</f>
        <v>Lae City</v>
      </c>
      <c r="L497" s="1" t="str">
        <f>Paris!L$112</f>
        <v>P16</v>
      </c>
      <c r="M497" s="1" t="str">
        <f>CONCATENATE(tblCong[[#This Row],[seketCode]],"-",tblCong[[#This Row],[pCode]])</f>
        <v>D02-S06-P16</v>
      </c>
      <c r="N497" s="1" t="str">
        <f>Paris!M$112</f>
        <v>Resurrection</v>
      </c>
      <c r="O497" s="1" t="s">
        <v>569</v>
      </c>
      <c r="P497" s="1" t="s">
        <v>1045</v>
      </c>
    </row>
    <row r="498" spans="6:16" x14ac:dyDescent="0.35">
      <c r="F498" s="1" t="str">
        <f>CONCATENATE(tblCong[[#This Row],[parishCode]],"-",tblCong[[#This Row],[kCode]])</f>
        <v>D02-S07-P01-K01</v>
      </c>
      <c r="G498" s="1" t="str">
        <f>Distrik!F$6</f>
        <v>D02</v>
      </c>
      <c r="H498" s="1" t="str">
        <f>VLOOKUP(tblCong[[#This Row],[distCode]],tblDistrict[#All],2)</f>
        <v>Jabem</v>
      </c>
      <c r="I498" s="1" t="str">
        <f>Seket!I$19</f>
        <v>S07</v>
      </c>
      <c r="J498" s="1" t="str">
        <f>CONCATENATE(tblCong[[#This Row],[distCode]],"-",tblCong[[#This Row],[sCode]])</f>
        <v>D02-S07</v>
      </c>
      <c r="K498" s="1" t="str">
        <f>VLOOKUP(tblCong[[#This Row],[seketCode]],tblSeket[#All],5,FALSE)</f>
        <v xml:space="preserve">Lae </v>
      </c>
      <c r="L498" s="1" t="str">
        <f>Paris!L$113</f>
        <v>P01</v>
      </c>
      <c r="M498" s="1" t="str">
        <f>CONCATENATE(tblCong[[#This Row],[seketCode]],"-",tblCong[[#This Row],[pCode]])</f>
        <v>D02-S07-P01</v>
      </c>
      <c r="N498" s="1" t="str">
        <f>Paris!M$113</f>
        <v>St. Steven</v>
      </c>
      <c r="O498" s="1" t="s">
        <v>567</v>
      </c>
      <c r="P498" s="1" t="s">
        <v>1046</v>
      </c>
    </row>
    <row r="499" spans="6:16" x14ac:dyDescent="0.35">
      <c r="F499" s="1" t="str">
        <f>CONCATENATE(tblCong[[#This Row],[parishCode]],"-",tblCong[[#This Row],[kCode]])</f>
        <v>D02-S07-P01-K02</v>
      </c>
      <c r="G499" s="1" t="str">
        <f>Distrik!F$6</f>
        <v>D02</v>
      </c>
      <c r="H499" s="1" t="str">
        <f>VLOOKUP(tblCong[[#This Row],[distCode]],tblDistrict[#All],2)</f>
        <v>Jabem</v>
      </c>
      <c r="I499" s="1" t="str">
        <f>Seket!I$19</f>
        <v>S07</v>
      </c>
      <c r="J499" s="1" t="str">
        <f>CONCATENATE(tblCong[[#This Row],[distCode]],"-",tblCong[[#This Row],[sCode]])</f>
        <v>D02-S07</v>
      </c>
      <c r="K499" s="1" t="str">
        <f>VLOOKUP(tblCong[[#This Row],[seketCode]],tblSeket[#All],5,FALSE)</f>
        <v xml:space="preserve">Lae </v>
      </c>
      <c r="L499" s="1" t="str">
        <f>Paris!L$113</f>
        <v>P01</v>
      </c>
      <c r="M499" s="1" t="str">
        <f>CONCATENATE(tblCong[[#This Row],[seketCode]],"-",tblCong[[#This Row],[pCode]])</f>
        <v>D02-S07-P01</v>
      </c>
      <c r="N499" s="1" t="str">
        <f>Paris!M$113</f>
        <v>St. Steven</v>
      </c>
      <c r="O499" s="1" t="s">
        <v>569</v>
      </c>
      <c r="P499" s="1" t="s">
        <v>1047</v>
      </c>
    </row>
    <row r="500" spans="6:16" x14ac:dyDescent="0.35">
      <c r="F500" s="1" t="str">
        <f>CONCATENATE(tblCong[[#This Row],[parishCode]],"-",tblCong[[#This Row],[kCode]])</f>
        <v>D02-S07-P01-K03</v>
      </c>
      <c r="G500" s="1" t="str">
        <f>Distrik!F$6</f>
        <v>D02</v>
      </c>
      <c r="H500" s="1" t="str">
        <f>VLOOKUP(tblCong[[#This Row],[distCode]],tblDistrict[#All],2)</f>
        <v>Jabem</v>
      </c>
      <c r="I500" s="1" t="str">
        <f>Seket!I$19</f>
        <v>S07</v>
      </c>
      <c r="J500" s="1" t="str">
        <f>CONCATENATE(tblCong[[#This Row],[distCode]],"-",tblCong[[#This Row],[sCode]])</f>
        <v>D02-S07</v>
      </c>
      <c r="K500" s="1" t="str">
        <f>VLOOKUP(tblCong[[#This Row],[seketCode]],tblSeket[#All],5,FALSE)</f>
        <v xml:space="preserve">Lae </v>
      </c>
      <c r="L500" s="1" t="str">
        <f>Paris!L$113</f>
        <v>P01</v>
      </c>
      <c r="M500" s="1" t="str">
        <f>CONCATENATE(tblCong[[#This Row],[seketCode]],"-",tblCong[[#This Row],[pCode]])</f>
        <v>D02-S07-P01</v>
      </c>
      <c r="N500" s="1" t="str">
        <f>Paris!M$113</f>
        <v>St. Steven</v>
      </c>
      <c r="O500" s="1" t="s">
        <v>571</v>
      </c>
      <c r="P500" s="1" t="s">
        <v>1048</v>
      </c>
    </row>
    <row r="501" spans="6:16" x14ac:dyDescent="0.35">
      <c r="F501" s="1" t="str">
        <f>CONCATENATE(tblCong[[#This Row],[parishCode]],"-",tblCong[[#This Row],[kCode]])</f>
        <v>D02-S07-P01-K04</v>
      </c>
      <c r="G501" s="1" t="str">
        <f>Distrik!F$6</f>
        <v>D02</v>
      </c>
      <c r="H501" s="1" t="str">
        <f>VLOOKUP(tblCong[[#This Row],[distCode]],tblDistrict[#All],2)</f>
        <v>Jabem</v>
      </c>
      <c r="I501" s="1" t="str">
        <f>Seket!I$19</f>
        <v>S07</v>
      </c>
      <c r="J501" s="1" t="str">
        <f>CONCATENATE(tblCong[[#This Row],[distCode]],"-",tblCong[[#This Row],[sCode]])</f>
        <v>D02-S07</v>
      </c>
      <c r="K501" s="1" t="str">
        <f>VLOOKUP(tblCong[[#This Row],[seketCode]],tblSeket[#All],5,FALSE)</f>
        <v xml:space="preserve">Lae </v>
      </c>
      <c r="L501" s="1" t="str">
        <f>Paris!L$113</f>
        <v>P01</v>
      </c>
      <c r="M501" s="1" t="str">
        <f>CONCATENATE(tblCong[[#This Row],[seketCode]],"-",tblCong[[#This Row],[pCode]])</f>
        <v>D02-S07-P01</v>
      </c>
      <c r="N501" s="1" t="str">
        <f>Paris!M$113</f>
        <v>St. Steven</v>
      </c>
      <c r="O501" s="1" t="s">
        <v>573</v>
      </c>
      <c r="P501" s="1" t="s">
        <v>1049</v>
      </c>
    </row>
    <row r="502" spans="6:16" x14ac:dyDescent="0.35">
      <c r="F502" s="1" t="str">
        <f>CONCATENATE(tblCong[[#This Row],[parishCode]],"-",tblCong[[#This Row],[kCode]])</f>
        <v>D02-S07-P02-K01</v>
      </c>
      <c r="G502" s="1" t="str">
        <f>Distrik!F$6</f>
        <v>D02</v>
      </c>
      <c r="H502" s="1" t="str">
        <f>VLOOKUP(tblCong[[#This Row],[distCode]],tblDistrict[#All],2)</f>
        <v>Jabem</v>
      </c>
      <c r="I502" s="1" t="str">
        <f>Seket!I$19</f>
        <v>S07</v>
      </c>
      <c r="J502" s="1" t="str">
        <f>CONCATENATE(tblCong[[#This Row],[distCode]],"-",tblCong[[#This Row],[sCode]])</f>
        <v>D02-S07</v>
      </c>
      <c r="K502" s="1" t="str">
        <f>VLOOKUP(tblCong[[#This Row],[seketCode]],tblSeket[#All],5,FALSE)</f>
        <v xml:space="preserve">Lae </v>
      </c>
      <c r="L502" s="1" t="str">
        <f>Paris!L$114</f>
        <v>P02</v>
      </c>
      <c r="M502" s="1" t="str">
        <f>CONCATENATE(tblCong[[#This Row],[seketCode]],"-",tblCong[[#This Row],[pCode]])</f>
        <v>D02-S07-P02</v>
      </c>
      <c r="N502" s="1" t="str">
        <f>Paris!M$114</f>
        <v>St. Mathew</v>
      </c>
      <c r="O502" s="1" t="s">
        <v>567</v>
      </c>
      <c r="P502" s="1" t="s">
        <v>1050</v>
      </c>
    </row>
    <row r="503" spans="6:16" x14ac:dyDescent="0.35">
      <c r="F503" s="1" t="str">
        <f>CONCATENATE(tblCong[[#This Row],[parishCode]],"-",tblCong[[#This Row],[kCode]])</f>
        <v>D02-S07-P02-K02</v>
      </c>
      <c r="G503" s="1" t="str">
        <f>Distrik!F$6</f>
        <v>D02</v>
      </c>
      <c r="H503" s="1" t="str">
        <f>VLOOKUP(tblCong[[#This Row],[distCode]],tblDistrict[#All],2)</f>
        <v>Jabem</v>
      </c>
      <c r="I503" s="1" t="str">
        <f>Seket!I$19</f>
        <v>S07</v>
      </c>
      <c r="J503" s="1" t="str">
        <f>CONCATENATE(tblCong[[#This Row],[distCode]],"-",tblCong[[#This Row],[sCode]])</f>
        <v>D02-S07</v>
      </c>
      <c r="K503" s="1" t="str">
        <f>VLOOKUP(tblCong[[#This Row],[seketCode]],tblSeket[#All],5,FALSE)</f>
        <v xml:space="preserve">Lae </v>
      </c>
      <c r="L503" s="1" t="str">
        <f>Paris!L$114</f>
        <v>P02</v>
      </c>
      <c r="M503" s="1" t="str">
        <f>CONCATENATE(tblCong[[#This Row],[seketCode]],"-",tblCong[[#This Row],[pCode]])</f>
        <v>D02-S07-P02</v>
      </c>
      <c r="N503" s="1" t="str">
        <f>Paris!M$114</f>
        <v>St. Mathew</v>
      </c>
      <c r="O503" s="1" t="s">
        <v>569</v>
      </c>
      <c r="P503" s="1" t="s">
        <v>59</v>
      </c>
    </row>
    <row r="504" spans="6:16" x14ac:dyDescent="0.35">
      <c r="F504" s="1" t="str">
        <f>CONCATENATE(tblCong[[#This Row],[parishCode]],"-",tblCong[[#This Row],[kCode]])</f>
        <v>D02-S07-P02-K03</v>
      </c>
      <c r="G504" s="1" t="str">
        <f>Distrik!F$6</f>
        <v>D02</v>
      </c>
      <c r="H504" s="1" t="str">
        <f>VLOOKUP(tblCong[[#This Row],[distCode]],tblDistrict[#All],2)</f>
        <v>Jabem</v>
      </c>
      <c r="I504" s="1" t="str">
        <f>Seket!I$19</f>
        <v>S07</v>
      </c>
      <c r="J504" s="1" t="str">
        <f>CONCATENATE(tblCong[[#This Row],[distCode]],"-",tblCong[[#This Row],[sCode]])</f>
        <v>D02-S07</v>
      </c>
      <c r="K504" s="1" t="str">
        <f>VLOOKUP(tblCong[[#This Row],[seketCode]],tblSeket[#All],5,FALSE)</f>
        <v xml:space="preserve">Lae </v>
      </c>
      <c r="L504" s="1" t="str">
        <f>Paris!L$114</f>
        <v>P02</v>
      </c>
      <c r="M504" s="1" t="str">
        <f>CONCATENATE(tblCong[[#This Row],[seketCode]],"-",tblCong[[#This Row],[pCode]])</f>
        <v>D02-S07-P02</v>
      </c>
      <c r="N504" s="1" t="str">
        <f>Paris!M$114</f>
        <v>St. Mathew</v>
      </c>
      <c r="O504" s="1" t="s">
        <v>571</v>
      </c>
      <c r="P504" s="1" t="s">
        <v>1051</v>
      </c>
    </row>
    <row r="505" spans="6:16" x14ac:dyDescent="0.35">
      <c r="F505" s="1" t="str">
        <f>CONCATENATE(tblCong[[#This Row],[parishCode]],"-",tblCong[[#This Row],[kCode]])</f>
        <v>D02-S07-P03-K01</v>
      </c>
      <c r="G505" s="1" t="str">
        <f>Distrik!F$6</f>
        <v>D02</v>
      </c>
      <c r="H505" s="1" t="str">
        <f>VLOOKUP(tblCong[[#This Row],[distCode]],tblDistrict[#All],2)</f>
        <v>Jabem</v>
      </c>
      <c r="I505" s="1" t="str">
        <f>Seket!I$19</f>
        <v>S07</v>
      </c>
      <c r="J505" s="1" t="str">
        <f>CONCATENATE(tblCong[[#This Row],[distCode]],"-",tblCong[[#This Row],[sCode]])</f>
        <v>D02-S07</v>
      </c>
      <c r="K505" s="1" t="str">
        <f>VLOOKUP(tblCong[[#This Row],[seketCode]],tblSeket[#All],5,FALSE)</f>
        <v xml:space="preserve">Lae </v>
      </c>
      <c r="L505" s="1" t="str">
        <f>Paris!L$115</f>
        <v>P03</v>
      </c>
      <c r="M505" s="1" t="str">
        <f>CONCATENATE(tblCong[[#This Row],[seketCode]],"-",tblCong[[#This Row],[pCode]])</f>
        <v>D02-S07-P03</v>
      </c>
      <c r="N505" s="1" t="str">
        <f>Paris!M$115</f>
        <v>St. Hiob</v>
      </c>
      <c r="O505" s="1" t="s">
        <v>567</v>
      </c>
      <c r="P505" s="1" t="s">
        <v>1052</v>
      </c>
    </row>
    <row r="506" spans="6:16" x14ac:dyDescent="0.35">
      <c r="F506" s="1" t="str">
        <f>CONCATENATE(tblCong[[#This Row],[parishCode]],"-",tblCong[[#This Row],[kCode]])</f>
        <v>D02-S07-P03-K02</v>
      </c>
      <c r="G506" s="1" t="str">
        <f>Distrik!F$6</f>
        <v>D02</v>
      </c>
      <c r="H506" s="1" t="str">
        <f>VLOOKUP(tblCong[[#This Row],[distCode]],tblDistrict[#All],2)</f>
        <v>Jabem</v>
      </c>
      <c r="I506" s="1" t="str">
        <f>Seket!I$19</f>
        <v>S07</v>
      </c>
      <c r="J506" s="1" t="str">
        <f>CONCATENATE(tblCong[[#This Row],[distCode]],"-",tblCong[[#This Row],[sCode]])</f>
        <v>D02-S07</v>
      </c>
      <c r="K506" s="1" t="str">
        <f>VLOOKUP(tblCong[[#This Row],[seketCode]],tblSeket[#All],5,FALSE)</f>
        <v xml:space="preserve">Lae </v>
      </c>
      <c r="L506" s="1" t="str">
        <f>Paris!L$115</f>
        <v>P03</v>
      </c>
      <c r="M506" s="1" t="str">
        <f>CONCATENATE(tblCong[[#This Row],[seketCode]],"-",tblCong[[#This Row],[pCode]])</f>
        <v>D02-S07-P03</v>
      </c>
      <c r="N506" s="1" t="str">
        <f>Paris!M$115</f>
        <v>St. Hiob</v>
      </c>
      <c r="O506" s="1" t="s">
        <v>569</v>
      </c>
      <c r="P506" s="1" t="s">
        <v>1053</v>
      </c>
    </row>
    <row r="507" spans="6:16" x14ac:dyDescent="0.35">
      <c r="F507" s="1" t="str">
        <f>CONCATENATE(tblCong[[#This Row],[parishCode]],"-",tblCong[[#This Row],[kCode]])</f>
        <v>D02-S07-P03-K03</v>
      </c>
      <c r="G507" s="1" t="str">
        <f>Distrik!F$6</f>
        <v>D02</v>
      </c>
      <c r="H507" s="1" t="str">
        <f>VLOOKUP(tblCong[[#This Row],[distCode]],tblDistrict[#All],2)</f>
        <v>Jabem</v>
      </c>
      <c r="I507" s="1" t="str">
        <f>Seket!I$19</f>
        <v>S07</v>
      </c>
      <c r="J507" s="1" t="str">
        <f>CONCATENATE(tblCong[[#This Row],[distCode]],"-",tblCong[[#This Row],[sCode]])</f>
        <v>D02-S07</v>
      </c>
      <c r="K507" s="1" t="str">
        <f>VLOOKUP(tblCong[[#This Row],[seketCode]],tblSeket[#All],5,FALSE)</f>
        <v xml:space="preserve">Lae </v>
      </c>
      <c r="L507" s="1" t="str">
        <f>Paris!L$115</f>
        <v>P03</v>
      </c>
      <c r="M507" s="1" t="str">
        <f>CONCATENATE(tblCong[[#This Row],[seketCode]],"-",tblCong[[#This Row],[pCode]])</f>
        <v>D02-S07-P03</v>
      </c>
      <c r="N507" s="1" t="str">
        <f>Paris!M$115</f>
        <v>St. Hiob</v>
      </c>
      <c r="O507" s="1" t="s">
        <v>571</v>
      </c>
      <c r="P507" s="1" t="s">
        <v>1054</v>
      </c>
    </row>
    <row r="508" spans="6:16" x14ac:dyDescent="0.35">
      <c r="F508" s="1" t="str">
        <f>CONCATENATE(tblCong[[#This Row],[parishCode]],"-",tblCong[[#This Row],[kCode]])</f>
        <v>D02-S07-P03-K04</v>
      </c>
      <c r="G508" s="1" t="str">
        <f>Distrik!F$6</f>
        <v>D02</v>
      </c>
      <c r="H508" s="1" t="str">
        <f>VLOOKUP(tblCong[[#This Row],[distCode]],tblDistrict[#All],2)</f>
        <v>Jabem</v>
      </c>
      <c r="I508" s="1" t="str">
        <f>Seket!I$19</f>
        <v>S07</v>
      </c>
      <c r="J508" s="1" t="str">
        <f>CONCATENATE(tblCong[[#This Row],[distCode]],"-",tblCong[[#This Row],[sCode]])</f>
        <v>D02-S07</v>
      </c>
      <c r="K508" s="1" t="str">
        <f>VLOOKUP(tblCong[[#This Row],[seketCode]],tblSeket[#All],5,FALSE)</f>
        <v xml:space="preserve">Lae </v>
      </c>
      <c r="L508" s="1" t="str">
        <f>Paris!L$115</f>
        <v>P03</v>
      </c>
      <c r="M508" s="1" t="str">
        <f>CONCATENATE(tblCong[[#This Row],[seketCode]],"-",tblCong[[#This Row],[pCode]])</f>
        <v>D02-S07-P03</v>
      </c>
      <c r="N508" s="1" t="str">
        <f>Paris!M$115</f>
        <v>St. Hiob</v>
      </c>
      <c r="O508" s="1" t="s">
        <v>573</v>
      </c>
      <c r="P508" s="1" t="s">
        <v>1055</v>
      </c>
    </row>
    <row r="509" spans="6:16" x14ac:dyDescent="0.35">
      <c r="F509" s="1" t="str">
        <f>CONCATENATE(tblCong[[#This Row],[parishCode]],"-",tblCong[[#This Row],[kCode]])</f>
        <v>D02-S07-P03-K05</v>
      </c>
      <c r="G509" s="1" t="str">
        <f>Distrik!F$6</f>
        <v>D02</v>
      </c>
      <c r="H509" s="1" t="str">
        <f>VLOOKUP(tblCong[[#This Row],[distCode]],tblDistrict[#All],2)</f>
        <v>Jabem</v>
      </c>
      <c r="I509" s="1" t="str">
        <f>Seket!I$19</f>
        <v>S07</v>
      </c>
      <c r="J509" s="1" t="str">
        <f>CONCATENATE(tblCong[[#This Row],[distCode]],"-",tblCong[[#This Row],[sCode]])</f>
        <v>D02-S07</v>
      </c>
      <c r="K509" s="1" t="str">
        <f>VLOOKUP(tblCong[[#This Row],[seketCode]],tblSeket[#All],5,FALSE)</f>
        <v xml:space="preserve">Lae </v>
      </c>
      <c r="L509" s="1" t="str">
        <f>Paris!L$115</f>
        <v>P03</v>
      </c>
      <c r="M509" s="1" t="str">
        <f>CONCATENATE(tblCong[[#This Row],[seketCode]],"-",tblCong[[#This Row],[pCode]])</f>
        <v>D02-S07-P03</v>
      </c>
      <c r="N509" s="1" t="str">
        <f>Paris!M$115</f>
        <v>St. Hiob</v>
      </c>
      <c r="O509" s="1" t="s">
        <v>575</v>
      </c>
      <c r="P509" s="1" t="s">
        <v>1056</v>
      </c>
    </row>
    <row r="510" spans="6:16" x14ac:dyDescent="0.35">
      <c r="F510" s="1" t="str">
        <f>CONCATENATE(tblCong[[#This Row],[parishCode]],"-",tblCong[[#This Row],[kCode]])</f>
        <v>D02-S07-P04-K01</v>
      </c>
      <c r="G510" s="1" t="str">
        <f>Distrik!F$6</f>
        <v>D02</v>
      </c>
      <c r="H510" s="1" t="str">
        <f>VLOOKUP(tblCong[[#This Row],[distCode]],tblDistrict[#All],2)</f>
        <v>Jabem</v>
      </c>
      <c r="I510" s="1" t="str">
        <f>Seket!I$19</f>
        <v>S07</v>
      </c>
      <c r="J510" s="1" t="str">
        <f>CONCATENATE(tblCong[[#This Row],[distCode]],"-",tblCong[[#This Row],[sCode]])</f>
        <v>D02-S07</v>
      </c>
      <c r="K510" s="1" t="str">
        <f>VLOOKUP(tblCong[[#This Row],[seketCode]],tblSeket[#All],5,FALSE)</f>
        <v xml:space="preserve">Lae </v>
      </c>
      <c r="L510" s="1" t="str">
        <f>Paris!L$116</f>
        <v>P04</v>
      </c>
      <c r="M510" s="1" t="str">
        <f>CONCATENATE(tblCong[[#This Row],[seketCode]],"-",tblCong[[#This Row],[pCode]])</f>
        <v>D02-S07-P04</v>
      </c>
      <c r="N510" s="1" t="str">
        <f>Paris!M$116</f>
        <v>Schmutterer</v>
      </c>
      <c r="O510" s="1" t="s">
        <v>567</v>
      </c>
      <c r="P510" s="1" t="s">
        <v>1057</v>
      </c>
    </row>
    <row r="511" spans="6:16" x14ac:dyDescent="0.35">
      <c r="F511" s="1" t="str">
        <f>CONCATENATE(tblCong[[#This Row],[parishCode]],"-",tblCong[[#This Row],[kCode]])</f>
        <v>D02-S07-P04-K02</v>
      </c>
      <c r="G511" s="1" t="str">
        <f>Distrik!F$6</f>
        <v>D02</v>
      </c>
      <c r="H511" s="1" t="str">
        <f>VLOOKUP(tblCong[[#This Row],[distCode]],tblDistrict[#All],2)</f>
        <v>Jabem</v>
      </c>
      <c r="I511" s="1" t="str">
        <f>Seket!I$19</f>
        <v>S07</v>
      </c>
      <c r="J511" s="1" t="str">
        <f>CONCATENATE(tblCong[[#This Row],[distCode]],"-",tblCong[[#This Row],[sCode]])</f>
        <v>D02-S07</v>
      </c>
      <c r="K511" s="1" t="str">
        <f>VLOOKUP(tblCong[[#This Row],[seketCode]],tblSeket[#All],5,FALSE)</f>
        <v xml:space="preserve">Lae </v>
      </c>
      <c r="L511" s="1" t="str">
        <f>Paris!L$116</f>
        <v>P04</v>
      </c>
      <c r="M511" s="1" t="str">
        <f>CONCATENATE(tblCong[[#This Row],[seketCode]],"-",tblCong[[#This Row],[pCode]])</f>
        <v>D02-S07-P04</v>
      </c>
      <c r="N511" s="1" t="str">
        <f>Paris!M$116</f>
        <v>Schmutterer</v>
      </c>
      <c r="O511" s="1" t="s">
        <v>569</v>
      </c>
      <c r="P511" s="1" t="s">
        <v>1058</v>
      </c>
    </row>
    <row r="512" spans="6:16" x14ac:dyDescent="0.35">
      <c r="F512" s="1" t="str">
        <f>CONCATENATE(tblCong[[#This Row],[parishCode]],"-",tblCong[[#This Row],[kCode]])</f>
        <v>D02-S07-P04-K03</v>
      </c>
      <c r="G512" s="1" t="str">
        <f>Distrik!F$6</f>
        <v>D02</v>
      </c>
      <c r="H512" s="1" t="str">
        <f>VLOOKUP(tblCong[[#This Row],[distCode]],tblDistrict[#All],2)</f>
        <v>Jabem</v>
      </c>
      <c r="I512" s="1" t="str">
        <f>Seket!I$19</f>
        <v>S07</v>
      </c>
      <c r="J512" s="1" t="str">
        <f>CONCATENATE(tblCong[[#This Row],[distCode]],"-",tblCong[[#This Row],[sCode]])</f>
        <v>D02-S07</v>
      </c>
      <c r="K512" s="1" t="str">
        <f>VLOOKUP(tblCong[[#This Row],[seketCode]],tblSeket[#All],5,FALSE)</f>
        <v xml:space="preserve">Lae </v>
      </c>
      <c r="L512" s="1" t="str">
        <f>Paris!L$116</f>
        <v>P04</v>
      </c>
      <c r="M512" s="1" t="str">
        <f>CONCATENATE(tblCong[[#This Row],[seketCode]],"-",tblCong[[#This Row],[pCode]])</f>
        <v>D02-S07-P04</v>
      </c>
      <c r="N512" s="1" t="str">
        <f>Paris!M$116</f>
        <v>Schmutterer</v>
      </c>
      <c r="O512" s="1" t="s">
        <v>571</v>
      </c>
      <c r="P512" s="1" t="s">
        <v>1059</v>
      </c>
    </row>
    <row r="513" spans="6:16" x14ac:dyDescent="0.35">
      <c r="F513" s="1" t="str">
        <f>CONCATENATE(tblCong[[#This Row],[parishCode]],"-",tblCong[[#This Row],[kCode]])</f>
        <v>D02-S07-P04-K04</v>
      </c>
      <c r="G513" s="1" t="str">
        <f>Distrik!F$6</f>
        <v>D02</v>
      </c>
      <c r="H513" s="1" t="str">
        <f>VLOOKUP(tblCong[[#This Row],[distCode]],tblDistrict[#All],2)</f>
        <v>Jabem</v>
      </c>
      <c r="I513" s="1" t="str">
        <f>Seket!I$19</f>
        <v>S07</v>
      </c>
      <c r="J513" s="1" t="str">
        <f>CONCATENATE(tblCong[[#This Row],[distCode]],"-",tblCong[[#This Row],[sCode]])</f>
        <v>D02-S07</v>
      </c>
      <c r="K513" s="1" t="str">
        <f>VLOOKUP(tblCong[[#This Row],[seketCode]],tblSeket[#All],5,FALSE)</f>
        <v xml:space="preserve">Lae </v>
      </c>
      <c r="L513" s="1" t="str">
        <f>Paris!L$116</f>
        <v>P04</v>
      </c>
      <c r="M513" s="1" t="str">
        <f>CONCATENATE(tblCong[[#This Row],[seketCode]],"-",tblCong[[#This Row],[pCode]])</f>
        <v>D02-S07-P04</v>
      </c>
      <c r="N513" s="1" t="str">
        <f>Paris!M$116</f>
        <v>Schmutterer</v>
      </c>
      <c r="O513" s="1" t="s">
        <v>573</v>
      </c>
      <c r="P513" s="1" t="s">
        <v>1060</v>
      </c>
    </row>
    <row r="514" spans="6:16" x14ac:dyDescent="0.35">
      <c r="F514" s="1" t="str">
        <f>CONCATENATE(tblCong[[#This Row],[parishCode]],"-",tblCong[[#This Row],[kCode]])</f>
        <v>D02-S07-P04-K05</v>
      </c>
      <c r="G514" s="1" t="str">
        <f>Distrik!F$6</f>
        <v>D02</v>
      </c>
      <c r="H514" s="1" t="str">
        <f>VLOOKUP(tblCong[[#This Row],[distCode]],tblDistrict[#All],2)</f>
        <v>Jabem</v>
      </c>
      <c r="I514" s="1" t="str">
        <f>Seket!I$19</f>
        <v>S07</v>
      </c>
      <c r="J514" s="1" t="str">
        <f>CONCATENATE(tblCong[[#This Row],[distCode]],"-",tblCong[[#This Row],[sCode]])</f>
        <v>D02-S07</v>
      </c>
      <c r="K514" s="1" t="str">
        <f>VLOOKUP(tblCong[[#This Row],[seketCode]],tblSeket[#All],5,FALSE)</f>
        <v xml:space="preserve">Lae </v>
      </c>
      <c r="L514" s="1" t="str">
        <f>Paris!L$116</f>
        <v>P04</v>
      </c>
      <c r="M514" s="1" t="str">
        <f>CONCATENATE(tblCong[[#This Row],[seketCode]],"-",tblCong[[#This Row],[pCode]])</f>
        <v>D02-S07-P04</v>
      </c>
      <c r="N514" s="1" t="str">
        <f>Paris!M$116</f>
        <v>Schmutterer</v>
      </c>
      <c r="O514" s="1" t="s">
        <v>575</v>
      </c>
      <c r="P514" s="1" t="s">
        <v>1061</v>
      </c>
    </row>
    <row r="515" spans="6:16" x14ac:dyDescent="0.35">
      <c r="F515" s="1" t="str">
        <f>CONCATENATE(tblCong[[#This Row],[parishCode]],"-",tblCong[[#This Row],[kCode]])</f>
        <v>D02-S07-P05-K01</v>
      </c>
      <c r="G515" s="1" t="str">
        <f>Distrik!F$6</f>
        <v>D02</v>
      </c>
      <c r="H515" s="1" t="str">
        <f>VLOOKUP(tblCong[[#This Row],[distCode]],tblDistrict[#All],2)</f>
        <v>Jabem</v>
      </c>
      <c r="I515" s="1" t="str">
        <f>Seket!I$19</f>
        <v>S07</v>
      </c>
      <c r="J515" s="1" t="str">
        <f>CONCATENATE(tblCong[[#This Row],[distCode]],"-",tblCong[[#This Row],[sCode]])</f>
        <v>D02-S07</v>
      </c>
      <c r="K515" s="1" t="str">
        <f>VLOOKUP(tblCong[[#This Row],[seketCode]],tblSeket[#All],5,FALSE)</f>
        <v xml:space="preserve">Lae </v>
      </c>
      <c r="L515" s="1" t="str">
        <f>Paris!L$117</f>
        <v>P05</v>
      </c>
      <c r="M515" s="1" t="str">
        <f>CONCATENATE(tblCong[[#This Row],[seketCode]],"-",tblCong[[#This Row],[pCode]])</f>
        <v>D02-S07-P05</v>
      </c>
      <c r="N515" s="1" t="str">
        <f>Paris!M$117</f>
        <v>St. Philips</v>
      </c>
      <c r="O515" s="1" t="s">
        <v>567</v>
      </c>
      <c r="P515" s="1" t="s">
        <v>1062</v>
      </c>
    </row>
    <row r="516" spans="6:16" x14ac:dyDescent="0.35">
      <c r="F516" s="1" t="str">
        <f>CONCATENATE(tblCong[[#This Row],[parishCode]],"-",tblCong[[#This Row],[kCode]])</f>
        <v>D02-S07-P05-K02</v>
      </c>
      <c r="G516" s="1" t="str">
        <f>Distrik!F$6</f>
        <v>D02</v>
      </c>
      <c r="H516" s="1" t="str">
        <f>VLOOKUP(tblCong[[#This Row],[distCode]],tblDistrict[#All],2)</f>
        <v>Jabem</v>
      </c>
      <c r="I516" s="1" t="str">
        <f>Seket!I$19</f>
        <v>S07</v>
      </c>
      <c r="J516" s="1" t="str">
        <f>CONCATENATE(tblCong[[#This Row],[distCode]],"-",tblCong[[#This Row],[sCode]])</f>
        <v>D02-S07</v>
      </c>
      <c r="K516" s="1" t="str">
        <f>VLOOKUP(tblCong[[#This Row],[seketCode]],tblSeket[#All],5,FALSE)</f>
        <v xml:space="preserve">Lae </v>
      </c>
      <c r="L516" s="1" t="str">
        <f>Paris!L$117</f>
        <v>P05</v>
      </c>
      <c r="M516" s="1" t="str">
        <f>CONCATENATE(tblCong[[#This Row],[seketCode]],"-",tblCong[[#This Row],[pCode]])</f>
        <v>D02-S07-P05</v>
      </c>
      <c r="N516" s="1" t="str">
        <f>Paris!M$117</f>
        <v>St. Philips</v>
      </c>
      <c r="O516" s="1" t="s">
        <v>569</v>
      </c>
      <c r="P516" s="1" t="s">
        <v>1063</v>
      </c>
    </row>
    <row r="517" spans="6:16" x14ac:dyDescent="0.35">
      <c r="F517" s="1" t="str">
        <f>CONCATENATE(tblCong[[#This Row],[parishCode]],"-",tblCong[[#This Row],[kCode]])</f>
        <v>D02-S07-P05-K03</v>
      </c>
      <c r="G517" s="1" t="str">
        <f>Distrik!F$6</f>
        <v>D02</v>
      </c>
      <c r="H517" s="1" t="str">
        <f>VLOOKUP(tblCong[[#This Row],[distCode]],tblDistrict[#All],2)</f>
        <v>Jabem</v>
      </c>
      <c r="I517" s="1" t="str">
        <f>Seket!I$19</f>
        <v>S07</v>
      </c>
      <c r="J517" s="1" t="str">
        <f>CONCATENATE(tblCong[[#This Row],[distCode]],"-",tblCong[[#This Row],[sCode]])</f>
        <v>D02-S07</v>
      </c>
      <c r="K517" s="1" t="str">
        <f>VLOOKUP(tblCong[[#This Row],[seketCode]],tblSeket[#All],5,FALSE)</f>
        <v xml:space="preserve">Lae </v>
      </c>
      <c r="L517" s="1" t="str">
        <f>Paris!L$117</f>
        <v>P05</v>
      </c>
      <c r="M517" s="1" t="str">
        <f>CONCATENATE(tblCong[[#This Row],[seketCode]],"-",tblCong[[#This Row],[pCode]])</f>
        <v>D02-S07-P05</v>
      </c>
      <c r="N517" s="1" t="str">
        <f>Paris!M$117</f>
        <v>St. Philips</v>
      </c>
      <c r="O517" s="1" t="s">
        <v>571</v>
      </c>
      <c r="P517" s="1" t="s">
        <v>1064</v>
      </c>
    </row>
    <row r="518" spans="6:16" x14ac:dyDescent="0.35">
      <c r="F518" s="1" t="str">
        <f>CONCATENATE(tblCong[[#This Row],[parishCode]],"-",tblCong[[#This Row],[kCode]])</f>
        <v>D02-S07-P05-K04</v>
      </c>
      <c r="G518" s="1" t="str">
        <f>Distrik!F$6</f>
        <v>D02</v>
      </c>
      <c r="H518" s="1" t="str">
        <f>VLOOKUP(tblCong[[#This Row],[distCode]],tblDistrict[#All],2)</f>
        <v>Jabem</v>
      </c>
      <c r="I518" s="1" t="str">
        <f>Seket!I$19</f>
        <v>S07</v>
      </c>
      <c r="J518" s="1" t="str">
        <f>CONCATENATE(tblCong[[#This Row],[distCode]],"-",tblCong[[#This Row],[sCode]])</f>
        <v>D02-S07</v>
      </c>
      <c r="K518" s="1" t="str">
        <f>VLOOKUP(tblCong[[#This Row],[seketCode]],tblSeket[#All],5,FALSE)</f>
        <v xml:space="preserve">Lae </v>
      </c>
      <c r="L518" s="1" t="str">
        <f>Paris!L$117</f>
        <v>P05</v>
      </c>
      <c r="M518" s="1" t="str">
        <f>CONCATENATE(tblCong[[#This Row],[seketCode]],"-",tblCong[[#This Row],[pCode]])</f>
        <v>D02-S07-P05</v>
      </c>
      <c r="N518" s="1" t="str">
        <f>Paris!M$117</f>
        <v>St. Philips</v>
      </c>
      <c r="O518" s="1" t="s">
        <v>573</v>
      </c>
      <c r="P518" s="1" t="s">
        <v>1065</v>
      </c>
    </row>
    <row r="519" spans="6:16" x14ac:dyDescent="0.35">
      <c r="F519" s="1" t="str">
        <f>CONCATENATE(tblCong[[#This Row],[parishCode]],"-",tblCong[[#This Row],[kCode]])</f>
        <v>D02-S07-P05-K05</v>
      </c>
      <c r="G519" s="1" t="str">
        <f>Distrik!F$6</f>
        <v>D02</v>
      </c>
      <c r="H519" s="1" t="str">
        <f>VLOOKUP(tblCong[[#This Row],[distCode]],tblDistrict[#All],2)</f>
        <v>Jabem</v>
      </c>
      <c r="I519" s="1" t="str">
        <f>Seket!I$19</f>
        <v>S07</v>
      </c>
      <c r="J519" s="1" t="str">
        <f>CONCATENATE(tblCong[[#This Row],[distCode]],"-",tblCong[[#This Row],[sCode]])</f>
        <v>D02-S07</v>
      </c>
      <c r="K519" s="1" t="str">
        <f>VLOOKUP(tblCong[[#This Row],[seketCode]],tblSeket[#All],5,FALSE)</f>
        <v xml:space="preserve">Lae </v>
      </c>
      <c r="L519" s="1" t="str">
        <f>Paris!L$117</f>
        <v>P05</v>
      </c>
      <c r="M519" s="1" t="str">
        <f>CONCATENATE(tblCong[[#This Row],[seketCode]],"-",tblCong[[#This Row],[pCode]])</f>
        <v>D02-S07-P05</v>
      </c>
      <c r="N519" s="1" t="str">
        <f>Paris!M$117</f>
        <v>St. Philips</v>
      </c>
      <c r="O519" s="1" t="s">
        <v>575</v>
      </c>
      <c r="P519" s="1" t="s">
        <v>1066</v>
      </c>
    </row>
    <row r="520" spans="6:16" x14ac:dyDescent="0.35">
      <c r="F520" s="1" t="str">
        <f>CONCATENATE(tblCong[[#This Row],[parishCode]],"-",tblCong[[#This Row],[kCode]])</f>
        <v>D02-S07-P05-K06</v>
      </c>
      <c r="G520" s="1" t="str">
        <f>Distrik!F$6</f>
        <v>D02</v>
      </c>
      <c r="H520" s="1" t="str">
        <f>VLOOKUP(tblCong[[#This Row],[distCode]],tblDistrict[#All],2)</f>
        <v>Jabem</v>
      </c>
      <c r="I520" s="1" t="str">
        <f>Seket!I$19</f>
        <v>S07</v>
      </c>
      <c r="J520" s="1" t="str">
        <f>CONCATENATE(tblCong[[#This Row],[distCode]],"-",tblCong[[#This Row],[sCode]])</f>
        <v>D02-S07</v>
      </c>
      <c r="K520" s="1" t="str">
        <f>VLOOKUP(tblCong[[#This Row],[seketCode]],tblSeket[#All],5,FALSE)</f>
        <v xml:space="preserve">Lae </v>
      </c>
      <c r="L520" s="1" t="str">
        <f>Paris!L$117</f>
        <v>P05</v>
      </c>
      <c r="M520" s="1" t="str">
        <f>CONCATENATE(tblCong[[#This Row],[seketCode]],"-",tblCong[[#This Row],[pCode]])</f>
        <v>D02-S07-P05</v>
      </c>
      <c r="N520" s="1" t="str">
        <f>Paris!M$117</f>
        <v>St. Philips</v>
      </c>
      <c r="O520" s="1" t="s">
        <v>576</v>
      </c>
      <c r="P520" s="1" t="s">
        <v>1067</v>
      </c>
    </row>
    <row r="521" spans="6:16" x14ac:dyDescent="0.35">
      <c r="F521" s="1" t="str">
        <f>CONCATENATE(tblCong[[#This Row],[parishCode]],"-",tblCong[[#This Row],[kCode]])</f>
        <v>D02-S07-P05-K07</v>
      </c>
      <c r="G521" s="1" t="str">
        <f>Distrik!F$6</f>
        <v>D02</v>
      </c>
      <c r="H521" s="1" t="str">
        <f>VLOOKUP(tblCong[[#This Row],[distCode]],tblDistrict[#All],2)</f>
        <v>Jabem</v>
      </c>
      <c r="I521" s="1" t="str">
        <f>Seket!I$19</f>
        <v>S07</v>
      </c>
      <c r="J521" s="1" t="str">
        <f>CONCATENATE(tblCong[[#This Row],[distCode]],"-",tblCong[[#This Row],[sCode]])</f>
        <v>D02-S07</v>
      </c>
      <c r="K521" s="1" t="str">
        <f>VLOOKUP(tblCong[[#This Row],[seketCode]],tblSeket[#All],5,FALSE)</f>
        <v xml:space="preserve">Lae </v>
      </c>
      <c r="L521" s="1" t="str">
        <f>Paris!L$117</f>
        <v>P05</v>
      </c>
      <c r="M521" s="1" t="str">
        <f>CONCATENATE(tblCong[[#This Row],[seketCode]],"-",tblCong[[#This Row],[pCode]])</f>
        <v>D02-S07-P05</v>
      </c>
      <c r="N521" s="1" t="str">
        <f>Paris!M$117</f>
        <v>St. Philips</v>
      </c>
      <c r="O521" s="1" t="s">
        <v>578</v>
      </c>
      <c r="P521" s="1" t="s">
        <v>1068</v>
      </c>
    </row>
    <row r="522" spans="6:16" x14ac:dyDescent="0.35">
      <c r="F522" s="1" t="str">
        <f>CONCATENATE(tblCong[[#This Row],[parishCode]],"-",tblCong[[#This Row],[kCode]])</f>
        <v>D02-S07-P06-K01</v>
      </c>
      <c r="G522" s="1" t="str">
        <f>Distrik!F$6</f>
        <v>D02</v>
      </c>
      <c r="H522" s="1" t="str">
        <f>VLOOKUP(tblCong[[#This Row],[distCode]],tblDistrict[#All],2)</f>
        <v>Jabem</v>
      </c>
      <c r="I522" s="1" t="str">
        <f>Seket!I$19</f>
        <v>S07</v>
      </c>
      <c r="J522" s="1" t="str">
        <f>CONCATENATE(tblCong[[#This Row],[distCode]],"-",tblCong[[#This Row],[sCode]])</f>
        <v>D02-S07</v>
      </c>
      <c r="K522" s="1" t="str">
        <f>VLOOKUP(tblCong[[#This Row],[seketCode]],tblSeket[#All],5,FALSE)</f>
        <v xml:space="preserve">Lae </v>
      </c>
      <c r="L522" s="1" t="str">
        <f>Paris!L$118</f>
        <v>P06</v>
      </c>
      <c r="M522" s="1" t="str">
        <f>CONCATENATE(tblCong[[#This Row],[seketCode]],"-",tblCong[[#This Row],[pCode]])</f>
        <v>D02-S07-P06</v>
      </c>
      <c r="N522" s="1" t="str">
        <f>Paris!M$118</f>
        <v>Poaba</v>
      </c>
      <c r="O522" s="1" t="s">
        <v>567</v>
      </c>
      <c r="P522" s="1" t="s">
        <v>333</v>
      </c>
    </row>
    <row r="523" spans="6:16" x14ac:dyDescent="0.35">
      <c r="F523" s="1" t="str">
        <f>CONCATENATE(tblCong[[#This Row],[parishCode]],"-",tblCong[[#This Row],[kCode]])</f>
        <v>D02-S07-P06-K02</v>
      </c>
      <c r="G523" s="1" t="str">
        <f>Distrik!F$6</f>
        <v>D02</v>
      </c>
      <c r="H523" s="1" t="str">
        <f>VLOOKUP(tblCong[[#This Row],[distCode]],tblDistrict[#All],2)</f>
        <v>Jabem</v>
      </c>
      <c r="I523" s="1" t="str">
        <f>Seket!I$19</f>
        <v>S07</v>
      </c>
      <c r="J523" s="1" t="str">
        <f>CONCATENATE(tblCong[[#This Row],[distCode]],"-",tblCong[[#This Row],[sCode]])</f>
        <v>D02-S07</v>
      </c>
      <c r="K523" s="1" t="str">
        <f>VLOOKUP(tblCong[[#This Row],[seketCode]],tblSeket[#All],5,FALSE)</f>
        <v xml:space="preserve">Lae </v>
      </c>
      <c r="L523" s="1" t="str">
        <f>Paris!L$118</f>
        <v>P06</v>
      </c>
      <c r="M523" s="1" t="str">
        <f>CONCATENATE(tblCong[[#This Row],[seketCode]],"-",tblCong[[#This Row],[pCode]])</f>
        <v>D02-S07-P06</v>
      </c>
      <c r="N523" s="1" t="str">
        <f>Paris!M$118</f>
        <v>Poaba</v>
      </c>
      <c r="O523" s="1" t="s">
        <v>569</v>
      </c>
      <c r="P523" s="1" t="s">
        <v>99</v>
      </c>
    </row>
    <row r="524" spans="6:16" x14ac:dyDescent="0.35">
      <c r="F524" s="1" t="str">
        <f>CONCATENATE(tblCong[[#This Row],[parishCode]],"-",tblCong[[#This Row],[kCode]])</f>
        <v>D02-S07-P06-K03</v>
      </c>
      <c r="G524" s="1" t="str">
        <f>Distrik!F$6</f>
        <v>D02</v>
      </c>
      <c r="H524" s="1" t="str">
        <f>VLOOKUP(tblCong[[#This Row],[distCode]],tblDistrict[#All],2)</f>
        <v>Jabem</v>
      </c>
      <c r="I524" s="1" t="str">
        <f>Seket!I$19</f>
        <v>S07</v>
      </c>
      <c r="J524" s="1" t="str">
        <f>CONCATENATE(tblCong[[#This Row],[distCode]],"-",tblCong[[#This Row],[sCode]])</f>
        <v>D02-S07</v>
      </c>
      <c r="K524" s="1" t="str">
        <f>VLOOKUP(tblCong[[#This Row],[seketCode]],tblSeket[#All],5,FALSE)</f>
        <v xml:space="preserve">Lae </v>
      </c>
      <c r="L524" s="1" t="str">
        <f>Paris!L$118</f>
        <v>P06</v>
      </c>
      <c r="M524" s="1" t="str">
        <f>CONCATENATE(tblCong[[#This Row],[seketCode]],"-",tblCong[[#This Row],[pCode]])</f>
        <v>D02-S07-P06</v>
      </c>
      <c r="N524" s="1" t="str">
        <f>Paris!M$118</f>
        <v>Poaba</v>
      </c>
      <c r="O524" s="1" t="s">
        <v>571</v>
      </c>
      <c r="P524" s="1" t="s">
        <v>1069</v>
      </c>
    </row>
    <row r="525" spans="6:16" x14ac:dyDescent="0.35">
      <c r="F525" s="1" t="str">
        <f>CONCATENATE(tblCong[[#This Row],[parishCode]],"-",tblCong[[#This Row],[kCode]])</f>
        <v>D02-S07-P07-K01</v>
      </c>
      <c r="G525" s="1" t="str">
        <f>Distrik!F$6</f>
        <v>D02</v>
      </c>
      <c r="H525" s="1" t="str">
        <f>VLOOKUP(tblCong[[#This Row],[distCode]],tblDistrict[#All],2)</f>
        <v>Jabem</v>
      </c>
      <c r="I525" s="1" t="str">
        <f>Seket!I$19</f>
        <v>S07</v>
      </c>
      <c r="J525" s="1" t="str">
        <f>CONCATENATE(tblCong[[#This Row],[distCode]],"-",tblCong[[#This Row],[sCode]])</f>
        <v>D02-S07</v>
      </c>
      <c r="K525" s="1" t="str">
        <f>VLOOKUP(tblCong[[#This Row],[seketCode]],tblSeket[#All],5,FALSE)</f>
        <v xml:space="preserve">Lae </v>
      </c>
      <c r="L525" s="1" t="str">
        <f>Paris!L$119</f>
        <v>P07</v>
      </c>
      <c r="M525" s="1" t="str">
        <f>CONCATENATE(tblCong[[#This Row],[seketCode]],"-",tblCong[[#This Row],[pCode]])</f>
        <v>D02-S07-P07</v>
      </c>
      <c r="N525" s="1" t="str">
        <f>Paris!M$119</f>
        <v>St. Peter</v>
      </c>
      <c r="O525" s="1" t="s">
        <v>567</v>
      </c>
      <c r="P525" s="1" t="s">
        <v>1070</v>
      </c>
    </row>
    <row r="526" spans="6:16" x14ac:dyDescent="0.35">
      <c r="F526" s="1" t="str">
        <f>CONCATENATE(tblCong[[#This Row],[parishCode]],"-",tblCong[[#This Row],[kCode]])</f>
        <v>D02-S07-P07-K02</v>
      </c>
      <c r="G526" s="1" t="str">
        <f>Distrik!F$6</f>
        <v>D02</v>
      </c>
      <c r="H526" s="1" t="str">
        <f>VLOOKUP(tblCong[[#This Row],[distCode]],tblDistrict[#All],2)</f>
        <v>Jabem</v>
      </c>
      <c r="I526" s="1" t="str">
        <f>Seket!I$19</f>
        <v>S07</v>
      </c>
      <c r="J526" s="1" t="str">
        <f>CONCATENATE(tblCong[[#This Row],[distCode]],"-",tblCong[[#This Row],[sCode]])</f>
        <v>D02-S07</v>
      </c>
      <c r="K526" s="1" t="str">
        <f>VLOOKUP(tblCong[[#This Row],[seketCode]],tblSeket[#All],5,FALSE)</f>
        <v xml:space="preserve">Lae </v>
      </c>
      <c r="L526" s="1" t="str">
        <f>Paris!L$119</f>
        <v>P07</v>
      </c>
      <c r="M526" s="1" t="str">
        <f>CONCATENATE(tblCong[[#This Row],[seketCode]],"-",tblCong[[#This Row],[pCode]])</f>
        <v>D02-S07-P07</v>
      </c>
      <c r="N526" s="1" t="str">
        <f>Paris!M$119</f>
        <v>St. Peter</v>
      </c>
      <c r="O526" s="1" t="s">
        <v>569</v>
      </c>
      <c r="P526" s="1" t="s">
        <v>1071</v>
      </c>
    </row>
    <row r="527" spans="6:16" x14ac:dyDescent="0.35">
      <c r="F527" s="1" t="str">
        <f>CONCATENATE(tblCong[[#This Row],[parishCode]],"-",tblCong[[#This Row],[kCode]])</f>
        <v>D02-S07-P07-K03</v>
      </c>
      <c r="G527" s="1" t="str">
        <f>Distrik!F$6</f>
        <v>D02</v>
      </c>
      <c r="H527" s="1" t="str">
        <f>VLOOKUP(tblCong[[#This Row],[distCode]],tblDistrict[#All],2)</f>
        <v>Jabem</v>
      </c>
      <c r="I527" s="1" t="str">
        <f>Seket!I$19</f>
        <v>S07</v>
      </c>
      <c r="J527" s="1" t="str">
        <f>CONCATENATE(tblCong[[#This Row],[distCode]],"-",tblCong[[#This Row],[sCode]])</f>
        <v>D02-S07</v>
      </c>
      <c r="K527" s="1" t="str">
        <f>VLOOKUP(tblCong[[#This Row],[seketCode]],tblSeket[#All],5,FALSE)</f>
        <v xml:space="preserve">Lae </v>
      </c>
      <c r="L527" s="1" t="str">
        <f>Paris!L$119</f>
        <v>P07</v>
      </c>
      <c r="M527" s="1" t="str">
        <f>CONCATENATE(tblCong[[#This Row],[seketCode]],"-",tblCong[[#This Row],[pCode]])</f>
        <v>D02-S07-P07</v>
      </c>
      <c r="N527" s="1" t="str">
        <f>Paris!M$119</f>
        <v>St. Peter</v>
      </c>
      <c r="O527" s="1" t="s">
        <v>571</v>
      </c>
      <c r="P527" s="1" t="s">
        <v>1072</v>
      </c>
    </row>
    <row r="528" spans="6:16" x14ac:dyDescent="0.35">
      <c r="F528" s="1" t="str">
        <f>CONCATENATE(tblCong[[#This Row],[parishCode]],"-",tblCong[[#This Row],[kCode]])</f>
        <v>D02-S07-P07-K04</v>
      </c>
      <c r="G528" s="1" t="str">
        <f>Distrik!F$6</f>
        <v>D02</v>
      </c>
      <c r="H528" s="1" t="str">
        <f>VLOOKUP(tblCong[[#This Row],[distCode]],tblDistrict[#All],2)</f>
        <v>Jabem</v>
      </c>
      <c r="I528" s="1" t="str">
        <f>Seket!I$19</f>
        <v>S07</v>
      </c>
      <c r="J528" s="1" t="str">
        <f>CONCATENATE(tblCong[[#This Row],[distCode]],"-",tblCong[[#This Row],[sCode]])</f>
        <v>D02-S07</v>
      </c>
      <c r="K528" s="1" t="str">
        <f>VLOOKUP(tblCong[[#This Row],[seketCode]],tblSeket[#All],5,FALSE)</f>
        <v xml:space="preserve">Lae </v>
      </c>
      <c r="L528" s="1" t="str">
        <f>Paris!L$119</f>
        <v>P07</v>
      </c>
      <c r="M528" s="1" t="str">
        <f>CONCATENATE(tblCong[[#This Row],[seketCode]],"-",tblCong[[#This Row],[pCode]])</f>
        <v>D02-S07-P07</v>
      </c>
      <c r="N528" s="1" t="str">
        <f>Paris!M$119</f>
        <v>St. Peter</v>
      </c>
      <c r="O528" s="1" t="s">
        <v>573</v>
      </c>
      <c r="P528" s="1" t="s">
        <v>1073</v>
      </c>
    </row>
    <row r="529" spans="6:16" x14ac:dyDescent="0.35">
      <c r="F529" s="1" t="str">
        <f>CONCATENATE(tblCong[[#This Row],[parishCode]],"-",tblCong[[#This Row],[kCode]])</f>
        <v>D02-S07-P08-K01</v>
      </c>
      <c r="G529" s="1" t="str">
        <f>Distrik!F$6</f>
        <v>D02</v>
      </c>
      <c r="H529" s="1" t="str">
        <f>VLOOKUP(tblCong[[#This Row],[distCode]],tblDistrict[#All],2)</f>
        <v>Jabem</v>
      </c>
      <c r="I529" s="1" t="str">
        <f>Seket!I$19</f>
        <v>S07</v>
      </c>
      <c r="J529" s="1" t="str">
        <f>CONCATENATE(tblCong[[#This Row],[distCode]],"-",tblCong[[#This Row],[sCode]])</f>
        <v>D02-S07</v>
      </c>
      <c r="K529" s="1" t="str">
        <f>VLOOKUP(tblCong[[#This Row],[seketCode]],tblSeket[#All],5,FALSE)</f>
        <v xml:space="preserve">Lae </v>
      </c>
      <c r="L529" s="1" t="str">
        <f>Paris!L$120</f>
        <v>P08</v>
      </c>
      <c r="M529" s="1" t="str">
        <f>CONCATENATE(tblCong[[#This Row],[seketCode]],"-",tblCong[[#This Row],[pCode]])</f>
        <v>D02-S07-P08</v>
      </c>
      <c r="N529" s="1" t="str">
        <f>Paris!M$120</f>
        <v>St. Andrews</v>
      </c>
      <c r="O529" s="1" t="s">
        <v>567</v>
      </c>
      <c r="P529" s="1" t="s">
        <v>1074</v>
      </c>
    </row>
    <row r="530" spans="6:16" x14ac:dyDescent="0.35">
      <c r="F530" s="1" t="str">
        <f>CONCATENATE(tblCong[[#This Row],[parishCode]],"-",tblCong[[#This Row],[kCode]])</f>
        <v>D02-S07-P08-K02</v>
      </c>
      <c r="G530" s="1" t="str">
        <f>Distrik!F$6</f>
        <v>D02</v>
      </c>
      <c r="H530" s="1" t="str">
        <f>VLOOKUP(tblCong[[#This Row],[distCode]],tblDistrict[#All],2)</f>
        <v>Jabem</v>
      </c>
      <c r="I530" s="1" t="str">
        <f>Seket!I$19</f>
        <v>S07</v>
      </c>
      <c r="J530" s="1" t="str">
        <f>CONCATENATE(tblCong[[#This Row],[distCode]],"-",tblCong[[#This Row],[sCode]])</f>
        <v>D02-S07</v>
      </c>
      <c r="K530" s="1" t="str">
        <f>VLOOKUP(tblCong[[#This Row],[seketCode]],tblSeket[#All],5,FALSE)</f>
        <v xml:space="preserve">Lae </v>
      </c>
      <c r="L530" s="1" t="str">
        <f>Paris!L$120</f>
        <v>P08</v>
      </c>
      <c r="M530" s="1" t="str">
        <f>CONCATENATE(tblCong[[#This Row],[seketCode]],"-",tblCong[[#This Row],[pCode]])</f>
        <v>D02-S07-P08</v>
      </c>
      <c r="N530" s="1" t="str">
        <f>Paris!M$120</f>
        <v>St. Andrews</v>
      </c>
      <c r="O530" s="1" t="s">
        <v>569</v>
      </c>
      <c r="P530" s="1" t="s">
        <v>1075</v>
      </c>
    </row>
    <row r="531" spans="6:16" x14ac:dyDescent="0.35">
      <c r="F531" s="1" t="str">
        <f>CONCATENATE(tblCong[[#This Row],[parishCode]],"-",tblCong[[#This Row],[kCode]])</f>
        <v>D02-S07-P08-K03</v>
      </c>
      <c r="G531" s="1" t="str">
        <f>Distrik!F$6</f>
        <v>D02</v>
      </c>
      <c r="H531" s="1" t="str">
        <f>VLOOKUP(tblCong[[#This Row],[distCode]],tblDistrict[#All],2)</f>
        <v>Jabem</v>
      </c>
      <c r="I531" s="1" t="str">
        <f>Seket!I$19</f>
        <v>S07</v>
      </c>
      <c r="J531" s="1" t="str">
        <f>CONCATENATE(tblCong[[#This Row],[distCode]],"-",tblCong[[#This Row],[sCode]])</f>
        <v>D02-S07</v>
      </c>
      <c r="K531" s="1" t="str">
        <f>VLOOKUP(tblCong[[#This Row],[seketCode]],tblSeket[#All],5,FALSE)</f>
        <v xml:space="preserve">Lae </v>
      </c>
      <c r="L531" s="1" t="str">
        <f>Paris!L$120</f>
        <v>P08</v>
      </c>
      <c r="M531" s="1" t="str">
        <f>CONCATENATE(tblCong[[#This Row],[seketCode]],"-",tblCong[[#This Row],[pCode]])</f>
        <v>D02-S07-P08</v>
      </c>
      <c r="N531" s="1" t="str">
        <f>Paris!M$120</f>
        <v>St. Andrews</v>
      </c>
      <c r="O531" s="1" t="s">
        <v>571</v>
      </c>
      <c r="P531" s="1" t="s">
        <v>1076</v>
      </c>
    </row>
    <row r="532" spans="6:16" x14ac:dyDescent="0.35">
      <c r="F532" s="1" t="str">
        <f>CONCATENATE(tblCong[[#This Row],[parishCode]],"-",tblCong[[#This Row],[kCode]])</f>
        <v>D02-S07-P08-K04</v>
      </c>
      <c r="G532" s="1" t="str">
        <f>Distrik!F$6</f>
        <v>D02</v>
      </c>
      <c r="H532" s="1" t="str">
        <f>VLOOKUP(tblCong[[#This Row],[distCode]],tblDistrict[#All],2)</f>
        <v>Jabem</v>
      </c>
      <c r="I532" s="1" t="str">
        <f>Seket!I$19</f>
        <v>S07</v>
      </c>
      <c r="J532" s="1" t="str">
        <f>CONCATENATE(tblCong[[#This Row],[distCode]],"-",tblCong[[#This Row],[sCode]])</f>
        <v>D02-S07</v>
      </c>
      <c r="K532" s="1" t="str">
        <f>VLOOKUP(tblCong[[#This Row],[seketCode]],tblSeket[#All],5,FALSE)</f>
        <v xml:space="preserve">Lae </v>
      </c>
      <c r="L532" s="1" t="str">
        <f>Paris!L$120</f>
        <v>P08</v>
      </c>
      <c r="M532" s="1" t="str">
        <f>CONCATENATE(tblCong[[#This Row],[seketCode]],"-",tblCong[[#This Row],[pCode]])</f>
        <v>D02-S07-P08</v>
      </c>
      <c r="N532" s="1" t="str">
        <f>Paris!M$120</f>
        <v>St. Andrews</v>
      </c>
      <c r="O532" s="1" t="s">
        <v>573</v>
      </c>
      <c r="P532" s="1" t="s">
        <v>1077</v>
      </c>
    </row>
    <row r="533" spans="6:16" x14ac:dyDescent="0.35">
      <c r="F533" s="1" t="str">
        <f>CONCATENATE(tblCong[[#This Row],[parishCode]],"-",tblCong[[#This Row],[kCode]])</f>
        <v>D02-S07-P08-K05</v>
      </c>
      <c r="G533" s="1" t="str">
        <f>Distrik!F$6</f>
        <v>D02</v>
      </c>
      <c r="H533" s="1" t="str">
        <f>VLOOKUP(tblCong[[#This Row],[distCode]],tblDistrict[#All],2)</f>
        <v>Jabem</v>
      </c>
      <c r="I533" s="1" t="str">
        <f>Seket!I$19</f>
        <v>S07</v>
      </c>
      <c r="J533" s="1" t="str">
        <f>CONCATENATE(tblCong[[#This Row],[distCode]],"-",tblCong[[#This Row],[sCode]])</f>
        <v>D02-S07</v>
      </c>
      <c r="K533" s="1" t="str">
        <f>VLOOKUP(tblCong[[#This Row],[seketCode]],tblSeket[#All],5,FALSE)</f>
        <v xml:space="preserve">Lae </v>
      </c>
      <c r="L533" s="1" t="str">
        <f>Paris!L$120</f>
        <v>P08</v>
      </c>
      <c r="M533" s="1" t="str">
        <f>CONCATENATE(tblCong[[#This Row],[seketCode]],"-",tblCong[[#This Row],[pCode]])</f>
        <v>D02-S07-P08</v>
      </c>
      <c r="N533" s="1" t="str">
        <f>Paris!M$120</f>
        <v>St. Andrews</v>
      </c>
      <c r="O533" s="1" t="s">
        <v>575</v>
      </c>
      <c r="P533" s="1" t="s">
        <v>1078</v>
      </c>
    </row>
    <row r="534" spans="6:16" x14ac:dyDescent="0.35">
      <c r="F534" s="1" t="str">
        <f>CONCATENATE(tblCong[[#This Row],[parishCode]],"-",tblCong[[#This Row],[kCode]])</f>
        <v>D02-S07-P08-K06</v>
      </c>
      <c r="G534" s="1" t="str">
        <f>Distrik!F$6</f>
        <v>D02</v>
      </c>
      <c r="H534" s="1" t="str">
        <f>VLOOKUP(tblCong[[#This Row],[distCode]],tblDistrict[#All],2)</f>
        <v>Jabem</v>
      </c>
      <c r="I534" s="1" t="str">
        <f>Seket!I$19</f>
        <v>S07</v>
      </c>
      <c r="J534" s="1" t="str">
        <f>CONCATENATE(tblCong[[#This Row],[distCode]],"-",tblCong[[#This Row],[sCode]])</f>
        <v>D02-S07</v>
      </c>
      <c r="K534" s="1" t="str">
        <f>VLOOKUP(tblCong[[#This Row],[seketCode]],tblSeket[#All],5,FALSE)</f>
        <v xml:space="preserve">Lae </v>
      </c>
      <c r="L534" s="1" t="str">
        <f>Paris!L$120</f>
        <v>P08</v>
      </c>
      <c r="M534" s="1" t="str">
        <f>CONCATENATE(tblCong[[#This Row],[seketCode]],"-",tblCong[[#This Row],[pCode]])</f>
        <v>D02-S07-P08</v>
      </c>
      <c r="N534" s="1" t="str">
        <f>Paris!M$120</f>
        <v>St. Andrews</v>
      </c>
      <c r="O534" s="1" t="s">
        <v>576</v>
      </c>
      <c r="P534" s="1" t="s">
        <v>1079</v>
      </c>
    </row>
    <row r="535" spans="6:16" x14ac:dyDescent="0.35">
      <c r="F535" s="1" t="str">
        <f>CONCATENATE(tblCong[[#This Row],[parishCode]],"-",tblCong[[#This Row],[kCode]])</f>
        <v>D02-S07-P08-K07</v>
      </c>
      <c r="G535" s="1" t="str">
        <f>Distrik!F$6</f>
        <v>D02</v>
      </c>
      <c r="H535" s="1" t="str">
        <f>VLOOKUP(tblCong[[#This Row],[distCode]],tblDistrict[#All],2)</f>
        <v>Jabem</v>
      </c>
      <c r="I535" s="1" t="str">
        <f>Seket!I$19</f>
        <v>S07</v>
      </c>
      <c r="J535" s="1" t="str">
        <f>CONCATENATE(tblCong[[#This Row],[distCode]],"-",tblCong[[#This Row],[sCode]])</f>
        <v>D02-S07</v>
      </c>
      <c r="K535" s="1" t="str">
        <f>VLOOKUP(tblCong[[#This Row],[seketCode]],tblSeket[#All],5,FALSE)</f>
        <v xml:space="preserve">Lae </v>
      </c>
      <c r="L535" s="1" t="str">
        <f>Paris!L$120</f>
        <v>P08</v>
      </c>
      <c r="M535" s="1" t="str">
        <f>CONCATENATE(tblCong[[#This Row],[seketCode]],"-",tblCong[[#This Row],[pCode]])</f>
        <v>D02-S07-P08</v>
      </c>
      <c r="N535" s="1" t="str">
        <f>Paris!M$120</f>
        <v>St. Andrews</v>
      </c>
      <c r="O535" s="1" t="s">
        <v>578</v>
      </c>
      <c r="P535" s="1" t="s">
        <v>1080</v>
      </c>
    </row>
    <row r="536" spans="6:16" x14ac:dyDescent="0.35">
      <c r="F536" s="1" t="str">
        <f>CONCATENATE(tblCong[[#This Row],[parishCode]],"-",tblCong[[#This Row],[kCode]])</f>
        <v>D02-S07-P08-K08</v>
      </c>
      <c r="G536" s="1" t="str">
        <f>Distrik!F$6</f>
        <v>D02</v>
      </c>
      <c r="H536" s="1" t="str">
        <f>VLOOKUP(tblCong[[#This Row],[distCode]],tblDistrict[#All],2)</f>
        <v>Jabem</v>
      </c>
      <c r="I536" s="1" t="str">
        <f>Seket!I$19</f>
        <v>S07</v>
      </c>
      <c r="J536" s="1" t="str">
        <f>CONCATENATE(tblCong[[#This Row],[distCode]],"-",tblCong[[#This Row],[sCode]])</f>
        <v>D02-S07</v>
      </c>
      <c r="K536" s="1" t="str">
        <f>VLOOKUP(tblCong[[#This Row],[seketCode]],tblSeket[#All],5,FALSE)</f>
        <v xml:space="preserve">Lae </v>
      </c>
      <c r="L536" s="1" t="str">
        <f>Paris!L$120</f>
        <v>P08</v>
      </c>
      <c r="M536" s="1" t="str">
        <f>CONCATENATE(tblCong[[#This Row],[seketCode]],"-",tblCong[[#This Row],[pCode]])</f>
        <v>D02-S07-P08</v>
      </c>
      <c r="N536" s="1" t="str">
        <f>Paris!M$120</f>
        <v>St. Andrews</v>
      </c>
      <c r="O536" s="1" t="s">
        <v>651</v>
      </c>
      <c r="P536" s="1" t="s">
        <v>1081</v>
      </c>
    </row>
    <row r="537" spans="6:16" x14ac:dyDescent="0.35">
      <c r="F537" s="1" t="str">
        <f>CONCATENATE(tblCong[[#This Row],[parishCode]],"-",tblCong[[#This Row],[kCode]])</f>
        <v>D02-S07-P08-K09</v>
      </c>
      <c r="G537" s="1" t="str">
        <f>Distrik!F$6</f>
        <v>D02</v>
      </c>
      <c r="H537" s="1" t="str">
        <f>VLOOKUP(tblCong[[#This Row],[distCode]],tblDistrict[#All],2)</f>
        <v>Jabem</v>
      </c>
      <c r="I537" s="1" t="str">
        <f>Seket!I$19</f>
        <v>S07</v>
      </c>
      <c r="J537" s="1" t="str">
        <f>CONCATENATE(tblCong[[#This Row],[distCode]],"-",tblCong[[#This Row],[sCode]])</f>
        <v>D02-S07</v>
      </c>
      <c r="K537" s="1" t="str">
        <f>VLOOKUP(tblCong[[#This Row],[seketCode]],tblSeket[#All],5,FALSE)</f>
        <v xml:space="preserve">Lae </v>
      </c>
      <c r="L537" s="1" t="str">
        <f>Paris!L$120</f>
        <v>P08</v>
      </c>
      <c r="M537" s="1" t="str">
        <f>CONCATENATE(tblCong[[#This Row],[seketCode]],"-",tblCong[[#This Row],[pCode]])</f>
        <v>D02-S07-P08</v>
      </c>
      <c r="N537" s="1" t="str">
        <f>Paris!M$120</f>
        <v>St. Andrews</v>
      </c>
      <c r="O537" s="1" t="s">
        <v>653</v>
      </c>
      <c r="P537" s="1" t="s">
        <v>1082</v>
      </c>
    </row>
    <row r="538" spans="6:16" x14ac:dyDescent="0.35">
      <c r="F538" s="1" t="str">
        <f>CONCATENATE(tblCong[[#This Row],[parishCode]],"-",tblCong[[#This Row],[kCode]])</f>
        <v>D02-S08-P01-K01</v>
      </c>
      <c r="G538" s="1" t="str">
        <f>Distrik!F$6</f>
        <v>D02</v>
      </c>
      <c r="H538" s="1" t="str">
        <f>VLOOKUP(tblCong[[#This Row],[distCode]],tblDistrict[#All],2)</f>
        <v>Jabem</v>
      </c>
      <c r="I538" s="1" t="str">
        <f>Seket!I$20</f>
        <v>S08</v>
      </c>
      <c r="J538" s="1" t="str">
        <f>CONCATENATE(tblCong[[#This Row],[distCode]],"-",tblCong[[#This Row],[sCode]])</f>
        <v>D02-S08</v>
      </c>
      <c r="K538" s="1" t="str">
        <f>VLOOKUP(tblCong[[#This Row],[seketCode]],tblSeket[#All],5,FALSE)</f>
        <v>Laulu</v>
      </c>
      <c r="L538" s="1" t="str">
        <f>Paris!L$122</f>
        <v>P01</v>
      </c>
      <c r="M538" s="1" t="str">
        <f>CONCATENATE(tblCong[[#This Row],[seketCode]],"-",tblCong[[#This Row],[pCode]])</f>
        <v>D02-S08-P01</v>
      </c>
      <c r="N538" s="1" t="str">
        <f>Paris!M$122</f>
        <v>St. Solomon</v>
      </c>
      <c r="O538" s="1" t="s">
        <v>567</v>
      </c>
      <c r="P538" s="1" t="s">
        <v>1083</v>
      </c>
    </row>
    <row r="539" spans="6:16" x14ac:dyDescent="0.35">
      <c r="F539" s="1" t="str">
        <f>CONCATENATE(tblCong[[#This Row],[parishCode]],"-",tblCong[[#This Row],[kCode]])</f>
        <v>D02-S08-P01-K02</v>
      </c>
      <c r="G539" s="1" t="str">
        <f>Distrik!F$6</f>
        <v>D02</v>
      </c>
      <c r="H539" s="1" t="str">
        <f>VLOOKUP(tblCong[[#This Row],[distCode]],tblDistrict[#All],2)</f>
        <v>Jabem</v>
      </c>
      <c r="I539" s="1" t="str">
        <f>Seket!I$20</f>
        <v>S08</v>
      </c>
      <c r="J539" s="1" t="str">
        <f>CONCATENATE(tblCong[[#This Row],[distCode]],"-",tblCong[[#This Row],[sCode]])</f>
        <v>D02-S08</v>
      </c>
      <c r="K539" s="1" t="str">
        <f>VLOOKUP(tblCong[[#This Row],[seketCode]],tblSeket[#All],5,FALSE)</f>
        <v>Laulu</v>
      </c>
      <c r="L539" s="1" t="str">
        <f>Paris!L$122</f>
        <v>P01</v>
      </c>
      <c r="M539" s="1" t="str">
        <f>CONCATENATE(tblCong[[#This Row],[seketCode]],"-",tblCong[[#This Row],[pCode]])</f>
        <v>D02-S08-P01</v>
      </c>
      <c r="N539" s="1" t="str">
        <f>Paris!M$122</f>
        <v>St. Solomon</v>
      </c>
      <c r="O539" s="1" t="s">
        <v>569</v>
      </c>
      <c r="P539" s="1" t="s">
        <v>1084</v>
      </c>
    </row>
    <row r="540" spans="6:16" x14ac:dyDescent="0.35">
      <c r="F540" s="1" t="str">
        <f>CONCATENATE(tblCong[[#This Row],[parishCode]],"-",tblCong[[#This Row],[kCode]])</f>
        <v>D02-S08-P01-K03</v>
      </c>
      <c r="G540" s="1" t="str">
        <f>Distrik!F$6</f>
        <v>D02</v>
      </c>
      <c r="H540" s="1" t="str">
        <f>VLOOKUP(tblCong[[#This Row],[distCode]],tblDistrict[#All],2)</f>
        <v>Jabem</v>
      </c>
      <c r="I540" s="1" t="str">
        <f>Seket!I$20</f>
        <v>S08</v>
      </c>
      <c r="J540" s="1" t="str">
        <f>CONCATENATE(tblCong[[#This Row],[distCode]],"-",tblCong[[#This Row],[sCode]])</f>
        <v>D02-S08</v>
      </c>
      <c r="K540" s="1" t="str">
        <f>VLOOKUP(tblCong[[#This Row],[seketCode]],tblSeket[#All],5,FALSE)</f>
        <v>Laulu</v>
      </c>
      <c r="L540" s="1" t="str">
        <f>Paris!L$122</f>
        <v>P01</v>
      </c>
      <c r="M540" s="1" t="str">
        <f>CONCATENATE(tblCong[[#This Row],[seketCode]],"-",tblCong[[#This Row],[pCode]])</f>
        <v>D02-S08-P01</v>
      </c>
      <c r="N540" s="1" t="str">
        <f>Paris!M$122</f>
        <v>St. Solomon</v>
      </c>
      <c r="O540" s="1" t="s">
        <v>571</v>
      </c>
      <c r="P540" s="1" t="s">
        <v>1085</v>
      </c>
    </row>
    <row r="541" spans="6:16" x14ac:dyDescent="0.35">
      <c r="F541" s="1" t="str">
        <f>CONCATENATE(tblCong[[#This Row],[parishCode]],"-",tblCong[[#This Row],[kCode]])</f>
        <v>D02-S08-P01-K04</v>
      </c>
      <c r="G541" s="1" t="str">
        <f>Distrik!F$6</f>
        <v>D02</v>
      </c>
      <c r="H541" s="1" t="str">
        <f>VLOOKUP(tblCong[[#This Row],[distCode]],tblDistrict[#All],2)</f>
        <v>Jabem</v>
      </c>
      <c r="I541" s="1" t="str">
        <f>Seket!I$20</f>
        <v>S08</v>
      </c>
      <c r="J541" s="1" t="str">
        <f>CONCATENATE(tblCong[[#This Row],[distCode]],"-",tblCong[[#This Row],[sCode]])</f>
        <v>D02-S08</v>
      </c>
      <c r="K541" s="1" t="str">
        <f>VLOOKUP(tblCong[[#This Row],[seketCode]],tblSeket[#All],5,FALSE)</f>
        <v>Laulu</v>
      </c>
      <c r="L541" s="1" t="str">
        <f>Paris!L$122</f>
        <v>P01</v>
      </c>
      <c r="M541" s="1" t="str">
        <f>CONCATENATE(tblCong[[#This Row],[seketCode]],"-",tblCong[[#This Row],[pCode]])</f>
        <v>D02-S08-P01</v>
      </c>
      <c r="N541" s="1" t="str">
        <f>Paris!M$122</f>
        <v>St. Solomon</v>
      </c>
      <c r="O541" s="1" t="s">
        <v>573</v>
      </c>
      <c r="P541" s="1" t="s">
        <v>1086</v>
      </c>
    </row>
    <row r="542" spans="6:16" x14ac:dyDescent="0.35">
      <c r="F542" s="1" t="str">
        <f>CONCATENATE(tblCong[[#This Row],[parishCode]],"-",tblCong[[#This Row],[kCode]])</f>
        <v>D02-S08-P01-K05</v>
      </c>
      <c r="G542" s="1" t="str">
        <f>Distrik!F$6</f>
        <v>D02</v>
      </c>
      <c r="H542" s="1" t="str">
        <f>VLOOKUP(tblCong[[#This Row],[distCode]],tblDistrict[#All],2)</f>
        <v>Jabem</v>
      </c>
      <c r="I542" s="1" t="str">
        <f>Seket!I$20</f>
        <v>S08</v>
      </c>
      <c r="J542" s="1" t="str">
        <f>CONCATENATE(tblCong[[#This Row],[distCode]],"-",tblCong[[#This Row],[sCode]])</f>
        <v>D02-S08</v>
      </c>
      <c r="K542" s="1" t="str">
        <f>VLOOKUP(tblCong[[#This Row],[seketCode]],tblSeket[#All],5,FALSE)</f>
        <v>Laulu</v>
      </c>
      <c r="L542" s="1" t="str">
        <f>Paris!L$122</f>
        <v>P01</v>
      </c>
      <c r="M542" s="1" t="str">
        <f>CONCATENATE(tblCong[[#This Row],[seketCode]],"-",tblCong[[#This Row],[pCode]])</f>
        <v>D02-S08-P01</v>
      </c>
      <c r="N542" s="1" t="str">
        <f>Paris!M$122</f>
        <v>St. Solomon</v>
      </c>
      <c r="O542" s="1" t="s">
        <v>575</v>
      </c>
      <c r="P542" s="1" t="s">
        <v>1087</v>
      </c>
    </row>
    <row r="543" spans="6:16" x14ac:dyDescent="0.35">
      <c r="F543" s="1" t="str">
        <f>CONCATENATE(tblCong[[#This Row],[parishCode]],"-",tblCong[[#This Row],[kCode]])</f>
        <v>D02-S08-P01-K06</v>
      </c>
      <c r="G543" s="1" t="str">
        <f>Distrik!F$6</f>
        <v>D02</v>
      </c>
      <c r="H543" s="1" t="str">
        <f>VLOOKUP(tblCong[[#This Row],[distCode]],tblDistrict[#All],2)</f>
        <v>Jabem</v>
      </c>
      <c r="I543" s="1" t="str">
        <f>Seket!I$20</f>
        <v>S08</v>
      </c>
      <c r="J543" s="1" t="str">
        <f>CONCATENATE(tblCong[[#This Row],[distCode]],"-",tblCong[[#This Row],[sCode]])</f>
        <v>D02-S08</v>
      </c>
      <c r="K543" s="1" t="str">
        <f>VLOOKUP(tblCong[[#This Row],[seketCode]],tblSeket[#All],5,FALSE)</f>
        <v>Laulu</v>
      </c>
      <c r="L543" s="1" t="str">
        <f>Paris!L$122</f>
        <v>P01</v>
      </c>
      <c r="M543" s="1" t="str">
        <f>CONCATENATE(tblCong[[#This Row],[seketCode]],"-",tblCong[[#This Row],[pCode]])</f>
        <v>D02-S08-P01</v>
      </c>
      <c r="N543" s="1" t="str">
        <f>Paris!M$122</f>
        <v>St. Solomon</v>
      </c>
      <c r="O543" s="1" t="s">
        <v>576</v>
      </c>
      <c r="P543" s="1" t="s">
        <v>1088</v>
      </c>
    </row>
    <row r="544" spans="6:16" x14ac:dyDescent="0.35">
      <c r="F544" s="1" t="str">
        <f>CONCATENATE(tblCong[[#This Row],[parishCode]],"-",tblCong[[#This Row],[kCode]])</f>
        <v>D02-S08-P01-K07</v>
      </c>
      <c r="G544" s="1" t="str">
        <f>Distrik!F$6</f>
        <v>D02</v>
      </c>
      <c r="H544" s="1" t="str">
        <f>VLOOKUP(tblCong[[#This Row],[distCode]],tblDistrict[#All],2)</f>
        <v>Jabem</v>
      </c>
      <c r="I544" s="1" t="str">
        <f>Seket!I$20</f>
        <v>S08</v>
      </c>
      <c r="J544" s="1" t="str">
        <f>CONCATENATE(tblCong[[#This Row],[distCode]],"-",tblCong[[#This Row],[sCode]])</f>
        <v>D02-S08</v>
      </c>
      <c r="K544" s="1" t="str">
        <f>VLOOKUP(tblCong[[#This Row],[seketCode]],tblSeket[#All],5,FALSE)</f>
        <v>Laulu</v>
      </c>
      <c r="L544" s="1" t="str">
        <f>Paris!L$122</f>
        <v>P01</v>
      </c>
      <c r="M544" s="1" t="str">
        <f>CONCATENATE(tblCong[[#This Row],[seketCode]],"-",tblCong[[#This Row],[pCode]])</f>
        <v>D02-S08-P01</v>
      </c>
      <c r="N544" s="1" t="str">
        <f>Paris!M$122</f>
        <v>St. Solomon</v>
      </c>
      <c r="O544" s="1" t="s">
        <v>578</v>
      </c>
      <c r="P544" s="1" t="s">
        <v>1089</v>
      </c>
    </row>
    <row r="545" spans="6:16" x14ac:dyDescent="0.35">
      <c r="F545" s="1" t="str">
        <f>CONCATENATE(tblCong[[#This Row],[parishCode]],"-",tblCong[[#This Row],[kCode]])</f>
        <v>D02-S08-P01-K08</v>
      </c>
      <c r="G545" s="1" t="str">
        <f>Distrik!F$6</f>
        <v>D02</v>
      </c>
      <c r="H545" s="1" t="str">
        <f>VLOOKUP(tblCong[[#This Row],[distCode]],tblDistrict[#All],2)</f>
        <v>Jabem</v>
      </c>
      <c r="I545" s="1" t="str">
        <f>Seket!I$20</f>
        <v>S08</v>
      </c>
      <c r="J545" s="1" t="str">
        <f>CONCATENATE(tblCong[[#This Row],[distCode]],"-",tblCong[[#This Row],[sCode]])</f>
        <v>D02-S08</v>
      </c>
      <c r="K545" s="1" t="str">
        <f>VLOOKUP(tblCong[[#This Row],[seketCode]],tblSeket[#All],5,FALSE)</f>
        <v>Laulu</v>
      </c>
      <c r="L545" s="1" t="str">
        <f>Paris!L$122</f>
        <v>P01</v>
      </c>
      <c r="M545" s="1" t="str">
        <f>CONCATENATE(tblCong[[#This Row],[seketCode]],"-",tblCong[[#This Row],[pCode]])</f>
        <v>D02-S08-P01</v>
      </c>
      <c r="N545" s="1" t="str">
        <f>Paris!M$122</f>
        <v>St. Solomon</v>
      </c>
      <c r="O545" s="1" t="s">
        <v>651</v>
      </c>
      <c r="P545" s="1" t="s">
        <v>1090</v>
      </c>
    </row>
    <row r="546" spans="6:16" x14ac:dyDescent="0.35">
      <c r="F546" s="1" t="str">
        <f>CONCATENATE(tblCong[[#This Row],[parishCode]],"-",tblCong[[#This Row],[kCode]])</f>
        <v>D02-S08-P02-K01</v>
      </c>
      <c r="G546" s="1" t="str">
        <f>Distrik!F$6</f>
        <v>D02</v>
      </c>
      <c r="H546" s="1" t="str">
        <f>VLOOKUP(tblCong[[#This Row],[distCode]],tblDistrict[#All],2)</f>
        <v>Jabem</v>
      </c>
      <c r="I546" s="1" t="str">
        <f>Seket!I$20</f>
        <v>S08</v>
      </c>
      <c r="J546" s="1" t="str">
        <f>CONCATENATE(tblCong[[#This Row],[distCode]],"-",tblCong[[#This Row],[sCode]])</f>
        <v>D02-S08</v>
      </c>
      <c r="K546" s="1" t="str">
        <f>VLOOKUP(tblCong[[#This Row],[seketCode]],tblSeket[#All],5,FALSE)</f>
        <v>Laulu</v>
      </c>
      <c r="L546" s="1" t="str">
        <f>Paris!L$123</f>
        <v>P02</v>
      </c>
      <c r="M546" s="1" t="str">
        <f>CONCATENATE(tblCong[[#This Row],[seketCode]],"-",tblCong[[#This Row],[pCode]])</f>
        <v>D02-S08-P02</v>
      </c>
      <c r="N546" s="1" t="str">
        <f>Paris!M$123</f>
        <v>Situm</v>
      </c>
      <c r="O546" s="1" t="s">
        <v>567</v>
      </c>
      <c r="P546" s="1" t="s">
        <v>1091</v>
      </c>
    </row>
    <row r="547" spans="6:16" x14ac:dyDescent="0.35">
      <c r="F547" s="1" t="str">
        <f>CONCATENATE(tblCong[[#This Row],[parishCode]],"-",tblCong[[#This Row],[kCode]])</f>
        <v>D02-S08-P02-K02</v>
      </c>
      <c r="G547" s="1" t="str">
        <f>Distrik!F$6</f>
        <v>D02</v>
      </c>
      <c r="H547" s="1" t="str">
        <f>VLOOKUP(tblCong[[#This Row],[distCode]],tblDistrict[#All],2)</f>
        <v>Jabem</v>
      </c>
      <c r="I547" s="1" t="str">
        <f>Seket!I$20</f>
        <v>S08</v>
      </c>
      <c r="J547" s="1" t="str">
        <f>CONCATENATE(tblCong[[#This Row],[distCode]],"-",tblCong[[#This Row],[sCode]])</f>
        <v>D02-S08</v>
      </c>
      <c r="K547" s="1" t="str">
        <f>VLOOKUP(tblCong[[#This Row],[seketCode]],tblSeket[#All],5,FALSE)</f>
        <v>Laulu</v>
      </c>
      <c r="L547" s="1" t="str">
        <f>Paris!L$123</f>
        <v>P02</v>
      </c>
      <c r="M547" s="1" t="str">
        <f>CONCATENATE(tblCong[[#This Row],[seketCode]],"-",tblCong[[#This Row],[pCode]])</f>
        <v>D02-S08-P02</v>
      </c>
      <c r="N547" s="1" t="str">
        <f>Paris!M$123</f>
        <v>Situm</v>
      </c>
      <c r="O547" s="1" t="s">
        <v>569</v>
      </c>
      <c r="P547" s="1" t="s">
        <v>1092</v>
      </c>
    </row>
    <row r="548" spans="6:16" x14ac:dyDescent="0.35">
      <c r="F548" s="1" t="str">
        <f>CONCATENATE(tblCong[[#This Row],[parishCode]],"-",tblCong[[#This Row],[kCode]])</f>
        <v>D02-S08-P02-K03</v>
      </c>
      <c r="G548" s="1" t="str">
        <f>Distrik!F$6</f>
        <v>D02</v>
      </c>
      <c r="H548" s="1" t="str">
        <f>VLOOKUP(tblCong[[#This Row],[distCode]],tblDistrict[#All],2)</f>
        <v>Jabem</v>
      </c>
      <c r="I548" s="1" t="str">
        <f>Seket!I$20</f>
        <v>S08</v>
      </c>
      <c r="J548" s="1" t="str">
        <f>CONCATENATE(tblCong[[#This Row],[distCode]],"-",tblCong[[#This Row],[sCode]])</f>
        <v>D02-S08</v>
      </c>
      <c r="K548" s="1" t="str">
        <f>VLOOKUP(tblCong[[#This Row],[seketCode]],tblSeket[#All],5,FALSE)</f>
        <v>Laulu</v>
      </c>
      <c r="L548" s="1" t="str">
        <f>Paris!L$123</f>
        <v>P02</v>
      </c>
      <c r="M548" s="1" t="str">
        <f>CONCATENATE(tblCong[[#This Row],[seketCode]],"-",tblCong[[#This Row],[pCode]])</f>
        <v>D02-S08-P02</v>
      </c>
      <c r="N548" s="1" t="str">
        <f>Paris!M$123</f>
        <v>Situm</v>
      </c>
      <c r="O548" s="1" t="s">
        <v>571</v>
      </c>
      <c r="P548" s="1" t="s">
        <v>59</v>
      </c>
    </row>
    <row r="549" spans="6:16" x14ac:dyDescent="0.35">
      <c r="F549" s="1" t="str">
        <f>CONCATENATE(tblCong[[#This Row],[parishCode]],"-",tblCong[[#This Row],[kCode]])</f>
        <v>D02-S08-P02-K04</v>
      </c>
      <c r="G549" s="1" t="str">
        <f>Distrik!F$6</f>
        <v>D02</v>
      </c>
      <c r="H549" s="1" t="str">
        <f>VLOOKUP(tblCong[[#This Row],[distCode]],tblDistrict[#All],2)</f>
        <v>Jabem</v>
      </c>
      <c r="I549" s="1" t="str">
        <f>Seket!I$20</f>
        <v>S08</v>
      </c>
      <c r="J549" s="1" t="str">
        <f>CONCATENATE(tblCong[[#This Row],[distCode]],"-",tblCong[[#This Row],[sCode]])</f>
        <v>D02-S08</v>
      </c>
      <c r="K549" s="1" t="str">
        <f>VLOOKUP(tblCong[[#This Row],[seketCode]],tblSeket[#All],5,FALSE)</f>
        <v>Laulu</v>
      </c>
      <c r="L549" s="1" t="str">
        <f>Paris!L$123</f>
        <v>P02</v>
      </c>
      <c r="M549" s="1" t="str">
        <f>CONCATENATE(tblCong[[#This Row],[seketCode]],"-",tblCong[[#This Row],[pCode]])</f>
        <v>D02-S08-P02</v>
      </c>
      <c r="N549" s="1" t="str">
        <f>Paris!M$123</f>
        <v>Situm</v>
      </c>
      <c r="O549" s="1" t="s">
        <v>573</v>
      </c>
      <c r="P549" s="1" t="s">
        <v>1093</v>
      </c>
    </row>
    <row r="550" spans="6:16" x14ac:dyDescent="0.35">
      <c r="F550" s="1" t="str">
        <f>CONCATENATE(tblCong[[#This Row],[parishCode]],"-",tblCong[[#This Row],[kCode]])</f>
        <v>D02-S08-P02-K05</v>
      </c>
      <c r="G550" s="1" t="str">
        <f>Distrik!F$6</f>
        <v>D02</v>
      </c>
      <c r="H550" s="1" t="str">
        <f>VLOOKUP(tblCong[[#This Row],[distCode]],tblDistrict[#All],2)</f>
        <v>Jabem</v>
      </c>
      <c r="I550" s="1" t="str">
        <f>Seket!I$20</f>
        <v>S08</v>
      </c>
      <c r="J550" s="1" t="str">
        <f>CONCATENATE(tblCong[[#This Row],[distCode]],"-",tblCong[[#This Row],[sCode]])</f>
        <v>D02-S08</v>
      </c>
      <c r="K550" s="1" t="str">
        <f>VLOOKUP(tblCong[[#This Row],[seketCode]],tblSeket[#All],5,FALSE)</f>
        <v>Laulu</v>
      </c>
      <c r="L550" s="1" t="str">
        <f>Paris!L$123</f>
        <v>P02</v>
      </c>
      <c r="M550" s="1" t="str">
        <f>CONCATENATE(tblCong[[#This Row],[seketCode]],"-",tblCong[[#This Row],[pCode]])</f>
        <v>D02-S08-P02</v>
      </c>
      <c r="N550" s="1" t="str">
        <f>Paris!M$123</f>
        <v>Situm</v>
      </c>
      <c r="O550" s="1" t="s">
        <v>575</v>
      </c>
      <c r="P550" s="1" t="s">
        <v>1094</v>
      </c>
    </row>
    <row r="551" spans="6:16" x14ac:dyDescent="0.35">
      <c r="F551" s="1" t="str">
        <f>CONCATENATE(tblCong[[#This Row],[parishCode]],"-",tblCong[[#This Row],[kCode]])</f>
        <v>D02-S08-P02-K06</v>
      </c>
      <c r="G551" s="1" t="str">
        <f>Distrik!F$6</f>
        <v>D02</v>
      </c>
      <c r="H551" s="1" t="str">
        <f>VLOOKUP(tblCong[[#This Row],[distCode]],tblDistrict[#All],2)</f>
        <v>Jabem</v>
      </c>
      <c r="I551" s="1" t="str">
        <f>Seket!I$20</f>
        <v>S08</v>
      </c>
      <c r="J551" s="1" t="str">
        <f>CONCATENATE(tblCong[[#This Row],[distCode]],"-",tblCong[[#This Row],[sCode]])</f>
        <v>D02-S08</v>
      </c>
      <c r="K551" s="1" t="str">
        <f>VLOOKUP(tblCong[[#This Row],[seketCode]],tblSeket[#All],5,FALSE)</f>
        <v>Laulu</v>
      </c>
      <c r="L551" s="1" t="str">
        <f>Paris!L$123</f>
        <v>P02</v>
      </c>
      <c r="M551" s="1" t="str">
        <f>CONCATENATE(tblCong[[#This Row],[seketCode]],"-",tblCong[[#This Row],[pCode]])</f>
        <v>D02-S08-P02</v>
      </c>
      <c r="N551" s="1" t="str">
        <f>Paris!M$123</f>
        <v>Situm</v>
      </c>
      <c r="O551" s="1" t="s">
        <v>576</v>
      </c>
      <c r="P551" s="1" t="s">
        <v>392</v>
      </c>
    </row>
    <row r="552" spans="6:16" x14ac:dyDescent="0.35">
      <c r="F552" s="1" t="str">
        <f>CONCATENATE(tblCong[[#This Row],[parishCode]],"-",tblCong[[#This Row],[kCode]])</f>
        <v>D02-S08-P03-K01</v>
      </c>
      <c r="G552" s="1" t="str">
        <f>Distrik!F$6</f>
        <v>D02</v>
      </c>
      <c r="H552" s="1" t="str">
        <f>VLOOKUP(tblCong[[#This Row],[distCode]],tblDistrict[#All],2)</f>
        <v>Jabem</v>
      </c>
      <c r="I552" s="1" t="str">
        <f>Seket!I$20</f>
        <v>S08</v>
      </c>
      <c r="J552" s="1" t="str">
        <f>CONCATENATE(tblCong[[#This Row],[distCode]],"-",tblCong[[#This Row],[sCode]])</f>
        <v>D02-S08</v>
      </c>
      <c r="K552" s="1" t="str">
        <f>VLOOKUP(tblCong[[#This Row],[seketCode]],tblSeket[#All],5,FALSE)</f>
        <v>Laulu</v>
      </c>
      <c r="L552" s="1" t="str">
        <f>Paris!L$124</f>
        <v>P03</v>
      </c>
      <c r="M552" s="1" t="str">
        <f>CONCATENATE(tblCong[[#This Row],[seketCode]],"-",tblCong[[#This Row],[pCode]])</f>
        <v>D02-S08-P03</v>
      </c>
      <c r="N552" s="1" t="str">
        <f>Paris!M$124</f>
        <v>Apo</v>
      </c>
      <c r="O552" s="1" t="s">
        <v>567</v>
      </c>
      <c r="P552" s="1" t="s">
        <v>1095</v>
      </c>
    </row>
    <row r="553" spans="6:16" x14ac:dyDescent="0.35">
      <c r="F553" s="1" t="str">
        <f>CONCATENATE(tblCong[[#This Row],[parishCode]],"-",tblCong[[#This Row],[kCode]])</f>
        <v>D02-S08-P03-K02</v>
      </c>
      <c r="G553" s="1" t="str">
        <f>Distrik!F$6</f>
        <v>D02</v>
      </c>
      <c r="H553" s="1" t="str">
        <f>VLOOKUP(tblCong[[#This Row],[distCode]],tblDistrict[#All],2)</f>
        <v>Jabem</v>
      </c>
      <c r="I553" s="1" t="str">
        <f>Seket!I$20</f>
        <v>S08</v>
      </c>
      <c r="J553" s="1" t="str">
        <f>CONCATENATE(tblCong[[#This Row],[distCode]],"-",tblCong[[#This Row],[sCode]])</f>
        <v>D02-S08</v>
      </c>
      <c r="K553" s="1" t="str">
        <f>VLOOKUP(tblCong[[#This Row],[seketCode]],tblSeket[#All],5,FALSE)</f>
        <v>Laulu</v>
      </c>
      <c r="L553" s="1" t="str">
        <f>Paris!L$124</f>
        <v>P03</v>
      </c>
      <c r="M553" s="1" t="str">
        <f>CONCATENATE(tblCong[[#This Row],[seketCode]],"-",tblCong[[#This Row],[pCode]])</f>
        <v>D02-S08-P03</v>
      </c>
      <c r="N553" s="1" t="str">
        <f>Paris!M$124</f>
        <v>Apo</v>
      </c>
      <c r="O553" s="1" t="s">
        <v>569</v>
      </c>
      <c r="P553" s="1" t="s">
        <v>339</v>
      </c>
    </row>
    <row r="554" spans="6:16" x14ac:dyDescent="0.35">
      <c r="F554" s="1" t="str">
        <f>CONCATENATE(tblCong[[#This Row],[parishCode]],"-",tblCong[[#This Row],[kCode]])</f>
        <v>D02-S08-P03-K03</v>
      </c>
      <c r="G554" s="1" t="str">
        <f>Distrik!F$6</f>
        <v>D02</v>
      </c>
      <c r="H554" s="1" t="str">
        <f>VLOOKUP(tblCong[[#This Row],[distCode]],tblDistrict[#All],2)</f>
        <v>Jabem</v>
      </c>
      <c r="I554" s="1" t="str">
        <f>Seket!I$20</f>
        <v>S08</v>
      </c>
      <c r="J554" s="1" t="str">
        <f>CONCATENATE(tblCong[[#This Row],[distCode]],"-",tblCong[[#This Row],[sCode]])</f>
        <v>D02-S08</v>
      </c>
      <c r="K554" s="1" t="str">
        <f>VLOOKUP(tblCong[[#This Row],[seketCode]],tblSeket[#All],5,FALSE)</f>
        <v>Laulu</v>
      </c>
      <c r="L554" s="1" t="str">
        <f>Paris!L$124</f>
        <v>P03</v>
      </c>
      <c r="M554" s="1" t="str">
        <f>CONCATENATE(tblCong[[#This Row],[seketCode]],"-",tblCong[[#This Row],[pCode]])</f>
        <v>D02-S08-P03</v>
      </c>
      <c r="N554" s="1" t="str">
        <f>Paris!M$124</f>
        <v>Apo</v>
      </c>
      <c r="O554" s="1" t="s">
        <v>571</v>
      </c>
      <c r="P554" s="1" t="s">
        <v>1096</v>
      </c>
    </row>
    <row r="555" spans="6:16" x14ac:dyDescent="0.35">
      <c r="F555" s="1" t="str">
        <f>CONCATENATE(tblCong[[#This Row],[parishCode]],"-",tblCong[[#This Row],[kCode]])</f>
        <v>D02-S08-P04-K01</v>
      </c>
      <c r="G555" s="1" t="str">
        <f>Distrik!F$6</f>
        <v>D02</v>
      </c>
      <c r="H555" s="1" t="str">
        <f>VLOOKUP(tblCong[[#This Row],[distCode]],tblDistrict[#All],2)</f>
        <v>Jabem</v>
      </c>
      <c r="I555" s="1" t="str">
        <f>Seket!I$20</f>
        <v>S08</v>
      </c>
      <c r="J555" s="1" t="str">
        <f>CONCATENATE(tblCong[[#This Row],[distCode]],"-",tblCong[[#This Row],[sCode]])</f>
        <v>D02-S08</v>
      </c>
      <c r="K555" s="1" t="str">
        <f>VLOOKUP(tblCong[[#This Row],[seketCode]],tblSeket[#All],5,FALSE)</f>
        <v>Laulu</v>
      </c>
      <c r="L555" s="1" t="str">
        <f>Paris!L$125</f>
        <v>P04</v>
      </c>
      <c r="M555" s="1" t="str">
        <f>CONCATENATE(tblCong[[#This Row],[seketCode]],"-",tblCong[[#This Row],[pCode]])</f>
        <v>D02-S08-P04</v>
      </c>
      <c r="N555" s="1" t="str">
        <f>Paris!M$125</f>
        <v>Wagang</v>
      </c>
      <c r="O555" s="1" t="s">
        <v>567</v>
      </c>
      <c r="P555" s="1" t="s">
        <v>340</v>
      </c>
    </row>
    <row r="556" spans="6:16" x14ac:dyDescent="0.35">
      <c r="F556" s="1" t="str">
        <f>CONCATENATE(tblCong[[#This Row],[parishCode]],"-",tblCong[[#This Row],[kCode]])</f>
        <v>D02-S08-P04-K02</v>
      </c>
      <c r="G556" s="1" t="str">
        <f>Distrik!F$6</f>
        <v>D02</v>
      </c>
      <c r="H556" s="1" t="str">
        <f>VLOOKUP(tblCong[[#This Row],[distCode]],tblDistrict[#All],2)</f>
        <v>Jabem</v>
      </c>
      <c r="I556" s="1" t="str">
        <f>Seket!I$20</f>
        <v>S08</v>
      </c>
      <c r="J556" s="1" t="str">
        <f>CONCATENATE(tblCong[[#This Row],[distCode]],"-",tblCong[[#This Row],[sCode]])</f>
        <v>D02-S08</v>
      </c>
      <c r="K556" s="1" t="str">
        <f>VLOOKUP(tblCong[[#This Row],[seketCode]],tblSeket[#All],5,FALSE)</f>
        <v>Laulu</v>
      </c>
      <c r="L556" s="1" t="str">
        <f>Paris!L$125</f>
        <v>P04</v>
      </c>
      <c r="M556" s="1" t="str">
        <f>CONCATENATE(tblCong[[#This Row],[seketCode]],"-",tblCong[[#This Row],[pCode]])</f>
        <v>D02-S08-P04</v>
      </c>
      <c r="N556" s="1" t="str">
        <f>Paris!M$125</f>
        <v>Wagang</v>
      </c>
      <c r="O556" s="1" t="s">
        <v>569</v>
      </c>
      <c r="P556" s="1" t="s">
        <v>321</v>
      </c>
    </row>
    <row r="557" spans="6:16" x14ac:dyDescent="0.35">
      <c r="F557" s="1" t="str">
        <f>CONCATENATE(tblCong[[#This Row],[parishCode]],"-",tblCong[[#This Row],[kCode]])</f>
        <v>D02-S08-P04-K03</v>
      </c>
      <c r="G557" s="1" t="str">
        <f>Distrik!F$6</f>
        <v>D02</v>
      </c>
      <c r="H557" s="1" t="str">
        <f>VLOOKUP(tblCong[[#This Row],[distCode]],tblDistrict[#All],2)</f>
        <v>Jabem</v>
      </c>
      <c r="I557" s="1" t="str">
        <f>Seket!I$20</f>
        <v>S08</v>
      </c>
      <c r="J557" s="1" t="str">
        <f>CONCATENATE(tblCong[[#This Row],[distCode]],"-",tblCong[[#This Row],[sCode]])</f>
        <v>D02-S08</v>
      </c>
      <c r="K557" s="1" t="str">
        <f>VLOOKUP(tblCong[[#This Row],[seketCode]],tblSeket[#All],5,FALSE)</f>
        <v>Laulu</v>
      </c>
      <c r="L557" s="1" t="str">
        <f>Paris!L$125</f>
        <v>P04</v>
      </c>
      <c r="M557" s="1" t="str">
        <f>CONCATENATE(tblCong[[#This Row],[seketCode]],"-",tblCong[[#This Row],[pCode]])</f>
        <v>D02-S08-P04</v>
      </c>
      <c r="N557" s="1" t="str">
        <f>Paris!M$125</f>
        <v>Wagang</v>
      </c>
      <c r="O557" s="1" t="s">
        <v>571</v>
      </c>
      <c r="P557" s="1" t="s">
        <v>1097</v>
      </c>
    </row>
    <row r="558" spans="6:16" x14ac:dyDescent="0.35">
      <c r="F558" s="1" t="str">
        <f>CONCATENATE(tblCong[[#This Row],[parishCode]],"-",tblCong[[#This Row],[kCode]])</f>
        <v>D02-S08-P05-K01</v>
      </c>
      <c r="G558" s="1" t="str">
        <f>Distrik!F$6</f>
        <v>D02</v>
      </c>
      <c r="H558" s="1" t="str">
        <f>VLOOKUP(tblCong[[#This Row],[distCode]],tblDistrict[#All],2)</f>
        <v>Jabem</v>
      </c>
      <c r="I558" s="1" t="str">
        <f>Seket!I$20</f>
        <v>S08</v>
      </c>
      <c r="J558" s="1" t="str">
        <f>CONCATENATE(tblCong[[#This Row],[distCode]],"-",tblCong[[#This Row],[sCode]])</f>
        <v>D02-S08</v>
      </c>
      <c r="K558" s="1" t="str">
        <f>VLOOKUP(tblCong[[#This Row],[seketCode]],tblSeket[#All],5,FALSE)</f>
        <v>Laulu</v>
      </c>
      <c r="L558" s="1" t="str">
        <f>Paris!L$126</f>
        <v>P05</v>
      </c>
      <c r="M558" s="1" t="str">
        <f>CONCATENATE(tblCong[[#This Row],[seketCode]],"-",tblCong[[#This Row],[pCode]])</f>
        <v>D02-S08-P05</v>
      </c>
      <c r="N558" s="1" t="str">
        <f>Paris!M$126</f>
        <v>Mesem</v>
      </c>
      <c r="O558" s="1" t="s">
        <v>567</v>
      </c>
      <c r="P558" s="1" t="s">
        <v>1098</v>
      </c>
    </row>
    <row r="559" spans="6:16" x14ac:dyDescent="0.35">
      <c r="F559" s="1" t="str">
        <f>CONCATENATE(tblCong[[#This Row],[parishCode]],"-",tblCong[[#This Row],[kCode]])</f>
        <v>D02-S08-P05-K02</v>
      </c>
      <c r="G559" s="1" t="str">
        <f>Distrik!F$6</f>
        <v>D02</v>
      </c>
      <c r="H559" s="1" t="str">
        <f>VLOOKUP(tblCong[[#This Row],[distCode]],tblDistrict[#All],2)</f>
        <v>Jabem</v>
      </c>
      <c r="I559" s="1" t="str">
        <f>Seket!I$20</f>
        <v>S08</v>
      </c>
      <c r="J559" s="1" t="str">
        <f>CONCATENATE(tblCong[[#This Row],[distCode]],"-",tblCong[[#This Row],[sCode]])</f>
        <v>D02-S08</v>
      </c>
      <c r="K559" s="1" t="str">
        <f>VLOOKUP(tblCong[[#This Row],[seketCode]],tblSeket[#All],5,FALSE)</f>
        <v>Laulu</v>
      </c>
      <c r="L559" s="1" t="str">
        <f>Paris!L$126</f>
        <v>P05</v>
      </c>
      <c r="M559" s="1" t="str">
        <f>CONCATENATE(tblCong[[#This Row],[seketCode]],"-",tblCong[[#This Row],[pCode]])</f>
        <v>D02-S08-P05</v>
      </c>
      <c r="N559" s="1" t="str">
        <f>Paris!M$126</f>
        <v>Mesem</v>
      </c>
      <c r="O559" s="1" t="s">
        <v>569</v>
      </c>
      <c r="P559" s="1" t="s">
        <v>1099</v>
      </c>
    </row>
    <row r="560" spans="6:16" x14ac:dyDescent="0.35">
      <c r="F560" s="1" t="str">
        <f>CONCATENATE(tblCong[[#This Row],[parishCode]],"-",tblCong[[#This Row],[kCode]])</f>
        <v>D02-S08-P05-K03</v>
      </c>
      <c r="G560" s="1" t="str">
        <f>Distrik!F$6</f>
        <v>D02</v>
      </c>
      <c r="H560" s="1" t="str">
        <f>VLOOKUP(tblCong[[#This Row],[distCode]],tblDistrict[#All],2)</f>
        <v>Jabem</v>
      </c>
      <c r="I560" s="1" t="str">
        <f>Seket!I$20</f>
        <v>S08</v>
      </c>
      <c r="J560" s="1" t="str">
        <f>CONCATENATE(tblCong[[#This Row],[distCode]],"-",tblCong[[#This Row],[sCode]])</f>
        <v>D02-S08</v>
      </c>
      <c r="K560" s="1" t="str">
        <f>VLOOKUP(tblCong[[#This Row],[seketCode]],tblSeket[#All],5,FALSE)</f>
        <v>Laulu</v>
      </c>
      <c r="L560" s="1" t="str">
        <f>Paris!L$126</f>
        <v>P05</v>
      </c>
      <c r="M560" s="1" t="str">
        <f>CONCATENATE(tblCong[[#This Row],[seketCode]],"-",tblCong[[#This Row],[pCode]])</f>
        <v>D02-S08-P05</v>
      </c>
      <c r="N560" s="1" t="str">
        <f>Paris!M$126</f>
        <v>Mesem</v>
      </c>
      <c r="O560" s="1" t="s">
        <v>571</v>
      </c>
      <c r="P560" s="1" t="s">
        <v>1100</v>
      </c>
    </row>
    <row r="561" spans="6:16" x14ac:dyDescent="0.35">
      <c r="F561" s="1" t="str">
        <f>CONCATENATE(tblCong[[#This Row],[parishCode]],"-",tblCong[[#This Row],[kCode]])</f>
        <v>D02-S08-P05-K04</v>
      </c>
      <c r="G561" s="1" t="str">
        <f>Distrik!F$6</f>
        <v>D02</v>
      </c>
      <c r="H561" s="1" t="str">
        <f>VLOOKUP(tblCong[[#This Row],[distCode]],tblDistrict[#All],2)</f>
        <v>Jabem</v>
      </c>
      <c r="I561" s="1" t="str">
        <f>Seket!I$20</f>
        <v>S08</v>
      </c>
      <c r="J561" s="1" t="str">
        <f>CONCATENATE(tblCong[[#This Row],[distCode]],"-",tblCong[[#This Row],[sCode]])</f>
        <v>D02-S08</v>
      </c>
      <c r="K561" s="1" t="str">
        <f>VLOOKUP(tblCong[[#This Row],[seketCode]],tblSeket[#All],5,FALSE)</f>
        <v>Laulu</v>
      </c>
      <c r="L561" s="1" t="str">
        <f>Paris!L$126</f>
        <v>P05</v>
      </c>
      <c r="M561" s="1" t="str">
        <f>CONCATENATE(tblCong[[#This Row],[seketCode]],"-",tblCong[[#This Row],[pCode]])</f>
        <v>D02-S08-P05</v>
      </c>
      <c r="N561" s="1" t="str">
        <f>Paris!M$126</f>
        <v>Mesem</v>
      </c>
      <c r="O561" s="1" t="s">
        <v>573</v>
      </c>
      <c r="P561" s="1" t="s">
        <v>1101</v>
      </c>
    </row>
    <row r="562" spans="6:16" x14ac:dyDescent="0.35">
      <c r="F562" s="1" t="str">
        <f>CONCATENATE(tblCong[[#This Row],[parishCode]],"-",tblCong[[#This Row],[kCode]])</f>
        <v>D02-S08-P05-K05</v>
      </c>
      <c r="G562" s="1" t="str">
        <f>Distrik!F$6</f>
        <v>D02</v>
      </c>
      <c r="H562" s="1" t="str">
        <f>VLOOKUP(tblCong[[#This Row],[distCode]],tblDistrict[#All],2)</f>
        <v>Jabem</v>
      </c>
      <c r="I562" s="1" t="str">
        <f>Seket!I$20</f>
        <v>S08</v>
      </c>
      <c r="J562" s="1" t="str">
        <f>CONCATENATE(tblCong[[#This Row],[distCode]],"-",tblCong[[#This Row],[sCode]])</f>
        <v>D02-S08</v>
      </c>
      <c r="K562" s="1" t="str">
        <f>VLOOKUP(tblCong[[#This Row],[seketCode]],tblSeket[#All],5,FALSE)</f>
        <v>Laulu</v>
      </c>
      <c r="L562" s="1" t="str">
        <f>Paris!L$126</f>
        <v>P05</v>
      </c>
      <c r="M562" s="1" t="str">
        <f>CONCATENATE(tblCong[[#This Row],[seketCode]],"-",tblCong[[#This Row],[pCode]])</f>
        <v>D02-S08-P05</v>
      </c>
      <c r="N562" s="1" t="str">
        <f>Paris!M$126</f>
        <v>Mesem</v>
      </c>
      <c r="O562" s="1" t="s">
        <v>575</v>
      </c>
      <c r="P562" s="1" t="s">
        <v>1102</v>
      </c>
    </row>
    <row r="563" spans="6:16" x14ac:dyDescent="0.35">
      <c r="F563" s="1" t="str">
        <f>CONCATENATE(tblCong[[#This Row],[parishCode]],"-",tblCong[[#This Row],[kCode]])</f>
        <v>D02-S08-P05-K06</v>
      </c>
      <c r="G563" s="1" t="str">
        <f>Distrik!F$6</f>
        <v>D02</v>
      </c>
      <c r="H563" s="1" t="str">
        <f>VLOOKUP(tblCong[[#This Row],[distCode]],tblDistrict[#All],2)</f>
        <v>Jabem</v>
      </c>
      <c r="I563" s="1" t="str">
        <f>Seket!I$20</f>
        <v>S08</v>
      </c>
      <c r="J563" s="1" t="str">
        <f>CONCATENATE(tblCong[[#This Row],[distCode]],"-",tblCong[[#This Row],[sCode]])</f>
        <v>D02-S08</v>
      </c>
      <c r="K563" s="1" t="str">
        <f>VLOOKUP(tblCong[[#This Row],[seketCode]],tblSeket[#All],5,FALSE)</f>
        <v>Laulu</v>
      </c>
      <c r="L563" s="1" t="str">
        <f>Paris!L$126</f>
        <v>P05</v>
      </c>
      <c r="M563" s="1" t="str">
        <f>CONCATENATE(tblCong[[#This Row],[seketCode]],"-",tblCong[[#This Row],[pCode]])</f>
        <v>D02-S08-P05</v>
      </c>
      <c r="N563" s="1" t="str">
        <f>Paris!M$126</f>
        <v>Mesem</v>
      </c>
      <c r="O563" s="1" t="s">
        <v>576</v>
      </c>
      <c r="P563" s="1" t="s">
        <v>1103</v>
      </c>
    </row>
    <row r="564" spans="6:16" x14ac:dyDescent="0.35">
      <c r="F564" s="1" t="str">
        <f>CONCATENATE(tblCong[[#This Row],[parishCode]],"-",tblCong[[#This Row],[kCode]])</f>
        <v>D02-S09-P01-K01</v>
      </c>
      <c r="G564" s="1" t="str">
        <f>Distrik!F$6</f>
        <v>D02</v>
      </c>
      <c r="H564" s="1" t="str">
        <f>VLOOKUP(tblCong[[#This Row],[distCode]],tblDistrict[#All],2)</f>
        <v>Jabem</v>
      </c>
      <c r="I564" s="1" t="str">
        <f>Seket!I$21</f>
        <v>S09</v>
      </c>
      <c r="J564" s="1" t="str">
        <f>CONCATENATE(tblCong[[#This Row],[distCode]],"-",tblCong[[#This Row],[sCode]])</f>
        <v>D02-S09</v>
      </c>
      <c r="K564" s="1" t="str">
        <f>VLOOKUP(tblCong[[#This Row],[seketCode]],tblSeket[#All],5,FALSE)</f>
        <v>Malalo</v>
      </c>
      <c r="L564" s="1" t="str">
        <f>Paris!L$127</f>
        <v>P01</v>
      </c>
      <c r="M564" s="1" t="str">
        <f>CONCATENATE(tblCong[[#This Row],[seketCode]],"-",tblCong[[#This Row],[pCode]])</f>
        <v>D02-S09-P01</v>
      </c>
      <c r="N564" s="1" t="str">
        <f>Paris!M$127</f>
        <v>Miya</v>
      </c>
      <c r="O564" s="1" t="s">
        <v>567</v>
      </c>
      <c r="P564" s="1" t="s">
        <v>1104</v>
      </c>
    </row>
    <row r="565" spans="6:16" x14ac:dyDescent="0.35">
      <c r="F565" s="1" t="str">
        <f>CONCATENATE(tblCong[[#This Row],[parishCode]],"-",tblCong[[#This Row],[kCode]])</f>
        <v>D02-S09-P01-K02</v>
      </c>
      <c r="G565" s="1" t="str">
        <f>Distrik!F$6</f>
        <v>D02</v>
      </c>
      <c r="H565" s="1" t="str">
        <f>VLOOKUP(tblCong[[#This Row],[distCode]],tblDistrict[#All],2)</f>
        <v>Jabem</v>
      </c>
      <c r="I565" s="1" t="str">
        <f>Seket!I$21</f>
        <v>S09</v>
      </c>
      <c r="J565" s="1" t="str">
        <f>CONCATENATE(tblCong[[#This Row],[distCode]],"-",tblCong[[#This Row],[sCode]])</f>
        <v>D02-S09</v>
      </c>
      <c r="K565" s="1" t="str">
        <f>VLOOKUP(tblCong[[#This Row],[seketCode]],tblSeket[#All],5,FALSE)</f>
        <v>Malalo</v>
      </c>
      <c r="L565" s="1" t="str">
        <f>Paris!L$127</f>
        <v>P01</v>
      </c>
      <c r="M565" s="1" t="str">
        <f>CONCATENATE(tblCong[[#This Row],[seketCode]],"-",tblCong[[#This Row],[pCode]])</f>
        <v>D02-S09-P01</v>
      </c>
      <c r="N565" s="1" t="str">
        <f>Paris!M$127</f>
        <v>Miya</v>
      </c>
      <c r="O565" s="1" t="s">
        <v>569</v>
      </c>
      <c r="P565" s="1" t="s">
        <v>1105</v>
      </c>
    </row>
    <row r="566" spans="6:16" x14ac:dyDescent="0.35">
      <c r="F566" s="1" t="str">
        <f>CONCATENATE(tblCong[[#This Row],[parishCode]],"-",tblCong[[#This Row],[kCode]])</f>
        <v>D02-S09-P01-K03</v>
      </c>
      <c r="G566" s="1" t="str">
        <f>Distrik!F$6</f>
        <v>D02</v>
      </c>
      <c r="H566" s="1" t="str">
        <f>VLOOKUP(tblCong[[#This Row],[distCode]],tblDistrict[#All],2)</f>
        <v>Jabem</v>
      </c>
      <c r="I566" s="1" t="str">
        <f>Seket!I$21</f>
        <v>S09</v>
      </c>
      <c r="J566" s="1" t="str">
        <f>CONCATENATE(tblCong[[#This Row],[distCode]],"-",tblCong[[#This Row],[sCode]])</f>
        <v>D02-S09</v>
      </c>
      <c r="K566" s="1" t="str">
        <f>VLOOKUP(tblCong[[#This Row],[seketCode]],tblSeket[#All],5,FALSE)</f>
        <v>Malalo</v>
      </c>
      <c r="L566" s="1" t="str">
        <f>Paris!L$127</f>
        <v>P01</v>
      </c>
      <c r="M566" s="1" t="str">
        <f>CONCATENATE(tblCong[[#This Row],[seketCode]],"-",tblCong[[#This Row],[pCode]])</f>
        <v>D02-S09-P01</v>
      </c>
      <c r="N566" s="1" t="str">
        <f>Paris!M$127</f>
        <v>Miya</v>
      </c>
      <c r="O566" s="1" t="s">
        <v>571</v>
      </c>
      <c r="P566" s="1" t="s">
        <v>1106</v>
      </c>
    </row>
    <row r="567" spans="6:16" x14ac:dyDescent="0.35">
      <c r="F567" s="1" t="str">
        <f>CONCATENATE(tblCong[[#This Row],[parishCode]],"-",tblCong[[#This Row],[kCode]])</f>
        <v>D02-S09-P01-K04</v>
      </c>
      <c r="G567" s="1" t="str">
        <f>Distrik!F$6</f>
        <v>D02</v>
      </c>
      <c r="H567" s="1" t="str">
        <f>VLOOKUP(tblCong[[#This Row],[distCode]],tblDistrict[#All],2)</f>
        <v>Jabem</v>
      </c>
      <c r="I567" s="1" t="str">
        <f>Seket!I$21</f>
        <v>S09</v>
      </c>
      <c r="J567" s="1" t="str">
        <f>CONCATENATE(tblCong[[#This Row],[distCode]],"-",tblCong[[#This Row],[sCode]])</f>
        <v>D02-S09</v>
      </c>
      <c r="K567" s="1" t="str">
        <f>VLOOKUP(tblCong[[#This Row],[seketCode]],tblSeket[#All],5,FALSE)</f>
        <v>Malalo</v>
      </c>
      <c r="L567" s="1" t="str">
        <f>Paris!L$127</f>
        <v>P01</v>
      </c>
      <c r="M567" s="1" t="str">
        <f>CONCATENATE(tblCong[[#This Row],[seketCode]],"-",tblCong[[#This Row],[pCode]])</f>
        <v>D02-S09-P01</v>
      </c>
      <c r="N567" s="1" t="str">
        <f>Paris!M$127</f>
        <v>Miya</v>
      </c>
      <c r="O567" s="1" t="s">
        <v>573</v>
      </c>
      <c r="P567" s="1" t="s">
        <v>1107</v>
      </c>
    </row>
    <row r="568" spans="6:16" x14ac:dyDescent="0.35">
      <c r="F568" s="1" t="str">
        <f>CONCATENATE(tblCong[[#This Row],[parishCode]],"-",tblCong[[#This Row],[kCode]])</f>
        <v>D02-S09-P01-K05</v>
      </c>
      <c r="G568" s="1" t="str">
        <f>Distrik!F$6</f>
        <v>D02</v>
      </c>
      <c r="H568" s="1" t="str">
        <f>VLOOKUP(tblCong[[#This Row],[distCode]],tblDistrict[#All],2)</f>
        <v>Jabem</v>
      </c>
      <c r="I568" s="1" t="str">
        <f>Seket!I$21</f>
        <v>S09</v>
      </c>
      <c r="J568" s="1" t="str">
        <f>CONCATENATE(tblCong[[#This Row],[distCode]],"-",tblCong[[#This Row],[sCode]])</f>
        <v>D02-S09</v>
      </c>
      <c r="K568" s="1" t="str">
        <f>VLOOKUP(tblCong[[#This Row],[seketCode]],tblSeket[#All],5,FALSE)</f>
        <v>Malalo</v>
      </c>
      <c r="L568" s="1" t="str">
        <f>Paris!L$127</f>
        <v>P01</v>
      </c>
      <c r="M568" s="1" t="str">
        <f>CONCATENATE(tblCong[[#This Row],[seketCode]],"-",tblCong[[#This Row],[pCode]])</f>
        <v>D02-S09-P01</v>
      </c>
      <c r="N568" s="1" t="str">
        <f>Paris!M$127</f>
        <v>Miya</v>
      </c>
      <c r="O568" s="1" t="s">
        <v>575</v>
      </c>
      <c r="P568" s="1" t="s">
        <v>1108</v>
      </c>
    </row>
    <row r="569" spans="6:16" x14ac:dyDescent="0.35">
      <c r="F569" s="1" t="str">
        <f>CONCATENATE(tblCong[[#This Row],[parishCode]],"-",tblCong[[#This Row],[kCode]])</f>
        <v>D02-S09-P02-K01</v>
      </c>
      <c r="G569" s="1" t="str">
        <f>Distrik!F$6</f>
        <v>D02</v>
      </c>
      <c r="H569" s="1" t="str">
        <f>VLOOKUP(tblCong[[#This Row],[distCode]],tblDistrict[#All],2)</f>
        <v>Jabem</v>
      </c>
      <c r="I569" s="1" t="str">
        <f>Seket!I$21</f>
        <v>S09</v>
      </c>
      <c r="J569" s="1" t="str">
        <f>CONCATENATE(tblCong[[#This Row],[distCode]],"-",tblCong[[#This Row],[sCode]])</f>
        <v>D02-S09</v>
      </c>
      <c r="K569" s="1" t="str">
        <f>VLOOKUP(tblCong[[#This Row],[seketCode]],tblSeket[#All],5,FALSE)</f>
        <v>Malalo</v>
      </c>
      <c r="L569" s="1" t="str">
        <f>Paris!L$128</f>
        <v>P02</v>
      </c>
      <c r="M569" s="1" t="str">
        <f>CONCATENATE(tblCong[[#This Row],[seketCode]],"-",tblCong[[#This Row],[pCode]])</f>
        <v>D02-S09-P02</v>
      </c>
      <c r="N569" s="1" t="str">
        <f>Paris!M$128</f>
        <v>Banuya</v>
      </c>
      <c r="O569" s="1" t="s">
        <v>567</v>
      </c>
      <c r="P569" s="1" t="s">
        <v>1109</v>
      </c>
    </row>
    <row r="570" spans="6:16" x14ac:dyDescent="0.35">
      <c r="F570" s="1" t="str">
        <f>CONCATENATE(tblCong[[#This Row],[parishCode]],"-",tblCong[[#This Row],[kCode]])</f>
        <v>D02-S09-P02-K02</v>
      </c>
      <c r="G570" s="1" t="str">
        <f>Distrik!F$6</f>
        <v>D02</v>
      </c>
      <c r="H570" s="1" t="str">
        <f>VLOOKUP(tblCong[[#This Row],[distCode]],tblDistrict[#All],2)</f>
        <v>Jabem</v>
      </c>
      <c r="I570" s="1" t="str">
        <f>Seket!I$21</f>
        <v>S09</v>
      </c>
      <c r="J570" s="1" t="str">
        <f>CONCATENATE(tblCong[[#This Row],[distCode]],"-",tblCong[[#This Row],[sCode]])</f>
        <v>D02-S09</v>
      </c>
      <c r="K570" s="1" t="str">
        <f>VLOOKUP(tblCong[[#This Row],[seketCode]],tblSeket[#All],5,FALSE)</f>
        <v>Malalo</v>
      </c>
      <c r="L570" s="1" t="str">
        <f>Paris!L$128</f>
        <v>P02</v>
      </c>
      <c r="M570" s="1" t="str">
        <f>CONCATENATE(tblCong[[#This Row],[seketCode]],"-",tblCong[[#This Row],[pCode]])</f>
        <v>D02-S09-P02</v>
      </c>
      <c r="N570" s="1" t="str">
        <f>Paris!M$128</f>
        <v>Banuya</v>
      </c>
      <c r="O570" s="1" t="s">
        <v>569</v>
      </c>
      <c r="P570" s="1" t="s">
        <v>1110</v>
      </c>
    </row>
    <row r="571" spans="6:16" x14ac:dyDescent="0.35">
      <c r="F571" s="1" t="str">
        <f>CONCATENATE(tblCong[[#This Row],[parishCode]],"-",tblCong[[#This Row],[kCode]])</f>
        <v>D02-S09-P02-K03</v>
      </c>
      <c r="G571" s="1" t="str">
        <f>Distrik!F$6</f>
        <v>D02</v>
      </c>
      <c r="H571" s="1" t="str">
        <f>VLOOKUP(tblCong[[#This Row],[distCode]],tblDistrict[#All],2)</f>
        <v>Jabem</v>
      </c>
      <c r="I571" s="1" t="str">
        <f>Seket!I$21</f>
        <v>S09</v>
      </c>
      <c r="J571" s="1" t="str">
        <f>CONCATENATE(tblCong[[#This Row],[distCode]],"-",tblCong[[#This Row],[sCode]])</f>
        <v>D02-S09</v>
      </c>
      <c r="K571" s="1" t="str">
        <f>VLOOKUP(tblCong[[#This Row],[seketCode]],tblSeket[#All],5,FALSE)</f>
        <v>Malalo</v>
      </c>
      <c r="L571" s="1" t="str">
        <f>Paris!L$128</f>
        <v>P02</v>
      </c>
      <c r="M571" s="1" t="str">
        <f>CONCATENATE(tblCong[[#This Row],[seketCode]],"-",tblCong[[#This Row],[pCode]])</f>
        <v>D02-S09-P02</v>
      </c>
      <c r="N571" s="1" t="str">
        <f>Paris!M$128</f>
        <v>Banuya</v>
      </c>
      <c r="O571" s="1" t="s">
        <v>571</v>
      </c>
      <c r="P571" s="1" t="s">
        <v>1111</v>
      </c>
    </row>
    <row r="572" spans="6:16" x14ac:dyDescent="0.35">
      <c r="F572" s="1" t="str">
        <f>CONCATENATE(tblCong[[#This Row],[parishCode]],"-",tblCong[[#This Row],[kCode]])</f>
        <v>D02-S09-P02-K04</v>
      </c>
      <c r="G572" s="1" t="str">
        <f>Distrik!F$6</f>
        <v>D02</v>
      </c>
      <c r="H572" s="1" t="str">
        <f>VLOOKUP(tblCong[[#This Row],[distCode]],tblDistrict[#All],2)</f>
        <v>Jabem</v>
      </c>
      <c r="I572" s="1" t="str">
        <f>Seket!I$21</f>
        <v>S09</v>
      </c>
      <c r="J572" s="1" t="str">
        <f>CONCATENATE(tblCong[[#This Row],[distCode]],"-",tblCong[[#This Row],[sCode]])</f>
        <v>D02-S09</v>
      </c>
      <c r="K572" s="1" t="str">
        <f>VLOOKUP(tblCong[[#This Row],[seketCode]],tblSeket[#All],5,FALSE)</f>
        <v>Malalo</v>
      </c>
      <c r="L572" s="1" t="str">
        <f>Paris!L$128</f>
        <v>P02</v>
      </c>
      <c r="M572" s="1" t="str">
        <f>CONCATENATE(tblCong[[#This Row],[seketCode]],"-",tblCong[[#This Row],[pCode]])</f>
        <v>D02-S09-P02</v>
      </c>
      <c r="N572" s="1" t="str">
        <f>Paris!M$128</f>
        <v>Banuya</v>
      </c>
      <c r="O572" s="1" t="s">
        <v>573</v>
      </c>
      <c r="P572" s="1" t="s">
        <v>1112</v>
      </c>
    </row>
    <row r="573" spans="6:16" x14ac:dyDescent="0.35">
      <c r="F573" s="1" t="str">
        <f>CONCATENATE(tblCong[[#This Row],[parishCode]],"-",tblCong[[#This Row],[kCode]])</f>
        <v>D02-S09-P02-K05</v>
      </c>
      <c r="G573" s="1" t="str">
        <f>Distrik!F$6</f>
        <v>D02</v>
      </c>
      <c r="H573" s="1" t="str">
        <f>VLOOKUP(tblCong[[#This Row],[distCode]],tblDistrict[#All],2)</f>
        <v>Jabem</v>
      </c>
      <c r="I573" s="1" t="str">
        <f>Seket!I$21</f>
        <v>S09</v>
      </c>
      <c r="J573" s="1" t="str">
        <f>CONCATENATE(tblCong[[#This Row],[distCode]],"-",tblCong[[#This Row],[sCode]])</f>
        <v>D02-S09</v>
      </c>
      <c r="K573" s="1" t="str">
        <f>VLOOKUP(tblCong[[#This Row],[seketCode]],tblSeket[#All],5,FALSE)</f>
        <v>Malalo</v>
      </c>
      <c r="L573" s="1" t="str">
        <f>Paris!L$128</f>
        <v>P02</v>
      </c>
      <c r="M573" s="1" t="str">
        <f>CONCATENATE(tblCong[[#This Row],[seketCode]],"-",tblCong[[#This Row],[pCode]])</f>
        <v>D02-S09-P02</v>
      </c>
      <c r="N573" s="1" t="str">
        <f>Paris!M$128</f>
        <v>Banuya</v>
      </c>
      <c r="O573" s="1" t="s">
        <v>575</v>
      </c>
      <c r="P573" s="1" t="s">
        <v>1113</v>
      </c>
    </row>
    <row r="574" spans="6:16" x14ac:dyDescent="0.35">
      <c r="F574" s="1" t="str">
        <f>CONCATENATE(tblCong[[#This Row],[parishCode]],"-",tblCong[[#This Row],[kCode]])</f>
        <v>D02-S09-P03-K01</v>
      </c>
      <c r="G574" s="1" t="str">
        <f>Distrik!F$6</f>
        <v>D02</v>
      </c>
      <c r="H574" s="1" t="str">
        <f>VLOOKUP(tblCong[[#This Row],[distCode]],tblDistrict[#All],2)</f>
        <v>Jabem</v>
      </c>
      <c r="I574" s="1" t="str">
        <f>Seket!I$21</f>
        <v>S09</v>
      </c>
      <c r="J574" s="1" t="str">
        <f>CONCATENATE(tblCong[[#This Row],[distCode]],"-",tblCong[[#This Row],[sCode]])</f>
        <v>D02-S09</v>
      </c>
      <c r="K574" s="1" t="str">
        <f>VLOOKUP(tblCong[[#This Row],[seketCode]],tblSeket[#All],5,FALSE)</f>
        <v>Malalo</v>
      </c>
      <c r="L574" s="1" t="str">
        <f>Paris!L$129</f>
        <v>P03</v>
      </c>
      <c r="M574" s="1" t="str">
        <f>CONCATENATE(tblCong[[#This Row],[seketCode]],"-",tblCong[[#This Row],[pCode]])</f>
        <v>D02-S09-P03</v>
      </c>
      <c r="N574" s="1" t="str">
        <f>Paris!M$129</f>
        <v>Ho</v>
      </c>
      <c r="O574" s="1" t="s">
        <v>567</v>
      </c>
      <c r="P574" s="1" t="s">
        <v>1114</v>
      </c>
    </row>
    <row r="575" spans="6:16" x14ac:dyDescent="0.35">
      <c r="F575" s="1" t="str">
        <f>CONCATENATE(tblCong[[#This Row],[parishCode]],"-",tblCong[[#This Row],[kCode]])</f>
        <v>D02-S09-P03-K02</v>
      </c>
      <c r="G575" s="1" t="str">
        <f>Distrik!F$6</f>
        <v>D02</v>
      </c>
      <c r="H575" s="1" t="str">
        <f>VLOOKUP(tblCong[[#This Row],[distCode]],tblDistrict[#All],2)</f>
        <v>Jabem</v>
      </c>
      <c r="I575" s="1" t="str">
        <f>Seket!I$21</f>
        <v>S09</v>
      </c>
      <c r="J575" s="1" t="str">
        <f>CONCATENATE(tblCong[[#This Row],[distCode]],"-",tblCong[[#This Row],[sCode]])</f>
        <v>D02-S09</v>
      </c>
      <c r="K575" s="1" t="str">
        <f>VLOOKUP(tblCong[[#This Row],[seketCode]],tblSeket[#All],5,FALSE)</f>
        <v>Malalo</v>
      </c>
      <c r="L575" s="1" t="str">
        <f>Paris!L$129</f>
        <v>P03</v>
      </c>
      <c r="M575" s="1" t="str">
        <f>CONCATENATE(tblCong[[#This Row],[seketCode]],"-",tblCong[[#This Row],[pCode]])</f>
        <v>D02-S09-P03</v>
      </c>
      <c r="N575" s="1" t="str">
        <f>Paris!M$129</f>
        <v>Ho</v>
      </c>
      <c r="O575" s="1" t="s">
        <v>569</v>
      </c>
      <c r="P575" s="1" t="s">
        <v>1115</v>
      </c>
    </row>
    <row r="576" spans="6:16" x14ac:dyDescent="0.35">
      <c r="F576" s="1" t="str">
        <f>CONCATENATE(tblCong[[#This Row],[parishCode]],"-",tblCong[[#This Row],[kCode]])</f>
        <v>D02-S09-P03-K03</v>
      </c>
      <c r="G576" s="1" t="str">
        <f>Distrik!F$6</f>
        <v>D02</v>
      </c>
      <c r="H576" s="1" t="str">
        <f>VLOOKUP(tblCong[[#This Row],[distCode]],tblDistrict[#All],2)</f>
        <v>Jabem</v>
      </c>
      <c r="I576" s="1" t="str">
        <f>Seket!I$21</f>
        <v>S09</v>
      </c>
      <c r="J576" s="1" t="str">
        <f>CONCATENATE(tblCong[[#This Row],[distCode]],"-",tblCong[[#This Row],[sCode]])</f>
        <v>D02-S09</v>
      </c>
      <c r="K576" s="1" t="str">
        <f>VLOOKUP(tblCong[[#This Row],[seketCode]],tblSeket[#All],5,FALSE)</f>
        <v>Malalo</v>
      </c>
      <c r="L576" s="1" t="str">
        <f>Paris!L$129</f>
        <v>P03</v>
      </c>
      <c r="M576" s="1" t="str">
        <f>CONCATENATE(tblCong[[#This Row],[seketCode]],"-",tblCong[[#This Row],[pCode]])</f>
        <v>D02-S09-P03</v>
      </c>
      <c r="N576" s="1" t="str">
        <f>Paris!M$129</f>
        <v>Ho</v>
      </c>
      <c r="O576" s="1" t="s">
        <v>571</v>
      </c>
      <c r="P576" s="1" t="s">
        <v>1116</v>
      </c>
    </row>
    <row r="577" spans="6:16" x14ac:dyDescent="0.35">
      <c r="F577" s="1" t="str">
        <f>CONCATENATE(tblCong[[#This Row],[parishCode]],"-",tblCong[[#This Row],[kCode]])</f>
        <v>D02-S09-P03-K04</v>
      </c>
      <c r="G577" s="1" t="str">
        <f>Distrik!F$6</f>
        <v>D02</v>
      </c>
      <c r="H577" s="1" t="str">
        <f>VLOOKUP(tblCong[[#This Row],[distCode]],tblDistrict[#All],2)</f>
        <v>Jabem</v>
      </c>
      <c r="I577" s="1" t="str">
        <f>Seket!I$21</f>
        <v>S09</v>
      </c>
      <c r="J577" s="1" t="str">
        <f>CONCATENATE(tblCong[[#This Row],[distCode]],"-",tblCong[[#This Row],[sCode]])</f>
        <v>D02-S09</v>
      </c>
      <c r="K577" s="1" t="str">
        <f>VLOOKUP(tblCong[[#This Row],[seketCode]],tblSeket[#All],5,FALSE)</f>
        <v>Malalo</v>
      </c>
      <c r="L577" s="1" t="str">
        <f>Paris!L$129</f>
        <v>P03</v>
      </c>
      <c r="M577" s="1" t="str">
        <f>CONCATENATE(tblCong[[#This Row],[seketCode]],"-",tblCong[[#This Row],[pCode]])</f>
        <v>D02-S09-P03</v>
      </c>
      <c r="N577" s="1" t="str">
        <f>Paris!M$129</f>
        <v>Ho</v>
      </c>
      <c r="O577" s="1" t="s">
        <v>573</v>
      </c>
      <c r="P577" s="1" t="s">
        <v>1117</v>
      </c>
    </row>
    <row r="578" spans="6:16" x14ac:dyDescent="0.35">
      <c r="F578" s="1" t="str">
        <f>CONCATENATE(tblCong[[#This Row],[parishCode]],"-",tblCong[[#This Row],[kCode]])</f>
        <v>D02-S09-P03-K05</v>
      </c>
      <c r="G578" s="1" t="str">
        <f>Distrik!F$6</f>
        <v>D02</v>
      </c>
      <c r="H578" s="1" t="str">
        <f>VLOOKUP(tblCong[[#This Row],[distCode]],tblDistrict[#All],2)</f>
        <v>Jabem</v>
      </c>
      <c r="I578" s="1" t="str">
        <f>Seket!I$21</f>
        <v>S09</v>
      </c>
      <c r="J578" s="1" t="str">
        <f>CONCATENATE(tblCong[[#This Row],[distCode]],"-",tblCong[[#This Row],[sCode]])</f>
        <v>D02-S09</v>
      </c>
      <c r="K578" s="1" t="str">
        <f>VLOOKUP(tblCong[[#This Row],[seketCode]],tblSeket[#All],5,FALSE)</f>
        <v>Malalo</v>
      </c>
      <c r="L578" s="1" t="str">
        <f>Paris!L$129</f>
        <v>P03</v>
      </c>
      <c r="M578" s="1" t="str">
        <f>CONCATENATE(tblCong[[#This Row],[seketCode]],"-",tblCong[[#This Row],[pCode]])</f>
        <v>D02-S09-P03</v>
      </c>
      <c r="N578" s="1" t="str">
        <f>Paris!M$129</f>
        <v>Ho</v>
      </c>
      <c r="O578" s="1" t="s">
        <v>575</v>
      </c>
      <c r="P578" s="1" t="s">
        <v>1118</v>
      </c>
    </row>
    <row r="579" spans="6:16" x14ac:dyDescent="0.35">
      <c r="F579" s="1" t="str">
        <f>CONCATENATE(tblCong[[#This Row],[parishCode]],"-",tblCong[[#This Row],[kCode]])</f>
        <v>D02-S09-P03-K06</v>
      </c>
      <c r="G579" s="1" t="str">
        <f>Distrik!F$6</f>
        <v>D02</v>
      </c>
      <c r="H579" s="1" t="str">
        <f>VLOOKUP(tblCong[[#This Row],[distCode]],tblDistrict[#All],2)</f>
        <v>Jabem</v>
      </c>
      <c r="I579" s="1" t="str">
        <f>Seket!I$21</f>
        <v>S09</v>
      </c>
      <c r="J579" s="1" t="str">
        <f>CONCATENATE(tblCong[[#This Row],[distCode]],"-",tblCong[[#This Row],[sCode]])</f>
        <v>D02-S09</v>
      </c>
      <c r="K579" s="1" t="str">
        <f>VLOOKUP(tblCong[[#This Row],[seketCode]],tblSeket[#All],5,FALSE)</f>
        <v>Malalo</v>
      </c>
      <c r="L579" s="1" t="str">
        <f>Paris!L$129</f>
        <v>P03</v>
      </c>
      <c r="M579" s="1" t="str">
        <f>CONCATENATE(tblCong[[#This Row],[seketCode]],"-",tblCong[[#This Row],[pCode]])</f>
        <v>D02-S09-P03</v>
      </c>
      <c r="N579" s="1" t="str">
        <f>Paris!M$129</f>
        <v>Ho</v>
      </c>
      <c r="O579" s="1" t="s">
        <v>576</v>
      </c>
      <c r="P579" s="1" t="s">
        <v>1119</v>
      </c>
    </row>
    <row r="580" spans="6:16" x14ac:dyDescent="0.35">
      <c r="F580" s="1" t="str">
        <f>CONCATENATE(tblCong[[#This Row],[parishCode]],"-",tblCong[[#This Row],[kCode]])</f>
        <v>D02-S09-P04-K01</v>
      </c>
      <c r="G580" s="1" t="str">
        <f>Distrik!F$6</f>
        <v>D02</v>
      </c>
      <c r="H580" s="1" t="str">
        <f>VLOOKUP(tblCong[[#This Row],[distCode]],tblDistrict[#All],2)</f>
        <v>Jabem</v>
      </c>
      <c r="I580" s="1" t="str">
        <f>Seket!I$21</f>
        <v>S09</v>
      </c>
      <c r="J580" s="1" t="str">
        <f>CONCATENATE(tblCong[[#This Row],[distCode]],"-",tblCong[[#This Row],[sCode]])</f>
        <v>D02-S09</v>
      </c>
      <c r="K580" s="1" t="str">
        <f>VLOOKUP(tblCong[[#This Row],[seketCode]],tblSeket[#All],5,FALSE)</f>
        <v>Malalo</v>
      </c>
      <c r="L580" s="1" t="str">
        <f>Paris!L$130</f>
        <v>P04</v>
      </c>
      <c r="M580" s="1" t="str">
        <f>CONCATENATE(tblCong[[#This Row],[seketCode]],"-",tblCong[[#This Row],[pCode]])</f>
        <v>D02-S09-P04</v>
      </c>
      <c r="N580" s="1" t="str">
        <f>Paris!M$130</f>
        <v>Mubo</v>
      </c>
      <c r="O580" s="1" t="s">
        <v>567</v>
      </c>
      <c r="P580" s="1" t="s">
        <v>1120</v>
      </c>
    </row>
    <row r="581" spans="6:16" x14ac:dyDescent="0.35">
      <c r="F581" s="1" t="str">
        <f>CONCATENATE(tblCong[[#This Row],[parishCode]],"-",tblCong[[#This Row],[kCode]])</f>
        <v>D02-S09-P04-K02</v>
      </c>
      <c r="G581" s="1" t="str">
        <f>Distrik!F$6</f>
        <v>D02</v>
      </c>
      <c r="H581" s="1" t="str">
        <f>VLOOKUP(tblCong[[#This Row],[distCode]],tblDistrict[#All],2)</f>
        <v>Jabem</v>
      </c>
      <c r="I581" s="1" t="str">
        <f>Seket!I$21</f>
        <v>S09</v>
      </c>
      <c r="J581" s="1" t="str">
        <f>CONCATENATE(tblCong[[#This Row],[distCode]],"-",tblCong[[#This Row],[sCode]])</f>
        <v>D02-S09</v>
      </c>
      <c r="K581" s="1" t="str">
        <f>VLOOKUP(tblCong[[#This Row],[seketCode]],tblSeket[#All],5,FALSE)</f>
        <v>Malalo</v>
      </c>
      <c r="L581" s="1" t="str">
        <f>Paris!L$130</f>
        <v>P04</v>
      </c>
      <c r="M581" s="1" t="str">
        <f>CONCATENATE(tblCong[[#This Row],[seketCode]],"-",tblCong[[#This Row],[pCode]])</f>
        <v>D02-S09-P04</v>
      </c>
      <c r="N581" s="1" t="str">
        <f>Paris!M$130</f>
        <v>Mubo</v>
      </c>
      <c r="O581" s="1" t="s">
        <v>569</v>
      </c>
      <c r="P581" s="1" t="s">
        <v>345</v>
      </c>
    </row>
    <row r="582" spans="6:16" x14ac:dyDescent="0.35">
      <c r="F582" s="1" t="str">
        <f>CONCATENATE(tblCong[[#This Row],[parishCode]],"-",tblCong[[#This Row],[kCode]])</f>
        <v>D02-S09-P04-K03</v>
      </c>
      <c r="G582" s="1" t="str">
        <f>Distrik!F$6</f>
        <v>D02</v>
      </c>
      <c r="H582" s="1" t="str">
        <f>VLOOKUP(tblCong[[#This Row],[distCode]],tblDistrict[#All],2)</f>
        <v>Jabem</v>
      </c>
      <c r="I582" s="1" t="str">
        <f>Seket!I$21</f>
        <v>S09</v>
      </c>
      <c r="J582" s="1" t="str">
        <f>CONCATENATE(tblCong[[#This Row],[distCode]],"-",tblCong[[#This Row],[sCode]])</f>
        <v>D02-S09</v>
      </c>
      <c r="K582" s="1" t="str">
        <f>VLOOKUP(tblCong[[#This Row],[seketCode]],tblSeket[#All],5,FALSE)</f>
        <v>Malalo</v>
      </c>
      <c r="L582" s="1" t="str">
        <f>Paris!L$130</f>
        <v>P04</v>
      </c>
      <c r="M582" s="1" t="str">
        <f>CONCATENATE(tblCong[[#This Row],[seketCode]],"-",tblCong[[#This Row],[pCode]])</f>
        <v>D02-S09-P04</v>
      </c>
      <c r="N582" s="1" t="str">
        <f>Paris!M$130</f>
        <v>Mubo</v>
      </c>
      <c r="O582" s="1" t="s">
        <v>571</v>
      </c>
      <c r="P582" s="1" t="s">
        <v>1121</v>
      </c>
    </row>
    <row r="583" spans="6:16" x14ac:dyDescent="0.35">
      <c r="F583" s="1" t="str">
        <f>CONCATENATE(tblCong[[#This Row],[parishCode]],"-",tblCong[[#This Row],[kCode]])</f>
        <v>D02-S09-P05-K01</v>
      </c>
      <c r="G583" s="1" t="str">
        <f>Distrik!F$6</f>
        <v>D02</v>
      </c>
      <c r="H583" s="1" t="str">
        <f>VLOOKUP(tblCong[[#This Row],[distCode]],tblDistrict[#All],2)</f>
        <v>Jabem</v>
      </c>
      <c r="I583" s="1" t="str">
        <f>Seket!I$21</f>
        <v>S09</v>
      </c>
      <c r="J583" s="1" t="str">
        <f>CONCATENATE(tblCong[[#This Row],[distCode]],"-",tblCong[[#This Row],[sCode]])</f>
        <v>D02-S09</v>
      </c>
      <c r="K583" s="1" t="str">
        <f>VLOOKUP(tblCong[[#This Row],[seketCode]],tblSeket[#All],5,FALSE)</f>
        <v>Malalo</v>
      </c>
      <c r="L583" s="1" t="str">
        <f>Paris!L$131</f>
        <v>P05</v>
      </c>
      <c r="M583" s="1" t="str">
        <f>CONCATENATE(tblCong[[#This Row],[seketCode]],"-",tblCong[[#This Row],[pCode]])</f>
        <v>D02-S09-P05</v>
      </c>
      <c r="N583" s="1" t="str">
        <f>Paris!M$131</f>
        <v>Kamiatam</v>
      </c>
      <c r="O583" s="1" t="s">
        <v>567</v>
      </c>
      <c r="P583" s="1" t="s">
        <v>346</v>
      </c>
    </row>
    <row r="584" spans="6:16" x14ac:dyDescent="0.35">
      <c r="F584" s="1" t="str">
        <f>CONCATENATE(tblCong[[#This Row],[parishCode]],"-",tblCong[[#This Row],[kCode]])</f>
        <v>D02-S09-P05-K02</v>
      </c>
      <c r="G584" s="1" t="str">
        <f>Distrik!F$6</f>
        <v>D02</v>
      </c>
      <c r="H584" s="1" t="str">
        <f>VLOOKUP(tblCong[[#This Row],[distCode]],tblDistrict[#All],2)</f>
        <v>Jabem</v>
      </c>
      <c r="I584" s="1" t="str">
        <f>Seket!I$21</f>
        <v>S09</v>
      </c>
      <c r="J584" s="1" t="str">
        <f>CONCATENATE(tblCong[[#This Row],[distCode]],"-",tblCong[[#This Row],[sCode]])</f>
        <v>D02-S09</v>
      </c>
      <c r="K584" s="1" t="str">
        <f>VLOOKUP(tblCong[[#This Row],[seketCode]],tblSeket[#All],5,FALSE)</f>
        <v>Malalo</v>
      </c>
      <c r="L584" s="1" t="str">
        <f>Paris!L$131</f>
        <v>P05</v>
      </c>
      <c r="M584" s="1" t="str">
        <f>CONCATENATE(tblCong[[#This Row],[seketCode]],"-",tblCong[[#This Row],[pCode]])</f>
        <v>D02-S09-P05</v>
      </c>
      <c r="N584" s="1" t="str">
        <f>Paris!M$131</f>
        <v>Kamiatam</v>
      </c>
      <c r="O584" s="1" t="s">
        <v>569</v>
      </c>
      <c r="P584" s="1" t="s">
        <v>1122</v>
      </c>
    </row>
    <row r="585" spans="6:16" x14ac:dyDescent="0.35">
      <c r="F585" s="1" t="str">
        <f>CONCATENATE(tblCong[[#This Row],[parishCode]],"-",tblCong[[#This Row],[kCode]])</f>
        <v>D02-S09-P06-K01</v>
      </c>
      <c r="G585" s="1" t="str">
        <f>Distrik!F$6</f>
        <v>D02</v>
      </c>
      <c r="H585" s="1" t="str">
        <f>VLOOKUP(tblCong[[#This Row],[distCode]],tblDistrict[#All],2)</f>
        <v>Jabem</v>
      </c>
      <c r="I585" s="1" t="str">
        <f>Seket!I$21</f>
        <v>S09</v>
      </c>
      <c r="J585" s="1" t="str">
        <f>CONCATENATE(tblCong[[#This Row],[distCode]],"-",tblCong[[#This Row],[sCode]])</f>
        <v>D02-S09</v>
      </c>
      <c r="K585" s="1" t="str">
        <f>VLOOKUP(tblCong[[#This Row],[seketCode]],tblSeket[#All],5,FALSE)</f>
        <v>Malalo</v>
      </c>
      <c r="L585" s="1" t="str">
        <f>Paris!L$132</f>
        <v>P06</v>
      </c>
      <c r="M585" s="1" t="str">
        <f>CONCATENATE(tblCong[[#This Row],[seketCode]],"-",tblCong[[#This Row],[pCode]])</f>
        <v>D02-S09-P06</v>
      </c>
      <c r="N585" s="1" t="str">
        <f>Paris!M$132</f>
        <v>Wabubu</v>
      </c>
      <c r="O585" s="1" t="s">
        <v>567</v>
      </c>
      <c r="P585" s="1" t="s">
        <v>1123</v>
      </c>
    </row>
    <row r="586" spans="6:16" x14ac:dyDescent="0.35">
      <c r="F586" s="1" t="str">
        <f>CONCATENATE(tblCong[[#This Row],[parishCode]],"-",tblCong[[#This Row],[kCode]])</f>
        <v>D02-S09-P06-K02</v>
      </c>
      <c r="G586" s="1" t="str">
        <f>Distrik!F$6</f>
        <v>D02</v>
      </c>
      <c r="H586" s="1" t="str">
        <f>VLOOKUP(tblCong[[#This Row],[distCode]],tblDistrict[#All],2)</f>
        <v>Jabem</v>
      </c>
      <c r="I586" s="1" t="str">
        <f>Seket!I$21</f>
        <v>S09</v>
      </c>
      <c r="J586" s="1" t="str">
        <f>CONCATENATE(tblCong[[#This Row],[distCode]],"-",tblCong[[#This Row],[sCode]])</f>
        <v>D02-S09</v>
      </c>
      <c r="K586" s="1" t="str">
        <f>VLOOKUP(tblCong[[#This Row],[seketCode]],tblSeket[#All],5,FALSE)</f>
        <v>Malalo</v>
      </c>
      <c r="L586" s="1" t="str">
        <f>Paris!L$132</f>
        <v>P06</v>
      </c>
      <c r="M586" s="1" t="str">
        <f>CONCATENATE(tblCong[[#This Row],[seketCode]],"-",tblCong[[#This Row],[pCode]])</f>
        <v>D02-S09-P06</v>
      </c>
      <c r="N586" s="1" t="str">
        <f>Paris!M$132</f>
        <v>Wabubu</v>
      </c>
      <c r="O586" s="1" t="s">
        <v>569</v>
      </c>
      <c r="P586" s="1" t="s">
        <v>1124</v>
      </c>
    </row>
    <row r="587" spans="6:16" x14ac:dyDescent="0.35">
      <c r="F587" s="1" t="str">
        <f>CONCATENATE(tblCong[[#This Row],[parishCode]],"-",tblCong[[#This Row],[kCode]])</f>
        <v>D02-S09-P06-K03</v>
      </c>
      <c r="G587" s="1" t="str">
        <f>Distrik!F$6</f>
        <v>D02</v>
      </c>
      <c r="H587" s="1" t="str">
        <f>VLOOKUP(tblCong[[#This Row],[distCode]],tblDistrict[#All],2)</f>
        <v>Jabem</v>
      </c>
      <c r="I587" s="1" t="str">
        <f>Seket!I$21</f>
        <v>S09</v>
      </c>
      <c r="J587" s="1" t="str">
        <f>CONCATENATE(tblCong[[#This Row],[distCode]],"-",tblCong[[#This Row],[sCode]])</f>
        <v>D02-S09</v>
      </c>
      <c r="K587" s="1" t="str">
        <f>VLOOKUP(tblCong[[#This Row],[seketCode]],tblSeket[#All],5,FALSE)</f>
        <v>Malalo</v>
      </c>
      <c r="L587" s="1" t="str">
        <f>Paris!L$132</f>
        <v>P06</v>
      </c>
      <c r="M587" s="1" t="str">
        <f>CONCATENATE(tblCong[[#This Row],[seketCode]],"-",tblCong[[#This Row],[pCode]])</f>
        <v>D02-S09-P06</v>
      </c>
      <c r="N587" s="1" t="str">
        <f>Paris!M$132</f>
        <v>Wabubu</v>
      </c>
      <c r="O587" s="1" t="s">
        <v>571</v>
      </c>
      <c r="P587" s="1" t="s">
        <v>1125</v>
      </c>
    </row>
    <row r="588" spans="6:16" x14ac:dyDescent="0.35">
      <c r="F588" s="1" t="str">
        <f>CONCATENATE(tblCong[[#This Row],[parishCode]],"-",tblCong[[#This Row],[kCode]])</f>
        <v>D02-S09-P07-K01</v>
      </c>
      <c r="G588" s="1" t="str">
        <f>Distrik!F$6</f>
        <v>D02</v>
      </c>
      <c r="H588" s="1" t="str">
        <f>VLOOKUP(tblCong[[#This Row],[distCode]],tblDistrict[#All],2)</f>
        <v>Jabem</v>
      </c>
      <c r="I588" s="1" t="str">
        <f>Seket!I$21</f>
        <v>S09</v>
      </c>
      <c r="J588" s="1" t="str">
        <f>CONCATENATE(tblCong[[#This Row],[distCode]],"-",tblCong[[#This Row],[sCode]])</f>
        <v>D02-S09</v>
      </c>
      <c r="K588" s="1" t="str">
        <f>VLOOKUP(tblCong[[#This Row],[seketCode]],tblSeket[#All],5,FALSE)</f>
        <v>Malalo</v>
      </c>
      <c r="L588" s="1" t="str">
        <f>Paris!L$133</f>
        <v>P07</v>
      </c>
      <c r="M588" s="1" t="str">
        <f>CONCATENATE(tblCong[[#This Row],[seketCode]],"-",tblCong[[#This Row],[pCode]])</f>
        <v>D02-S09-P07</v>
      </c>
      <c r="N588" s="1" t="str">
        <f>Paris!M$133</f>
        <v>Kesiwaga</v>
      </c>
      <c r="O588" s="1" t="s">
        <v>567</v>
      </c>
      <c r="P588" s="1" t="s">
        <v>1126</v>
      </c>
    </row>
    <row r="589" spans="6:16" x14ac:dyDescent="0.35">
      <c r="F589" s="1" t="str">
        <f>CONCATENATE(tblCong[[#This Row],[parishCode]],"-",tblCong[[#This Row],[kCode]])</f>
        <v>D02-S09-P07-K02</v>
      </c>
      <c r="G589" s="1" t="str">
        <f>Distrik!F$6</f>
        <v>D02</v>
      </c>
      <c r="H589" s="1" t="str">
        <f>VLOOKUP(tblCong[[#This Row],[distCode]],tblDistrict[#All],2)</f>
        <v>Jabem</v>
      </c>
      <c r="I589" s="1" t="str">
        <f>Seket!I$21</f>
        <v>S09</v>
      </c>
      <c r="J589" s="1" t="str">
        <f>CONCATENATE(tblCong[[#This Row],[distCode]],"-",tblCong[[#This Row],[sCode]])</f>
        <v>D02-S09</v>
      </c>
      <c r="K589" s="1" t="str">
        <f>VLOOKUP(tblCong[[#This Row],[seketCode]],tblSeket[#All],5,FALSE)</f>
        <v>Malalo</v>
      </c>
      <c r="L589" s="1" t="str">
        <f>Paris!L$133</f>
        <v>P07</v>
      </c>
      <c r="M589" s="1" t="str">
        <f>CONCATENATE(tblCong[[#This Row],[seketCode]],"-",tblCong[[#This Row],[pCode]])</f>
        <v>D02-S09-P07</v>
      </c>
      <c r="N589" s="1" t="str">
        <f>Paris!M$133</f>
        <v>Kesiwaga</v>
      </c>
      <c r="O589" s="1" t="s">
        <v>569</v>
      </c>
      <c r="P589" s="1" t="s">
        <v>1127</v>
      </c>
    </row>
    <row r="590" spans="6:16" x14ac:dyDescent="0.35">
      <c r="F590" s="1" t="str">
        <f>CONCATENATE(tblCong[[#This Row],[parishCode]],"-",tblCong[[#This Row],[kCode]])</f>
        <v>D02-S09-P07-K03</v>
      </c>
      <c r="G590" s="1" t="str">
        <f>Distrik!F$6</f>
        <v>D02</v>
      </c>
      <c r="H590" s="1" t="str">
        <f>VLOOKUP(tblCong[[#This Row],[distCode]],tblDistrict[#All],2)</f>
        <v>Jabem</v>
      </c>
      <c r="I590" s="1" t="str">
        <f>Seket!I$21</f>
        <v>S09</v>
      </c>
      <c r="J590" s="1" t="str">
        <f>CONCATENATE(tblCong[[#This Row],[distCode]],"-",tblCong[[#This Row],[sCode]])</f>
        <v>D02-S09</v>
      </c>
      <c r="K590" s="1" t="str">
        <f>VLOOKUP(tblCong[[#This Row],[seketCode]],tblSeket[#All],5,FALSE)</f>
        <v>Malalo</v>
      </c>
      <c r="L590" s="1" t="str">
        <f>Paris!L$133</f>
        <v>P07</v>
      </c>
      <c r="M590" s="1" t="str">
        <f>CONCATENATE(tblCong[[#This Row],[seketCode]],"-",tblCong[[#This Row],[pCode]])</f>
        <v>D02-S09-P07</v>
      </c>
      <c r="N590" s="1" t="str">
        <f>Paris!M$133</f>
        <v>Kesiwaga</v>
      </c>
      <c r="O590" s="1" t="s">
        <v>571</v>
      </c>
      <c r="P590" s="1" t="s">
        <v>1128</v>
      </c>
    </row>
    <row r="591" spans="6:16" x14ac:dyDescent="0.35">
      <c r="F591" s="1" t="str">
        <f>CONCATENATE(tblCong[[#This Row],[parishCode]],"-",tblCong[[#This Row],[kCode]])</f>
        <v>D02-S09-P08-K01</v>
      </c>
      <c r="G591" s="1" t="str">
        <f>Distrik!F$6</f>
        <v>D02</v>
      </c>
      <c r="H591" s="1" t="str">
        <f>VLOOKUP(tblCong[[#This Row],[distCode]],tblDistrict[#All],2)</f>
        <v>Jabem</v>
      </c>
      <c r="I591" s="1" t="str">
        <f>Seket!I$21</f>
        <v>S09</v>
      </c>
      <c r="J591" s="1" t="str">
        <f>CONCATENATE(tblCong[[#This Row],[distCode]],"-",tblCong[[#This Row],[sCode]])</f>
        <v>D02-S09</v>
      </c>
      <c r="K591" s="1" t="str">
        <f>VLOOKUP(tblCong[[#This Row],[seketCode]],tblSeket[#All],5,FALSE)</f>
        <v>Malalo</v>
      </c>
      <c r="L591" s="1" t="str">
        <f>Paris!L$134</f>
        <v>P08</v>
      </c>
      <c r="M591" s="1" t="str">
        <f>CONCATENATE(tblCong[[#This Row],[seketCode]],"-",tblCong[[#This Row],[pCode]])</f>
        <v>D02-S09-P08</v>
      </c>
      <c r="N591" s="1" t="str">
        <f>Paris!M$134</f>
        <v>Buakap</v>
      </c>
      <c r="O591" s="1" t="s">
        <v>567</v>
      </c>
      <c r="P591" s="1" t="s">
        <v>1129</v>
      </c>
    </row>
    <row r="592" spans="6:16" x14ac:dyDescent="0.35">
      <c r="F592" s="1" t="str">
        <f>CONCATENATE(tblCong[[#This Row],[parishCode]],"-",tblCong[[#This Row],[kCode]])</f>
        <v>D02-S09-P09-K01</v>
      </c>
      <c r="G592" s="1" t="str">
        <f>Distrik!F$6</f>
        <v>D02</v>
      </c>
      <c r="H592" s="1" t="str">
        <f>VLOOKUP(tblCong[[#This Row],[distCode]],tblDistrict[#All],2)</f>
        <v>Jabem</v>
      </c>
      <c r="I592" s="1" t="str">
        <f>Seket!I$21</f>
        <v>S09</v>
      </c>
      <c r="J592" s="1" t="str">
        <f>CONCATENATE(tblCong[[#This Row],[distCode]],"-",tblCong[[#This Row],[sCode]])</f>
        <v>D02-S09</v>
      </c>
      <c r="K592" s="1" t="str">
        <f>VLOOKUP(tblCong[[#This Row],[seketCode]],tblSeket[#All],5,FALSE)</f>
        <v>Malalo</v>
      </c>
      <c r="L592" s="1" t="str">
        <f>Paris!L$135</f>
        <v>P09</v>
      </c>
      <c r="M592" s="1" t="str">
        <f>CONCATENATE(tblCong[[#This Row],[seketCode]],"-",tblCong[[#This Row],[pCode]])</f>
        <v>D02-S09-P09</v>
      </c>
      <c r="N592" s="1" t="str">
        <f>Paris!M$135</f>
        <v>Malalo</v>
      </c>
      <c r="O592" s="1" t="s">
        <v>567</v>
      </c>
      <c r="P592" s="1" t="s">
        <v>1130</v>
      </c>
    </row>
    <row r="593" spans="6:16" x14ac:dyDescent="0.35">
      <c r="F593" s="1" t="str">
        <f>CONCATENATE(tblCong[[#This Row],[parishCode]],"-",tblCong[[#This Row],[kCode]])</f>
        <v>D02-S09-P09-K02</v>
      </c>
      <c r="G593" s="1" t="str">
        <f>Distrik!F$6</f>
        <v>D02</v>
      </c>
      <c r="H593" s="1" t="str">
        <f>VLOOKUP(tblCong[[#This Row],[distCode]],tblDistrict[#All],2)</f>
        <v>Jabem</v>
      </c>
      <c r="I593" s="1" t="str">
        <f>Seket!I$21</f>
        <v>S09</v>
      </c>
      <c r="J593" s="1" t="str">
        <f>CONCATENATE(tblCong[[#This Row],[distCode]],"-",tblCong[[#This Row],[sCode]])</f>
        <v>D02-S09</v>
      </c>
      <c r="K593" s="1" t="str">
        <f>VLOOKUP(tblCong[[#This Row],[seketCode]],tblSeket[#All],5,FALSE)</f>
        <v>Malalo</v>
      </c>
      <c r="L593" s="1" t="str">
        <f>Paris!L$135</f>
        <v>P09</v>
      </c>
      <c r="M593" s="1" t="str">
        <f>CONCATENATE(tblCong[[#This Row],[seketCode]],"-",tblCong[[#This Row],[pCode]])</f>
        <v>D02-S09-P09</v>
      </c>
      <c r="N593" s="1" t="str">
        <f>Paris!M$135</f>
        <v>Malalo</v>
      </c>
      <c r="O593" s="1" t="s">
        <v>569</v>
      </c>
      <c r="P593" s="1" t="s">
        <v>1131</v>
      </c>
    </row>
    <row r="594" spans="6:16" x14ac:dyDescent="0.35">
      <c r="F594" s="1" t="str">
        <f>CONCATENATE(tblCong[[#This Row],[parishCode]],"-",tblCong[[#This Row],[kCode]])</f>
        <v>D02-S09-P09-K03</v>
      </c>
      <c r="G594" s="1" t="str">
        <f>Distrik!F$6</f>
        <v>D02</v>
      </c>
      <c r="H594" s="1" t="str">
        <f>VLOOKUP(tblCong[[#This Row],[distCode]],tblDistrict[#All],2)</f>
        <v>Jabem</v>
      </c>
      <c r="I594" s="1" t="str">
        <f>Seket!I$21</f>
        <v>S09</v>
      </c>
      <c r="J594" s="1" t="str">
        <f>CONCATENATE(tblCong[[#This Row],[distCode]],"-",tblCong[[#This Row],[sCode]])</f>
        <v>D02-S09</v>
      </c>
      <c r="K594" s="1" t="str">
        <f>VLOOKUP(tblCong[[#This Row],[seketCode]],tblSeket[#All],5,FALSE)</f>
        <v>Malalo</v>
      </c>
      <c r="L594" s="1" t="str">
        <f>Paris!L$135</f>
        <v>P09</v>
      </c>
      <c r="M594" s="1" t="str">
        <f>CONCATENATE(tblCong[[#This Row],[seketCode]],"-",tblCong[[#This Row],[pCode]])</f>
        <v>D02-S09-P09</v>
      </c>
      <c r="N594" s="1" t="str">
        <f>Paris!M$135</f>
        <v>Malalo</v>
      </c>
      <c r="O594" s="1" t="s">
        <v>571</v>
      </c>
      <c r="P594" s="1" t="s">
        <v>1132</v>
      </c>
    </row>
    <row r="595" spans="6:16" x14ac:dyDescent="0.35">
      <c r="F595" s="1" t="str">
        <f>CONCATENATE(tblCong[[#This Row],[parishCode]],"-",tblCong[[#This Row],[kCode]])</f>
        <v>D02-S09-P10-K01</v>
      </c>
      <c r="G595" s="1" t="str">
        <f>Distrik!F$6</f>
        <v>D02</v>
      </c>
      <c r="H595" s="1" t="str">
        <f>VLOOKUP(tblCong[[#This Row],[distCode]],tblDistrict[#All],2)</f>
        <v>Jabem</v>
      </c>
      <c r="I595" s="1" t="str">
        <f>Seket!I$21</f>
        <v>S09</v>
      </c>
      <c r="J595" s="1" t="str">
        <f>CONCATENATE(tblCong[[#This Row],[distCode]],"-",tblCong[[#This Row],[sCode]])</f>
        <v>D02-S09</v>
      </c>
      <c r="K595" s="1" t="str">
        <f>VLOOKUP(tblCong[[#This Row],[seketCode]],tblSeket[#All],5,FALSE)</f>
        <v>Malalo</v>
      </c>
      <c r="L595" s="1" t="str">
        <f>Paris!L$136</f>
        <v>P10</v>
      </c>
      <c r="M595" s="1" t="str">
        <f>CONCATENATE(tblCong[[#This Row],[seketCode]],"-",tblCong[[#This Row],[pCode]])</f>
        <v>D02-S09-P10</v>
      </c>
      <c r="N595" s="1" t="str">
        <f>Paris!M$136</f>
        <v>Kelamu</v>
      </c>
      <c r="O595" s="1" t="s">
        <v>567</v>
      </c>
      <c r="P595" s="1" t="s">
        <v>1133</v>
      </c>
    </row>
    <row r="596" spans="6:16" x14ac:dyDescent="0.35">
      <c r="F596" s="1" t="str">
        <f>CONCATENATE(tblCong[[#This Row],[parishCode]],"-",tblCong[[#This Row],[kCode]])</f>
        <v>D02-S09-P10-K02</v>
      </c>
      <c r="G596" s="1" t="str">
        <f>Distrik!F$6</f>
        <v>D02</v>
      </c>
      <c r="H596" s="1" t="str">
        <f>VLOOKUP(tblCong[[#This Row],[distCode]],tblDistrict[#All],2)</f>
        <v>Jabem</v>
      </c>
      <c r="I596" s="1" t="str">
        <f>Seket!I$21</f>
        <v>S09</v>
      </c>
      <c r="J596" s="1" t="str">
        <f>CONCATENATE(tblCong[[#This Row],[distCode]],"-",tblCong[[#This Row],[sCode]])</f>
        <v>D02-S09</v>
      </c>
      <c r="K596" s="1" t="str">
        <f>VLOOKUP(tblCong[[#This Row],[seketCode]],tblSeket[#All],5,FALSE)</f>
        <v>Malalo</v>
      </c>
      <c r="L596" s="1" t="str">
        <f>Paris!L$136</f>
        <v>P10</v>
      </c>
      <c r="M596" s="1" t="str">
        <f>CONCATENATE(tblCong[[#This Row],[seketCode]],"-",tblCong[[#This Row],[pCode]])</f>
        <v>D02-S09-P10</v>
      </c>
      <c r="N596" s="1" t="str">
        <f>Paris!M$136</f>
        <v>Kelamu</v>
      </c>
      <c r="O596" s="1" t="s">
        <v>569</v>
      </c>
      <c r="P596" s="1" t="s">
        <v>1134</v>
      </c>
    </row>
    <row r="597" spans="6:16" x14ac:dyDescent="0.35">
      <c r="F597" s="1" t="str">
        <f>CONCATENATE(tblCong[[#This Row],[parishCode]],"-",tblCong[[#This Row],[kCode]])</f>
        <v>D02-S09-P10-K03</v>
      </c>
      <c r="G597" s="1" t="str">
        <f>Distrik!F$6</f>
        <v>D02</v>
      </c>
      <c r="H597" s="1" t="str">
        <f>VLOOKUP(tblCong[[#This Row],[distCode]],tblDistrict[#All],2)</f>
        <v>Jabem</v>
      </c>
      <c r="I597" s="1" t="str">
        <f>Seket!I$21</f>
        <v>S09</v>
      </c>
      <c r="J597" s="1" t="str">
        <f>CONCATENATE(tblCong[[#This Row],[distCode]],"-",tblCong[[#This Row],[sCode]])</f>
        <v>D02-S09</v>
      </c>
      <c r="K597" s="1" t="str">
        <f>VLOOKUP(tblCong[[#This Row],[seketCode]],tblSeket[#All],5,FALSE)</f>
        <v>Malalo</v>
      </c>
      <c r="L597" s="1" t="str">
        <f>Paris!L$136</f>
        <v>P10</v>
      </c>
      <c r="M597" s="1" t="str">
        <f>CONCATENATE(tblCong[[#This Row],[seketCode]],"-",tblCong[[#This Row],[pCode]])</f>
        <v>D02-S09-P10</v>
      </c>
      <c r="N597" s="1" t="str">
        <f>Paris!M$136</f>
        <v>Kelamu</v>
      </c>
      <c r="O597" s="1" t="s">
        <v>571</v>
      </c>
      <c r="P597" s="1" t="s">
        <v>1135</v>
      </c>
    </row>
    <row r="598" spans="6:16" x14ac:dyDescent="0.35">
      <c r="F598" s="1" t="str">
        <f>CONCATENATE(tblCong[[#This Row],[parishCode]],"-",tblCong[[#This Row],[kCode]])</f>
        <v>D02-S09-P11-K01</v>
      </c>
      <c r="G598" s="1" t="str">
        <f>Distrik!F$6</f>
        <v>D02</v>
      </c>
      <c r="H598" s="1" t="str">
        <f>VLOOKUP(tblCong[[#This Row],[distCode]],tblDistrict[#All],2)</f>
        <v>Jabem</v>
      </c>
      <c r="I598" s="1" t="str">
        <f>Seket!I$21</f>
        <v>S09</v>
      </c>
      <c r="J598" s="1" t="str">
        <f>CONCATENATE(tblCong[[#This Row],[distCode]],"-",tblCong[[#This Row],[sCode]])</f>
        <v>D02-S09</v>
      </c>
      <c r="K598" s="1" t="str">
        <f>VLOOKUP(tblCong[[#This Row],[seketCode]],tblSeket[#All],5,FALSE)</f>
        <v>Malalo</v>
      </c>
      <c r="L598" s="1" t="str">
        <f>Paris!L$137</f>
        <v>P11</v>
      </c>
      <c r="M598" s="1" t="str">
        <f>CONCATENATE(tblCong[[#This Row],[seketCode]],"-",tblCong[[#This Row],[pCode]])</f>
        <v>D02-S09-P11</v>
      </c>
      <c r="N598" s="1" t="str">
        <f>Paris!M$137</f>
        <v>Kaia (Seyem)</v>
      </c>
      <c r="O598" s="1" t="s">
        <v>567</v>
      </c>
      <c r="P598" s="1" t="s">
        <v>1136</v>
      </c>
    </row>
    <row r="599" spans="6:16" x14ac:dyDescent="0.35">
      <c r="F599" s="1" t="str">
        <f>CONCATENATE(tblCong[[#This Row],[parishCode]],"-",tblCong[[#This Row],[kCode]])</f>
        <v>D02-S09-P11-K02</v>
      </c>
      <c r="G599" s="1" t="str">
        <f>Distrik!F$6</f>
        <v>D02</v>
      </c>
      <c r="H599" s="1" t="str">
        <f>VLOOKUP(tblCong[[#This Row],[distCode]],tblDistrict[#All],2)</f>
        <v>Jabem</v>
      </c>
      <c r="I599" s="1" t="str">
        <f>Seket!I$21</f>
        <v>S09</v>
      </c>
      <c r="J599" s="1" t="str">
        <f>CONCATENATE(tblCong[[#This Row],[distCode]],"-",tblCong[[#This Row],[sCode]])</f>
        <v>D02-S09</v>
      </c>
      <c r="K599" s="1" t="str">
        <f>VLOOKUP(tblCong[[#This Row],[seketCode]],tblSeket[#All],5,FALSE)</f>
        <v>Malalo</v>
      </c>
      <c r="L599" s="1" t="str">
        <f>Paris!L$137</f>
        <v>P11</v>
      </c>
      <c r="M599" s="1" t="str">
        <f>CONCATENATE(tblCong[[#This Row],[seketCode]],"-",tblCong[[#This Row],[pCode]])</f>
        <v>D02-S09-P11</v>
      </c>
      <c r="N599" s="1" t="str">
        <f>Paris!M$137</f>
        <v>Kaia (Seyem)</v>
      </c>
      <c r="O599" s="1" t="s">
        <v>569</v>
      </c>
      <c r="P599" s="1" t="s">
        <v>1137</v>
      </c>
    </row>
    <row r="600" spans="6:16" x14ac:dyDescent="0.35">
      <c r="F600" s="1" t="str">
        <f>CONCATENATE(tblCong[[#This Row],[parishCode]],"-",tblCong[[#This Row],[kCode]])</f>
        <v>D02-S09-P11-K03</v>
      </c>
      <c r="G600" s="1" t="str">
        <f>Distrik!F$6</f>
        <v>D02</v>
      </c>
      <c r="H600" s="1" t="str">
        <f>VLOOKUP(tblCong[[#This Row],[distCode]],tblDistrict[#All],2)</f>
        <v>Jabem</v>
      </c>
      <c r="I600" s="1" t="str">
        <f>Seket!I$21</f>
        <v>S09</v>
      </c>
      <c r="J600" s="1" t="str">
        <f>CONCATENATE(tblCong[[#This Row],[distCode]],"-",tblCong[[#This Row],[sCode]])</f>
        <v>D02-S09</v>
      </c>
      <c r="K600" s="1" t="str">
        <f>VLOOKUP(tblCong[[#This Row],[seketCode]],tblSeket[#All],5,FALSE)</f>
        <v>Malalo</v>
      </c>
      <c r="L600" s="1" t="str">
        <f>Paris!L$137</f>
        <v>P11</v>
      </c>
      <c r="M600" s="1" t="str">
        <f>CONCATENATE(tblCong[[#This Row],[seketCode]],"-",tblCong[[#This Row],[pCode]])</f>
        <v>D02-S09-P11</v>
      </c>
      <c r="N600" s="1" t="str">
        <f>Paris!M$137</f>
        <v>Kaia (Seyem)</v>
      </c>
      <c r="O600" s="1" t="s">
        <v>571</v>
      </c>
      <c r="P600" s="1" t="s">
        <v>1138</v>
      </c>
    </row>
    <row r="601" spans="6:16" x14ac:dyDescent="0.35">
      <c r="F601" s="1" t="str">
        <f>CONCATENATE(tblCong[[#This Row],[parishCode]],"-",tblCong[[#This Row],[kCode]])</f>
        <v>D02-S09-P11-K04</v>
      </c>
      <c r="G601" s="1" t="str">
        <f>Distrik!F$6</f>
        <v>D02</v>
      </c>
      <c r="H601" s="1" t="str">
        <f>VLOOKUP(tblCong[[#This Row],[distCode]],tblDistrict[#All],2)</f>
        <v>Jabem</v>
      </c>
      <c r="I601" s="1" t="str">
        <f>Seket!I$21</f>
        <v>S09</v>
      </c>
      <c r="J601" s="1" t="str">
        <f>CONCATENATE(tblCong[[#This Row],[distCode]],"-",tblCong[[#This Row],[sCode]])</f>
        <v>D02-S09</v>
      </c>
      <c r="K601" s="1" t="str">
        <f>VLOOKUP(tblCong[[#This Row],[seketCode]],tblSeket[#All],5,FALSE)</f>
        <v>Malalo</v>
      </c>
      <c r="L601" s="1" t="str">
        <f>Paris!L$137</f>
        <v>P11</v>
      </c>
      <c r="M601" s="1" t="str">
        <f>CONCATENATE(tblCong[[#This Row],[seketCode]],"-",tblCong[[#This Row],[pCode]])</f>
        <v>D02-S09-P11</v>
      </c>
      <c r="N601" s="1" t="str">
        <f>Paris!M$137</f>
        <v>Kaia (Seyem)</v>
      </c>
      <c r="O601" s="1" t="s">
        <v>573</v>
      </c>
      <c r="P601" s="1" t="s">
        <v>1139</v>
      </c>
    </row>
    <row r="602" spans="6:16" x14ac:dyDescent="0.35">
      <c r="F602" s="1" t="str">
        <f>CONCATENATE(tblCong[[#This Row],[parishCode]],"-",tblCong[[#This Row],[kCode]])</f>
        <v>D02-S09-P12-K01</v>
      </c>
      <c r="G602" s="1" t="str">
        <f>Distrik!F$6</f>
        <v>D02</v>
      </c>
      <c r="H602" s="1" t="str">
        <f>VLOOKUP(tblCong[[#This Row],[distCode]],tblDistrict[#All],2)</f>
        <v>Jabem</v>
      </c>
      <c r="I602" s="1" t="str">
        <f>Seket!I$21</f>
        <v>S09</v>
      </c>
      <c r="J602" s="1" t="str">
        <f>CONCATENATE(tblCong[[#This Row],[distCode]],"-",tblCong[[#This Row],[sCode]])</f>
        <v>D02-S09</v>
      </c>
      <c r="K602" s="1" t="str">
        <f>VLOOKUP(tblCong[[#This Row],[seketCode]],tblSeket[#All],5,FALSE)</f>
        <v>Malalo</v>
      </c>
      <c r="L602" s="1" t="str">
        <f>Paris!L$138</f>
        <v>P12</v>
      </c>
      <c r="M602" s="1" t="str">
        <f>CONCATENATE(tblCong[[#This Row],[seketCode]],"-",tblCong[[#This Row],[pCode]])</f>
        <v>D02-S09-P12</v>
      </c>
      <c r="N602" s="1" t="str">
        <f>Paris!M$138</f>
        <v>Bananuwe</v>
      </c>
      <c r="O602" s="1" t="s">
        <v>567</v>
      </c>
      <c r="P602" s="1" t="s">
        <v>321</v>
      </c>
    </row>
    <row r="603" spans="6:16" x14ac:dyDescent="0.35">
      <c r="F603" s="1" t="str">
        <f>CONCATENATE(tblCong[[#This Row],[parishCode]],"-",tblCong[[#This Row],[kCode]])</f>
        <v>D02-S09-P12-K02</v>
      </c>
      <c r="G603" s="1" t="str">
        <f>Distrik!F$6</f>
        <v>D02</v>
      </c>
      <c r="H603" s="1" t="str">
        <f>VLOOKUP(tblCong[[#This Row],[distCode]],tblDistrict[#All],2)</f>
        <v>Jabem</v>
      </c>
      <c r="I603" s="1" t="str">
        <f>Seket!I$21</f>
        <v>S09</v>
      </c>
      <c r="J603" s="1" t="str">
        <f>CONCATENATE(tblCong[[#This Row],[distCode]],"-",tblCong[[#This Row],[sCode]])</f>
        <v>D02-S09</v>
      </c>
      <c r="K603" s="1" t="str">
        <f>VLOOKUP(tblCong[[#This Row],[seketCode]],tblSeket[#All],5,FALSE)</f>
        <v>Malalo</v>
      </c>
      <c r="L603" s="1" t="str">
        <f>Paris!L$138</f>
        <v>P12</v>
      </c>
      <c r="M603" s="1" t="str">
        <f>CONCATENATE(tblCong[[#This Row],[seketCode]],"-",tblCong[[#This Row],[pCode]])</f>
        <v>D02-S09-P12</v>
      </c>
      <c r="N603" s="1" t="str">
        <f>Paris!M$138</f>
        <v>Bananuwe</v>
      </c>
      <c r="O603" s="1" t="s">
        <v>569</v>
      </c>
      <c r="P603" s="1" t="s">
        <v>1140</v>
      </c>
    </row>
    <row r="604" spans="6:16" x14ac:dyDescent="0.35">
      <c r="F604" s="1" t="str">
        <f>CONCATENATE(tblCong[[#This Row],[parishCode]],"-",tblCong[[#This Row],[kCode]])</f>
        <v>D02-S09-P12-K03</v>
      </c>
      <c r="G604" s="1" t="str">
        <f>Distrik!F$6</f>
        <v>D02</v>
      </c>
      <c r="H604" s="1" t="str">
        <f>VLOOKUP(tblCong[[#This Row],[distCode]],tblDistrict[#All],2)</f>
        <v>Jabem</v>
      </c>
      <c r="I604" s="1" t="str">
        <f>Seket!I$21</f>
        <v>S09</v>
      </c>
      <c r="J604" s="1" t="str">
        <f>CONCATENATE(tblCong[[#This Row],[distCode]],"-",tblCong[[#This Row],[sCode]])</f>
        <v>D02-S09</v>
      </c>
      <c r="K604" s="1" t="str">
        <f>VLOOKUP(tblCong[[#This Row],[seketCode]],tblSeket[#All],5,FALSE)</f>
        <v>Malalo</v>
      </c>
      <c r="L604" s="1" t="str">
        <f>Paris!L$138</f>
        <v>P12</v>
      </c>
      <c r="M604" s="1" t="str">
        <f>CONCATENATE(tblCong[[#This Row],[seketCode]],"-",tblCong[[#This Row],[pCode]])</f>
        <v>D02-S09-P12</v>
      </c>
      <c r="N604" s="1" t="str">
        <f>Paris!M$138</f>
        <v>Bananuwe</v>
      </c>
      <c r="O604" s="1" t="s">
        <v>571</v>
      </c>
      <c r="P604" s="1" t="s">
        <v>1141</v>
      </c>
    </row>
    <row r="605" spans="6:16" x14ac:dyDescent="0.35">
      <c r="F605" s="1" t="str">
        <f>CONCATENATE(tblCong[[#This Row],[parishCode]],"-",tblCong[[#This Row],[kCode]])</f>
        <v>D02-S09-P12-K04</v>
      </c>
      <c r="G605" s="1" t="str">
        <f>Distrik!F$6</f>
        <v>D02</v>
      </c>
      <c r="H605" s="1" t="str">
        <f>VLOOKUP(tblCong[[#This Row],[distCode]],tblDistrict[#All],2)</f>
        <v>Jabem</v>
      </c>
      <c r="I605" s="1" t="str">
        <f>Seket!I$21</f>
        <v>S09</v>
      </c>
      <c r="J605" s="1" t="str">
        <f>CONCATENATE(tblCong[[#This Row],[distCode]],"-",tblCong[[#This Row],[sCode]])</f>
        <v>D02-S09</v>
      </c>
      <c r="K605" s="1" t="str">
        <f>VLOOKUP(tblCong[[#This Row],[seketCode]],tblSeket[#All],5,FALSE)</f>
        <v>Malalo</v>
      </c>
      <c r="L605" s="1" t="str">
        <f>Paris!L$138</f>
        <v>P12</v>
      </c>
      <c r="M605" s="1" t="str">
        <f>CONCATENATE(tblCong[[#This Row],[seketCode]],"-",tblCong[[#This Row],[pCode]])</f>
        <v>D02-S09-P12</v>
      </c>
      <c r="N605" s="1" t="str">
        <f>Paris!M$138</f>
        <v>Bananuwe</v>
      </c>
      <c r="O605" s="1" t="s">
        <v>573</v>
      </c>
      <c r="P605" s="1" t="s">
        <v>1142</v>
      </c>
    </row>
    <row r="606" spans="6:16" x14ac:dyDescent="0.35">
      <c r="F606" s="1" t="str">
        <f>CONCATENATE(tblCong[[#This Row],[parishCode]],"-",tblCong[[#This Row],[kCode]])</f>
        <v>D02-S09-P13-K01</v>
      </c>
      <c r="G606" s="1" t="str">
        <f>Distrik!F$6</f>
        <v>D02</v>
      </c>
      <c r="H606" s="1" t="str">
        <f>VLOOKUP(tblCong[[#This Row],[distCode]],tblDistrict[#All],2)</f>
        <v>Jabem</v>
      </c>
      <c r="I606" s="1" t="str">
        <f>Seket!I$21</f>
        <v>S09</v>
      </c>
      <c r="J606" s="1" t="str">
        <f>CONCATENATE(tblCong[[#This Row],[distCode]],"-",tblCong[[#This Row],[sCode]])</f>
        <v>D02-S09</v>
      </c>
      <c r="K606" s="1" t="str">
        <f>VLOOKUP(tblCong[[#This Row],[seketCode]],tblSeket[#All],5,FALSE)</f>
        <v>Malalo</v>
      </c>
      <c r="L606" s="1" t="str">
        <f>Paris!L$139</f>
        <v>P13</v>
      </c>
      <c r="M606" s="1" t="str">
        <f>CONCATENATE(tblCong[[#This Row],[seketCode]],"-",tblCong[[#This Row],[pCode]])</f>
        <v>D02-S09-P13</v>
      </c>
      <c r="N606" s="1" t="str">
        <f>Paris!M$139</f>
        <v>Bater</v>
      </c>
      <c r="O606" s="1" t="s">
        <v>567</v>
      </c>
      <c r="P606" s="1" t="s">
        <v>1114</v>
      </c>
    </row>
    <row r="607" spans="6:16" x14ac:dyDescent="0.35">
      <c r="F607" s="1" t="str">
        <f>CONCATENATE(tblCong[[#This Row],[parishCode]],"-",tblCong[[#This Row],[kCode]])</f>
        <v>D02-S09-P13-K02</v>
      </c>
      <c r="G607" s="1" t="str">
        <f>Distrik!F$6</f>
        <v>D02</v>
      </c>
      <c r="H607" s="1" t="str">
        <f>VLOOKUP(tblCong[[#This Row],[distCode]],tblDistrict[#All],2)</f>
        <v>Jabem</v>
      </c>
      <c r="I607" s="1" t="str">
        <f>Seket!I$21</f>
        <v>S09</v>
      </c>
      <c r="J607" s="1" t="str">
        <f>CONCATENATE(tblCong[[#This Row],[distCode]],"-",tblCong[[#This Row],[sCode]])</f>
        <v>D02-S09</v>
      </c>
      <c r="K607" s="1" t="str">
        <f>VLOOKUP(tblCong[[#This Row],[seketCode]],tblSeket[#All],5,FALSE)</f>
        <v>Malalo</v>
      </c>
      <c r="L607" s="1" t="str">
        <f>Paris!L$139</f>
        <v>P13</v>
      </c>
      <c r="M607" s="1" t="str">
        <f>CONCATENATE(tblCong[[#This Row],[seketCode]],"-",tblCong[[#This Row],[pCode]])</f>
        <v>D02-S09-P13</v>
      </c>
      <c r="N607" s="1" t="str">
        <f>Paris!M$139</f>
        <v>Bater</v>
      </c>
      <c r="O607" s="1" t="s">
        <v>569</v>
      </c>
      <c r="P607" s="1" t="s">
        <v>1116</v>
      </c>
    </row>
    <row r="608" spans="6:16" x14ac:dyDescent="0.35">
      <c r="F608" s="1" t="str">
        <f>CONCATENATE(tblCong[[#This Row],[parishCode]],"-",tblCong[[#This Row],[kCode]])</f>
        <v>D02-S09-P13-K03</v>
      </c>
      <c r="G608" s="1" t="str">
        <f>Distrik!F$6</f>
        <v>D02</v>
      </c>
      <c r="H608" s="1" t="str">
        <f>VLOOKUP(tblCong[[#This Row],[distCode]],tblDistrict[#All],2)</f>
        <v>Jabem</v>
      </c>
      <c r="I608" s="1" t="str">
        <f>Seket!I$21</f>
        <v>S09</v>
      </c>
      <c r="J608" s="1" t="str">
        <f>CONCATENATE(tblCong[[#This Row],[distCode]],"-",tblCong[[#This Row],[sCode]])</f>
        <v>D02-S09</v>
      </c>
      <c r="K608" s="1" t="str">
        <f>VLOOKUP(tblCong[[#This Row],[seketCode]],tblSeket[#All],5,FALSE)</f>
        <v>Malalo</v>
      </c>
      <c r="L608" s="1" t="str">
        <f>Paris!L$139</f>
        <v>P13</v>
      </c>
      <c r="M608" s="1" t="str">
        <f>CONCATENATE(tblCong[[#This Row],[seketCode]],"-",tblCong[[#This Row],[pCode]])</f>
        <v>D02-S09-P13</v>
      </c>
      <c r="N608" s="1" t="str">
        <f>Paris!M$139</f>
        <v>Bater</v>
      </c>
      <c r="O608" s="1" t="s">
        <v>571</v>
      </c>
      <c r="P608" s="1" t="s">
        <v>1143</v>
      </c>
    </row>
    <row r="609" spans="6:16" x14ac:dyDescent="0.35">
      <c r="F609" s="1" t="str">
        <f>CONCATENATE(tblCong[[#This Row],[parishCode]],"-",tblCong[[#This Row],[kCode]])</f>
        <v>D02-S09-P13-K04</v>
      </c>
      <c r="G609" s="1" t="str">
        <f>Distrik!F$6</f>
        <v>D02</v>
      </c>
      <c r="H609" s="1" t="str">
        <f>VLOOKUP(tblCong[[#This Row],[distCode]],tblDistrict[#All],2)</f>
        <v>Jabem</v>
      </c>
      <c r="I609" s="1" t="str">
        <f>Seket!I$21</f>
        <v>S09</v>
      </c>
      <c r="J609" s="1" t="str">
        <f>CONCATENATE(tblCong[[#This Row],[distCode]],"-",tblCong[[#This Row],[sCode]])</f>
        <v>D02-S09</v>
      </c>
      <c r="K609" s="1" t="str">
        <f>VLOOKUP(tblCong[[#This Row],[seketCode]],tblSeket[#All],5,FALSE)</f>
        <v>Malalo</v>
      </c>
      <c r="L609" s="1" t="str">
        <f>Paris!L$139</f>
        <v>P13</v>
      </c>
      <c r="M609" s="1" t="str">
        <f>CONCATENATE(tblCong[[#This Row],[seketCode]],"-",tblCong[[#This Row],[pCode]])</f>
        <v>D02-S09-P13</v>
      </c>
      <c r="N609" s="1" t="str">
        <f>Paris!M$139</f>
        <v>Bater</v>
      </c>
      <c r="O609" s="1" t="s">
        <v>573</v>
      </c>
      <c r="P609" s="1" t="s">
        <v>1144</v>
      </c>
    </row>
    <row r="610" spans="6:16" x14ac:dyDescent="0.35">
      <c r="F610" s="1" t="str">
        <f>CONCATENATE(tblCong[[#This Row],[parishCode]],"-",tblCong[[#This Row],[kCode]])</f>
        <v>D02-S09-P13-K05</v>
      </c>
      <c r="G610" s="1" t="str">
        <f>Distrik!F$6</f>
        <v>D02</v>
      </c>
      <c r="H610" s="1" t="str">
        <f>VLOOKUP(tblCong[[#This Row],[distCode]],tblDistrict[#All],2)</f>
        <v>Jabem</v>
      </c>
      <c r="I610" s="1" t="str">
        <f>Seket!I$21</f>
        <v>S09</v>
      </c>
      <c r="J610" s="1" t="str">
        <f>CONCATENATE(tblCong[[#This Row],[distCode]],"-",tblCong[[#This Row],[sCode]])</f>
        <v>D02-S09</v>
      </c>
      <c r="K610" s="1" t="str">
        <f>VLOOKUP(tblCong[[#This Row],[seketCode]],tblSeket[#All],5,FALSE)</f>
        <v>Malalo</v>
      </c>
      <c r="L610" s="1" t="str">
        <f>Paris!L$139</f>
        <v>P13</v>
      </c>
      <c r="M610" s="1" t="str">
        <f>CONCATENATE(tblCong[[#This Row],[seketCode]],"-",tblCong[[#This Row],[pCode]])</f>
        <v>D02-S09-P13</v>
      </c>
      <c r="N610" s="1" t="str">
        <f>Paris!M$139</f>
        <v>Bater</v>
      </c>
      <c r="O610" s="1" t="s">
        <v>575</v>
      </c>
      <c r="P610" s="1" t="s">
        <v>1145</v>
      </c>
    </row>
    <row r="611" spans="6:16" x14ac:dyDescent="0.35">
      <c r="F611" s="1" t="str">
        <f>CONCATENATE(tblCong[[#This Row],[parishCode]],"-",tblCong[[#This Row],[kCode]])</f>
        <v>D02-S09-P13-K06</v>
      </c>
      <c r="G611" s="1" t="str">
        <f>Distrik!F$6</f>
        <v>D02</v>
      </c>
      <c r="H611" s="1" t="str">
        <f>VLOOKUP(tblCong[[#This Row],[distCode]],tblDistrict[#All],2)</f>
        <v>Jabem</v>
      </c>
      <c r="I611" s="1" t="str">
        <f>Seket!I$21</f>
        <v>S09</v>
      </c>
      <c r="J611" s="1" t="str">
        <f>CONCATENATE(tblCong[[#This Row],[distCode]],"-",tblCong[[#This Row],[sCode]])</f>
        <v>D02-S09</v>
      </c>
      <c r="K611" s="1" t="str">
        <f>VLOOKUP(tblCong[[#This Row],[seketCode]],tblSeket[#All],5,FALSE)</f>
        <v>Malalo</v>
      </c>
      <c r="L611" s="1" t="str">
        <f>Paris!L$139</f>
        <v>P13</v>
      </c>
      <c r="M611" s="1" t="str">
        <f>CONCATENATE(tblCong[[#This Row],[seketCode]],"-",tblCong[[#This Row],[pCode]])</f>
        <v>D02-S09-P13</v>
      </c>
      <c r="N611" s="1" t="str">
        <f>Paris!M$139</f>
        <v>Bater</v>
      </c>
      <c r="O611" s="1" t="s">
        <v>576</v>
      </c>
      <c r="P611" s="1" t="s">
        <v>1146</v>
      </c>
    </row>
    <row r="612" spans="6:16" x14ac:dyDescent="0.35">
      <c r="F612" s="1" t="str">
        <f>CONCATENATE(tblCong[[#This Row],[parishCode]],"-",tblCong[[#This Row],[kCode]])</f>
        <v>D02-S10-P01-K01</v>
      </c>
      <c r="G612" s="1" t="str">
        <f>Distrik!F$6</f>
        <v>D02</v>
      </c>
      <c r="H612" s="1" t="str">
        <f>VLOOKUP(tblCong[[#This Row],[distCode]],tblDistrict[#All],2)</f>
        <v>Jabem</v>
      </c>
      <c r="I612" s="1" t="str">
        <f>Seket!I$22</f>
        <v>S10</v>
      </c>
      <c r="J612" s="1" t="str">
        <f>CONCATENATE(tblCong[[#This Row],[distCode]],"-",tblCong[[#This Row],[sCode]])</f>
        <v>D02-S10</v>
      </c>
      <c r="K612" s="1" t="str">
        <f>VLOOKUP(tblCong[[#This Row],[seketCode]],tblSeket[#All],5,FALSE)</f>
        <v>Menyamya</v>
      </c>
      <c r="L612" s="1" t="str">
        <f>Paris!L$140</f>
        <v>P01</v>
      </c>
      <c r="M612" s="1" t="str">
        <f>CONCATENATE(tblCong[[#This Row],[seketCode]],"-",tblCong[[#This Row],[pCode]])</f>
        <v>D02-S10-P01</v>
      </c>
      <c r="N612" s="1" t="str">
        <f>Paris!M$140</f>
        <v>Freund Memorial</v>
      </c>
      <c r="O612" s="1" t="s">
        <v>567</v>
      </c>
      <c r="P612" s="1" t="s">
        <v>1147</v>
      </c>
    </row>
    <row r="613" spans="6:16" x14ac:dyDescent="0.35">
      <c r="F613" s="1" t="str">
        <f>CONCATENATE(tblCong[[#This Row],[parishCode]],"-",tblCong[[#This Row],[kCode]])</f>
        <v>D02-S10-P01-K02</v>
      </c>
      <c r="G613" s="1" t="str">
        <f>Distrik!F$6</f>
        <v>D02</v>
      </c>
      <c r="H613" s="1" t="str">
        <f>VLOOKUP(tblCong[[#This Row],[distCode]],tblDistrict[#All],2)</f>
        <v>Jabem</v>
      </c>
      <c r="I613" s="1" t="str">
        <f>Seket!I$22</f>
        <v>S10</v>
      </c>
      <c r="J613" s="1" t="str">
        <f>CONCATENATE(tblCong[[#This Row],[distCode]],"-",tblCong[[#This Row],[sCode]])</f>
        <v>D02-S10</v>
      </c>
      <c r="K613" s="1" t="str">
        <f>VLOOKUP(tblCong[[#This Row],[seketCode]],tblSeket[#All],5,FALSE)</f>
        <v>Menyamya</v>
      </c>
      <c r="L613" s="1" t="str">
        <f>Paris!L$140</f>
        <v>P01</v>
      </c>
      <c r="M613" s="1" t="str">
        <f>CONCATENATE(tblCong[[#This Row],[seketCode]],"-",tblCong[[#This Row],[pCode]])</f>
        <v>D02-S10-P01</v>
      </c>
      <c r="N613" s="1" t="str">
        <f>Paris!M$140</f>
        <v>Freund Memorial</v>
      </c>
      <c r="O613" s="1" t="s">
        <v>569</v>
      </c>
      <c r="P613" s="1" t="s">
        <v>1148</v>
      </c>
    </row>
    <row r="614" spans="6:16" x14ac:dyDescent="0.35">
      <c r="F614" s="1" t="str">
        <f>CONCATENATE(tblCong[[#This Row],[parishCode]],"-",tblCong[[#This Row],[kCode]])</f>
        <v>D02-S10-P01-K03</v>
      </c>
      <c r="G614" s="1" t="str">
        <f>Distrik!F$6</f>
        <v>D02</v>
      </c>
      <c r="H614" s="1" t="str">
        <f>VLOOKUP(tblCong[[#This Row],[distCode]],tblDistrict[#All],2)</f>
        <v>Jabem</v>
      </c>
      <c r="I614" s="1" t="str">
        <f>Seket!I$22</f>
        <v>S10</v>
      </c>
      <c r="J614" s="1" t="str">
        <f>CONCATENATE(tblCong[[#This Row],[distCode]],"-",tblCong[[#This Row],[sCode]])</f>
        <v>D02-S10</v>
      </c>
      <c r="K614" s="1" t="str">
        <f>VLOOKUP(tblCong[[#This Row],[seketCode]],tblSeket[#All],5,FALSE)</f>
        <v>Menyamya</v>
      </c>
      <c r="L614" s="1" t="str">
        <f>Paris!L$140</f>
        <v>P01</v>
      </c>
      <c r="M614" s="1" t="str">
        <f>CONCATENATE(tblCong[[#This Row],[seketCode]],"-",tblCong[[#This Row],[pCode]])</f>
        <v>D02-S10-P01</v>
      </c>
      <c r="N614" s="1" t="str">
        <f>Paris!M$140</f>
        <v>Freund Memorial</v>
      </c>
      <c r="O614" s="1" t="s">
        <v>571</v>
      </c>
      <c r="P614" s="1" t="s">
        <v>1149</v>
      </c>
    </row>
    <row r="615" spans="6:16" x14ac:dyDescent="0.35">
      <c r="F615" s="1" t="str">
        <f>CONCATENATE(tblCong[[#This Row],[parishCode]],"-",tblCong[[#This Row],[kCode]])</f>
        <v>D02-S10-P01-K04</v>
      </c>
      <c r="G615" s="1" t="str">
        <f>Distrik!F$6</f>
        <v>D02</v>
      </c>
      <c r="H615" s="1" t="str">
        <f>VLOOKUP(tblCong[[#This Row],[distCode]],tblDistrict[#All],2)</f>
        <v>Jabem</v>
      </c>
      <c r="I615" s="1" t="str">
        <f>Seket!I$22</f>
        <v>S10</v>
      </c>
      <c r="J615" s="1" t="str">
        <f>CONCATENATE(tblCong[[#This Row],[distCode]],"-",tblCong[[#This Row],[sCode]])</f>
        <v>D02-S10</v>
      </c>
      <c r="K615" s="1" t="str">
        <f>VLOOKUP(tblCong[[#This Row],[seketCode]],tblSeket[#All],5,FALSE)</f>
        <v>Menyamya</v>
      </c>
      <c r="L615" s="1" t="str">
        <f>Paris!L$140</f>
        <v>P01</v>
      </c>
      <c r="M615" s="1" t="str">
        <f>CONCATENATE(tblCong[[#This Row],[seketCode]],"-",tblCong[[#This Row],[pCode]])</f>
        <v>D02-S10-P01</v>
      </c>
      <c r="N615" s="1" t="str">
        <f>Paris!M$140</f>
        <v>Freund Memorial</v>
      </c>
      <c r="O615" s="1" t="s">
        <v>573</v>
      </c>
      <c r="P615" s="1" t="s">
        <v>1150</v>
      </c>
    </row>
    <row r="616" spans="6:16" x14ac:dyDescent="0.35">
      <c r="F616" s="1" t="str">
        <f>CONCATENATE(tblCong[[#This Row],[parishCode]],"-",tblCong[[#This Row],[kCode]])</f>
        <v>D02-S10-P01-K05</v>
      </c>
      <c r="G616" s="1" t="str">
        <f>Distrik!F$6</f>
        <v>D02</v>
      </c>
      <c r="H616" s="1" t="str">
        <f>VLOOKUP(tblCong[[#This Row],[distCode]],tblDistrict[#All],2)</f>
        <v>Jabem</v>
      </c>
      <c r="I616" s="1" t="str">
        <f>Seket!I$22</f>
        <v>S10</v>
      </c>
      <c r="J616" s="1" t="str">
        <f>CONCATENATE(tblCong[[#This Row],[distCode]],"-",tblCong[[#This Row],[sCode]])</f>
        <v>D02-S10</v>
      </c>
      <c r="K616" s="1" t="str">
        <f>VLOOKUP(tblCong[[#This Row],[seketCode]],tblSeket[#All],5,FALSE)</f>
        <v>Menyamya</v>
      </c>
      <c r="L616" s="1" t="str">
        <f>Paris!L$140</f>
        <v>P01</v>
      </c>
      <c r="M616" s="1" t="str">
        <f>CONCATENATE(tblCong[[#This Row],[seketCode]],"-",tblCong[[#This Row],[pCode]])</f>
        <v>D02-S10-P01</v>
      </c>
      <c r="N616" s="1" t="str">
        <f>Paris!M$140</f>
        <v>Freund Memorial</v>
      </c>
      <c r="O616" s="1" t="s">
        <v>575</v>
      </c>
      <c r="P616" s="1" t="s">
        <v>1151</v>
      </c>
    </row>
    <row r="617" spans="6:16" x14ac:dyDescent="0.35">
      <c r="F617" s="1" t="str">
        <f>CONCATENATE(tblCong[[#This Row],[parishCode]],"-",tblCong[[#This Row],[kCode]])</f>
        <v>D02-S10-P01-K06</v>
      </c>
      <c r="G617" s="1" t="str">
        <f>Distrik!F$6</f>
        <v>D02</v>
      </c>
      <c r="H617" s="1" t="str">
        <f>VLOOKUP(tblCong[[#This Row],[distCode]],tblDistrict[#All],2)</f>
        <v>Jabem</v>
      </c>
      <c r="I617" s="1" t="str">
        <f>Seket!I$22</f>
        <v>S10</v>
      </c>
      <c r="J617" s="1" t="str">
        <f>CONCATENATE(tblCong[[#This Row],[distCode]],"-",tblCong[[#This Row],[sCode]])</f>
        <v>D02-S10</v>
      </c>
      <c r="K617" s="1" t="str">
        <f>VLOOKUP(tblCong[[#This Row],[seketCode]],tblSeket[#All],5,FALSE)</f>
        <v>Menyamya</v>
      </c>
      <c r="L617" s="1" t="str">
        <f>Paris!L$140</f>
        <v>P01</v>
      </c>
      <c r="M617" s="1" t="str">
        <f>CONCATENATE(tblCong[[#This Row],[seketCode]],"-",tblCong[[#This Row],[pCode]])</f>
        <v>D02-S10-P01</v>
      </c>
      <c r="N617" s="1" t="str">
        <f>Paris!M$140</f>
        <v>Freund Memorial</v>
      </c>
      <c r="O617" s="1" t="s">
        <v>576</v>
      </c>
      <c r="P617" s="1" t="s">
        <v>1152</v>
      </c>
    </row>
    <row r="618" spans="6:16" x14ac:dyDescent="0.35">
      <c r="F618" s="1" t="str">
        <f>CONCATENATE(tblCong[[#This Row],[parishCode]],"-",tblCong[[#This Row],[kCode]])</f>
        <v>D02-S10-P01-K07</v>
      </c>
      <c r="G618" s="1" t="str">
        <f>Distrik!F$6</f>
        <v>D02</v>
      </c>
      <c r="H618" s="1" t="str">
        <f>VLOOKUP(tblCong[[#This Row],[distCode]],tblDistrict[#All],2)</f>
        <v>Jabem</v>
      </c>
      <c r="I618" s="1" t="str">
        <f>Seket!I$22</f>
        <v>S10</v>
      </c>
      <c r="J618" s="1" t="str">
        <f>CONCATENATE(tblCong[[#This Row],[distCode]],"-",tblCong[[#This Row],[sCode]])</f>
        <v>D02-S10</v>
      </c>
      <c r="K618" s="1" t="str">
        <f>VLOOKUP(tblCong[[#This Row],[seketCode]],tblSeket[#All],5,FALSE)</f>
        <v>Menyamya</v>
      </c>
      <c r="L618" s="1" t="str">
        <f>Paris!L$140</f>
        <v>P01</v>
      </c>
      <c r="M618" s="1" t="str">
        <f>CONCATENATE(tblCong[[#This Row],[seketCode]],"-",tblCong[[#This Row],[pCode]])</f>
        <v>D02-S10-P01</v>
      </c>
      <c r="N618" s="1" t="str">
        <f>Paris!M$140</f>
        <v>Freund Memorial</v>
      </c>
      <c r="O618" s="1" t="s">
        <v>578</v>
      </c>
      <c r="P618" s="1" t="s">
        <v>1153</v>
      </c>
    </row>
    <row r="619" spans="6:16" x14ac:dyDescent="0.35">
      <c r="F619" s="1" t="str">
        <f>CONCATENATE(tblCong[[#This Row],[parishCode]],"-",tblCong[[#This Row],[kCode]])</f>
        <v>D02-S10-P01-K08</v>
      </c>
      <c r="G619" s="1" t="str">
        <f>Distrik!F$6</f>
        <v>D02</v>
      </c>
      <c r="H619" s="1" t="str">
        <f>VLOOKUP(tblCong[[#This Row],[distCode]],tblDistrict[#All],2)</f>
        <v>Jabem</v>
      </c>
      <c r="I619" s="1" t="str">
        <f>Seket!I$22</f>
        <v>S10</v>
      </c>
      <c r="J619" s="1" t="str">
        <f>CONCATENATE(tblCong[[#This Row],[distCode]],"-",tblCong[[#This Row],[sCode]])</f>
        <v>D02-S10</v>
      </c>
      <c r="K619" s="1" t="str">
        <f>VLOOKUP(tblCong[[#This Row],[seketCode]],tblSeket[#All],5,FALSE)</f>
        <v>Menyamya</v>
      </c>
      <c r="L619" s="1" t="str">
        <f>Paris!L$140</f>
        <v>P01</v>
      </c>
      <c r="M619" s="1" t="str">
        <f>CONCATENATE(tblCong[[#This Row],[seketCode]],"-",tblCong[[#This Row],[pCode]])</f>
        <v>D02-S10-P01</v>
      </c>
      <c r="N619" s="1" t="str">
        <f>Paris!M$140</f>
        <v>Freund Memorial</v>
      </c>
      <c r="O619" s="1" t="s">
        <v>651</v>
      </c>
      <c r="P619" s="1" t="s">
        <v>1154</v>
      </c>
    </row>
    <row r="620" spans="6:16" x14ac:dyDescent="0.35">
      <c r="F620" s="1" t="str">
        <f>CONCATENATE(tblCong[[#This Row],[parishCode]],"-",tblCong[[#This Row],[kCode]])</f>
        <v>D02-S10-P01-K09</v>
      </c>
      <c r="G620" s="1" t="str">
        <f>Distrik!F$6</f>
        <v>D02</v>
      </c>
      <c r="H620" s="1" t="str">
        <f>VLOOKUP(tblCong[[#This Row],[distCode]],tblDistrict[#All],2)</f>
        <v>Jabem</v>
      </c>
      <c r="I620" s="1" t="str">
        <f>Seket!I$22</f>
        <v>S10</v>
      </c>
      <c r="J620" s="1" t="str">
        <f>CONCATENATE(tblCong[[#This Row],[distCode]],"-",tblCong[[#This Row],[sCode]])</f>
        <v>D02-S10</v>
      </c>
      <c r="K620" s="1" t="str">
        <f>VLOOKUP(tblCong[[#This Row],[seketCode]],tblSeket[#All],5,FALSE)</f>
        <v>Menyamya</v>
      </c>
      <c r="L620" s="1" t="str">
        <f>Paris!L$140</f>
        <v>P01</v>
      </c>
      <c r="M620" s="1" t="str">
        <f>CONCATENATE(tblCong[[#This Row],[seketCode]],"-",tblCong[[#This Row],[pCode]])</f>
        <v>D02-S10-P01</v>
      </c>
      <c r="N620" s="1" t="str">
        <f>Paris!M$140</f>
        <v>Freund Memorial</v>
      </c>
      <c r="O620" s="1" t="s">
        <v>653</v>
      </c>
      <c r="P620" s="1" t="s">
        <v>1155</v>
      </c>
    </row>
    <row r="621" spans="6:16" x14ac:dyDescent="0.35">
      <c r="F621" s="1" t="str">
        <f>CONCATENATE(tblCong[[#This Row],[parishCode]],"-",tblCong[[#This Row],[kCode]])</f>
        <v>D02-S10-P01-K10</v>
      </c>
      <c r="G621" s="1" t="str">
        <f>Distrik!F$6</f>
        <v>D02</v>
      </c>
      <c r="H621" s="1" t="str">
        <f>VLOOKUP(tblCong[[#This Row],[distCode]],tblDistrict[#All],2)</f>
        <v>Jabem</v>
      </c>
      <c r="I621" s="1" t="str">
        <f>Seket!I$22</f>
        <v>S10</v>
      </c>
      <c r="J621" s="1" t="str">
        <f>CONCATENATE(tblCong[[#This Row],[distCode]],"-",tblCong[[#This Row],[sCode]])</f>
        <v>D02-S10</v>
      </c>
      <c r="K621" s="1" t="str">
        <f>VLOOKUP(tblCong[[#This Row],[seketCode]],tblSeket[#All],5,FALSE)</f>
        <v>Menyamya</v>
      </c>
      <c r="L621" s="1" t="str">
        <f>Paris!L$140</f>
        <v>P01</v>
      </c>
      <c r="M621" s="1" t="str">
        <f>CONCATENATE(tblCong[[#This Row],[seketCode]],"-",tblCong[[#This Row],[pCode]])</f>
        <v>D02-S10-P01</v>
      </c>
      <c r="N621" s="1" t="str">
        <f>Paris!M$140</f>
        <v>Freund Memorial</v>
      </c>
      <c r="O621" s="1" t="s">
        <v>655</v>
      </c>
      <c r="P621" s="1" t="s">
        <v>1156</v>
      </c>
    </row>
    <row r="622" spans="6:16" x14ac:dyDescent="0.35">
      <c r="F622" s="1" t="str">
        <f>CONCATENATE(tblCong[[#This Row],[parishCode]],"-",tblCong[[#This Row],[kCode]])</f>
        <v>D02-S10-P01-K11</v>
      </c>
      <c r="G622" s="1" t="str">
        <f>Distrik!F$6</f>
        <v>D02</v>
      </c>
      <c r="H622" s="1" t="str">
        <f>VLOOKUP(tblCong[[#This Row],[distCode]],tblDistrict[#All],2)</f>
        <v>Jabem</v>
      </c>
      <c r="I622" s="1" t="str">
        <f>Seket!I$22</f>
        <v>S10</v>
      </c>
      <c r="J622" s="1" t="str">
        <f>CONCATENATE(tblCong[[#This Row],[distCode]],"-",tblCong[[#This Row],[sCode]])</f>
        <v>D02-S10</v>
      </c>
      <c r="K622" s="1" t="str">
        <f>VLOOKUP(tblCong[[#This Row],[seketCode]],tblSeket[#All],5,FALSE)</f>
        <v>Menyamya</v>
      </c>
      <c r="L622" s="1" t="str">
        <f>Paris!L$140</f>
        <v>P01</v>
      </c>
      <c r="M622" s="1" t="str">
        <f>CONCATENATE(tblCong[[#This Row],[seketCode]],"-",tblCong[[#This Row],[pCode]])</f>
        <v>D02-S10-P01</v>
      </c>
      <c r="N622" s="1" t="str">
        <f>Paris!M$140</f>
        <v>Freund Memorial</v>
      </c>
      <c r="O622" s="1" t="s">
        <v>1013</v>
      </c>
      <c r="P622" s="1" t="s">
        <v>334</v>
      </c>
    </row>
    <row r="623" spans="6:16" x14ac:dyDescent="0.35">
      <c r="F623" s="1" t="str">
        <f>CONCATENATE(tblCong[[#This Row],[parishCode]],"-",tblCong[[#This Row],[kCode]])</f>
        <v>D02-S10-P02-K01</v>
      </c>
      <c r="G623" s="1" t="str">
        <f>Distrik!F$6</f>
        <v>D02</v>
      </c>
      <c r="H623" s="1" t="str">
        <f>VLOOKUP(tblCong[[#This Row],[distCode]],tblDistrict[#All],2)</f>
        <v>Jabem</v>
      </c>
      <c r="I623" s="1" t="str">
        <f>Seket!I$22</f>
        <v>S10</v>
      </c>
      <c r="J623" s="1" t="str">
        <f>CONCATENATE(tblCong[[#This Row],[distCode]],"-",tblCong[[#This Row],[sCode]])</f>
        <v>D02-S10</v>
      </c>
      <c r="K623" s="1" t="str">
        <f>VLOOKUP(tblCong[[#This Row],[seketCode]],tblSeket[#All],5,FALSE)</f>
        <v>Menyamya</v>
      </c>
      <c r="L623" s="1" t="str">
        <f>Paris!L$141</f>
        <v>P02</v>
      </c>
      <c r="M623" s="1" t="str">
        <f>CONCATENATE(tblCong[[#This Row],[seketCode]],"-",tblCong[[#This Row],[pCode]])</f>
        <v>D02-S10-P02</v>
      </c>
      <c r="N623" s="1" t="str">
        <f>Paris!M$141</f>
        <v>Hengiapa</v>
      </c>
      <c r="O623" s="1" t="s">
        <v>567</v>
      </c>
      <c r="P623" s="1" t="s">
        <v>1157</v>
      </c>
    </row>
    <row r="624" spans="6:16" x14ac:dyDescent="0.35">
      <c r="F624" s="1" t="str">
        <f>CONCATENATE(tblCong[[#This Row],[parishCode]],"-",tblCong[[#This Row],[kCode]])</f>
        <v>D02-S10-P02-K02</v>
      </c>
      <c r="G624" s="1" t="str">
        <f>Distrik!F$6</f>
        <v>D02</v>
      </c>
      <c r="H624" s="1" t="str">
        <f>VLOOKUP(tblCong[[#This Row],[distCode]],tblDistrict[#All],2)</f>
        <v>Jabem</v>
      </c>
      <c r="I624" s="1" t="str">
        <f>Seket!I$22</f>
        <v>S10</v>
      </c>
      <c r="J624" s="1" t="str">
        <f>CONCATENATE(tblCong[[#This Row],[distCode]],"-",tblCong[[#This Row],[sCode]])</f>
        <v>D02-S10</v>
      </c>
      <c r="K624" s="1" t="str">
        <f>VLOOKUP(tblCong[[#This Row],[seketCode]],tblSeket[#All],5,FALSE)</f>
        <v>Menyamya</v>
      </c>
      <c r="L624" s="1" t="str">
        <f>Paris!L$141</f>
        <v>P02</v>
      </c>
      <c r="M624" s="1" t="str">
        <f>CONCATENATE(tblCong[[#This Row],[seketCode]],"-",tblCong[[#This Row],[pCode]])</f>
        <v>D02-S10-P02</v>
      </c>
      <c r="N624" s="1" t="str">
        <f>Paris!M$141</f>
        <v>Hengiapa</v>
      </c>
      <c r="O624" s="1" t="s">
        <v>569</v>
      </c>
      <c r="P624" s="1" t="s">
        <v>1158</v>
      </c>
    </row>
    <row r="625" spans="6:16" x14ac:dyDescent="0.35">
      <c r="F625" s="1" t="str">
        <f>CONCATENATE(tblCong[[#This Row],[parishCode]],"-",tblCong[[#This Row],[kCode]])</f>
        <v>D02-S10-P02-K03</v>
      </c>
      <c r="G625" s="1" t="str">
        <f>Distrik!F$6</f>
        <v>D02</v>
      </c>
      <c r="H625" s="1" t="str">
        <f>VLOOKUP(tblCong[[#This Row],[distCode]],tblDistrict[#All],2)</f>
        <v>Jabem</v>
      </c>
      <c r="I625" s="1" t="str">
        <f>Seket!I$22</f>
        <v>S10</v>
      </c>
      <c r="J625" s="1" t="str">
        <f>CONCATENATE(tblCong[[#This Row],[distCode]],"-",tblCong[[#This Row],[sCode]])</f>
        <v>D02-S10</v>
      </c>
      <c r="K625" s="1" t="str">
        <f>VLOOKUP(tblCong[[#This Row],[seketCode]],tblSeket[#All],5,FALSE)</f>
        <v>Menyamya</v>
      </c>
      <c r="L625" s="1" t="str">
        <f>Paris!L$141</f>
        <v>P02</v>
      </c>
      <c r="M625" s="1" t="str">
        <f>CONCATENATE(tblCong[[#This Row],[seketCode]],"-",tblCong[[#This Row],[pCode]])</f>
        <v>D02-S10-P02</v>
      </c>
      <c r="N625" s="1" t="str">
        <f>Paris!M$141</f>
        <v>Hengiapa</v>
      </c>
      <c r="O625" s="1" t="s">
        <v>571</v>
      </c>
      <c r="P625" s="1" t="s">
        <v>1159</v>
      </c>
    </row>
    <row r="626" spans="6:16" x14ac:dyDescent="0.35">
      <c r="F626" s="1" t="str">
        <f>CONCATENATE(tblCong[[#This Row],[parishCode]],"-",tblCong[[#This Row],[kCode]])</f>
        <v>D02-S10-P02-K04</v>
      </c>
      <c r="G626" s="1" t="str">
        <f>Distrik!F$6</f>
        <v>D02</v>
      </c>
      <c r="H626" s="1" t="str">
        <f>VLOOKUP(tblCong[[#This Row],[distCode]],tblDistrict[#All],2)</f>
        <v>Jabem</v>
      </c>
      <c r="I626" s="1" t="str">
        <f>Seket!I$22</f>
        <v>S10</v>
      </c>
      <c r="J626" s="1" t="str">
        <f>CONCATENATE(tblCong[[#This Row],[distCode]],"-",tblCong[[#This Row],[sCode]])</f>
        <v>D02-S10</v>
      </c>
      <c r="K626" s="1" t="str">
        <f>VLOOKUP(tblCong[[#This Row],[seketCode]],tblSeket[#All],5,FALSE)</f>
        <v>Menyamya</v>
      </c>
      <c r="L626" s="1" t="str">
        <f>Paris!L$141</f>
        <v>P02</v>
      </c>
      <c r="M626" s="1" t="str">
        <f>CONCATENATE(tblCong[[#This Row],[seketCode]],"-",tblCong[[#This Row],[pCode]])</f>
        <v>D02-S10-P02</v>
      </c>
      <c r="N626" s="1" t="str">
        <f>Paris!M$141</f>
        <v>Hengiapa</v>
      </c>
      <c r="O626" s="1" t="s">
        <v>573</v>
      </c>
      <c r="P626" s="1" t="s">
        <v>1160</v>
      </c>
    </row>
    <row r="627" spans="6:16" x14ac:dyDescent="0.35">
      <c r="F627" s="1" t="str">
        <f>CONCATENATE(tblCong[[#This Row],[parishCode]],"-",tblCong[[#This Row],[kCode]])</f>
        <v>D02-S10-P02-K05</v>
      </c>
      <c r="G627" s="1" t="str">
        <f>Distrik!F$6</f>
        <v>D02</v>
      </c>
      <c r="H627" s="1" t="str">
        <f>VLOOKUP(tblCong[[#This Row],[distCode]],tblDistrict[#All],2)</f>
        <v>Jabem</v>
      </c>
      <c r="I627" s="1" t="str">
        <f>Seket!I$22</f>
        <v>S10</v>
      </c>
      <c r="J627" s="1" t="str">
        <f>CONCATENATE(tblCong[[#This Row],[distCode]],"-",tblCong[[#This Row],[sCode]])</f>
        <v>D02-S10</v>
      </c>
      <c r="K627" s="1" t="str">
        <f>VLOOKUP(tblCong[[#This Row],[seketCode]],tblSeket[#All],5,FALSE)</f>
        <v>Menyamya</v>
      </c>
      <c r="L627" s="1" t="str">
        <f>Paris!L$141</f>
        <v>P02</v>
      </c>
      <c r="M627" s="1" t="str">
        <f>CONCATENATE(tblCong[[#This Row],[seketCode]],"-",tblCong[[#This Row],[pCode]])</f>
        <v>D02-S10-P02</v>
      </c>
      <c r="N627" s="1" t="str">
        <f>Paris!M$141</f>
        <v>Hengiapa</v>
      </c>
      <c r="O627" s="1" t="s">
        <v>575</v>
      </c>
      <c r="P627" s="1" t="s">
        <v>357</v>
      </c>
    </row>
    <row r="628" spans="6:16" x14ac:dyDescent="0.35">
      <c r="F628" s="1" t="str">
        <f>CONCATENATE(tblCong[[#This Row],[parishCode]],"-",tblCong[[#This Row],[kCode]])</f>
        <v>D02-S10-P03-K01</v>
      </c>
      <c r="G628" s="1" t="str">
        <f>Distrik!F$6</f>
        <v>D02</v>
      </c>
      <c r="H628" s="1" t="str">
        <f>VLOOKUP(tblCong[[#This Row],[distCode]],tblDistrict[#All],2)</f>
        <v>Jabem</v>
      </c>
      <c r="I628" s="1" t="str">
        <f>Seket!I$22</f>
        <v>S10</v>
      </c>
      <c r="J628" s="1" t="str">
        <f>CONCATENATE(tblCong[[#This Row],[distCode]],"-",tblCong[[#This Row],[sCode]])</f>
        <v>D02-S10</v>
      </c>
      <c r="K628" s="1" t="str">
        <f>VLOOKUP(tblCong[[#This Row],[seketCode]],tblSeket[#All],5,FALSE)</f>
        <v>Menyamya</v>
      </c>
      <c r="L628" s="1" t="str">
        <f>Paris!L$142</f>
        <v>P03</v>
      </c>
      <c r="M628" s="1" t="str">
        <f>CONCATENATE(tblCong[[#This Row],[seketCode]],"-",tblCong[[#This Row],[pCode]])</f>
        <v>D02-S10-P03</v>
      </c>
      <c r="N628" s="1" t="str">
        <f>Paris!M$142</f>
        <v>Konkodia</v>
      </c>
      <c r="O628" s="1" t="s">
        <v>567</v>
      </c>
      <c r="P628" s="1" t="s">
        <v>1161</v>
      </c>
    </row>
    <row r="629" spans="6:16" x14ac:dyDescent="0.35">
      <c r="F629" s="1" t="str">
        <f>CONCATENATE(tblCong[[#This Row],[parishCode]],"-",tblCong[[#This Row],[kCode]])</f>
        <v>D02-S10-P03-K02</v>
      </c>
      <c r="G629" s="1" t="str">
        <f>Distrik!F$6</f>
        <v>D02</v>
      </c>
      <c r="H629" s="1" t="str">
        <f>VLOOKUP(tblCong[[#This Row],[distCode]],tblDistrict[#All],2)</f>
        <v>Jabem</v>
      </c>
      <c r="I629" s="1" t="str">
        <f>Seket!I$22</f>
        <v>S10</v>
      </c>
      <c r="J629" s="1" t="str">
        <f>CONCATENATE(tblCong[[#This Row],[distCode]],"-",tblCong[[#This Row],[sCode]])</f>
        <v>D02-S10</v>
      </c>
      <c r="K629" s="1" t="str">
        <f>VLOOKUP(tblCong[[#This Row],[seketCode]],tblSeket[#All],5,FALSE)</f>
        <v>Menyamya</v>
      </c>
      <c r="L629" s="1" t="str">
        <f>Paris!L$142</f>
        <v>P03</v>
      </c>
      <c r="M629" s="1" t="str">
        <f>CONCATENATE(tblCong[[#This Row],[seketCode]],"-",tblCong[[#This Row],[pCode]])</f>
        <v>D02-S10-P03</v>
      </c>
      <c r="N629" s="1" t="str">
        <f>Paris!M$142</f>
        <v>Konkodia</v>
      </c>
      <c r="O629" s="1" t="s">
        <v>569</v>
      </c>
      <c r="P629" s="1" t="s">
        <v>1162</v>
      </c>
    </row>
    <row r="630" spans="6:16" x14ac:dyDescent="0.35">
      <c r="F630" s="1" t="str">
        <f>CONCATENATE(tblCong[[#This Row],[parishCode]],"-",tblCong[[#This Row],[kCode]])</f>
        <v>D02-S10-P03-K03</v>
      </c>
      <c r="G630" s="1" t="str">
        <f>Distrik!F$6</f>
        <v>D02</v>
      </c>
      <c r="H630" s="1" t="str">
        <f>VLOOKUP(tblCong[[#This Row],[distCode]],tblDistrict[#All],2)</f>
        <v>Jabem</v>
      </c>
      <c r="I630" s="1" t="str">
        <f>Seket!I$22</f>
        <v>S10</v>
      </c>
      <c r="J630" s="1" t="str">
        <f>CONCATENATE(tblCong[[#This Row],[distCode]],"-",tblCong[[#This Row],[sCode]])</f>
        <v>D02-S10</v>
      </c>
      <c r="K630" s="1" t="str">
        <f>VLOOKUP(tblCong[[#This Row],[seketCode]],tblSeket[#All],5,FALSE)</f>
        <v>Menyamya</v>
      </c>
      <c r="L630" s="1" t="str">
        <f>Paris!L$142</f>
        <v>P03</v>
      </c>
      <c r="M630" s="1" t="str">
        <f>CONCATENATE(tblCong[[#This Row],[seketCode]],"-",tblCong[[#This Row],[pCode]])</f>
        <v>D02-S10-P03</v>
      </c>
      <c r="N630" s="1" t="str">
        <f>Paris!M$142</f>
        <v>Konkodia</v>
      </c>
      <c r="O630" s="1" t="s">
        <v>571</v>
      </c>
      <c r="P630" s="1" t="s">
        <v>1163</v>
      </c>
    </row>
    <row r="631" spans="6:16" x14ac:dyDescent="0.35">
      <c r="F631" s="1" t="str">
        <f>CONCATENATE(tblCong[[#This Row],[parishCode]],"-",tblCong[[#This Row],[kCode]])</f>
        <v>D02-S10-P03-K04</v>
      </c>
      <c r="G631" s="1" t="str">
        <f>Distrik!F$6</f>
        <v>D02</v>
      </c>
      <c r="H631" s="1" t="str">
        <f>VLOOKUP(tblCong[[#This Row],[distCode]],tblDistrict[#All],2)</f>
        <v>Jabem</v>
      </c>
      <c r="I631" s="1" t="str">
        <f>Seket!I$22</f>
        <v>S10</v>
      </c>
      <c r="J631" s="1" t="str">
        <f>CONCATENATE(tblCong[[#This Row],[distCode]],"-",tblCong[[#This Row],[sCode]])</f>
        <v>D02-S10</v>
      </c>
      <c r="K631" s="1" t="str">
        <f>VLOOKUP(tblCong[[#This Row],[seketCode]],tblSeket[#All],5,FALSE)</f>
        <v>Menyamya</v>
      </c>
      <c r="L631" s="1" t="str">
        <f>Paris!L$142</f>
        <v>P03</v>
      </c>
      <c r="M631" s="1" t="str">
        <f>CONCATENATE(tblCong[[#This Row],[seketCode]],"-",tblCong[[#This Row],[pCode]])</f>
        <v>D02-S10-P03</v>
      </c>
      <c r="N631" s="1" t="str">
        <f>Paris!M$142</f>
        <v>Konkodia</v>
      </c>
      <c r="O631" s="1" t="s">
        <v>573</v>
      </c>
      <c r="P631" s="1" t="s">
        <v>1164</v>
      </c>
    </row>
    <row r="632" spans="6:16" x14ac:dyDescent="0.35">
      <c r="F632" s="1" t="str">
        <f>CONCATENATE(tblCong[[#This Row],[parishCode]],"-",tblCong[[#This Row],[kCode]])</f>
        <v>D02-S10-P03-K05</v>
      </c>
      <c r="G632" s="1" t="str">
        <f>Distrik!F$6</f>
        <v>D02</v>
      </c>
      <c r="H632" s="1" t="str">
        <f>VLOOKUP(tblCong[[#This Row],[distCode]],tblDistrict[#All],2)</f>
        <v>Jabem</v>
      </c>
      <c r="I632" s="1" t="str">
        <f>Seket!I$22</f>
        <v>S10</v>
      </c>
      <c r="J632" s="1" t="str">
        <f>CONCATENATE(tblCong[[#This Row],[distCode]],"-",tblCong[[#This Row],[sCode]])</f>
        <v>D02-S10</v>
      </c>
      <c r="K632" s="1" t="str">
        <f>VLOOKUP(tblCong[[#This Row],[seketCode]],tblSeket[#All],5,FALSE)</f>
        <v>Menyamya</v>
      </c>
      <c r="L632" s="1" t="str">
        <f>Paris!L$142</f>
        <v>P03</v>
      </c>
      <c r="M632" s="1" t="str">
        <f>CONCATENATE(tblCong[[#This Row],[seketCode]],"-",tblCong[[#This Row],[pCode]])</f>
        <v>D02-S10-P03</v>
      </c>
      <c r="N632" s="1" t="str">
        <f>Paris!M$142</f>
        <v>Konkodia</v>
      </c>
      <c r="O632" s="1" t="s">
        <v>575</v>
      </c>
      <c r="P632" s="1" t="s">
        <v>1165</v>
      </c>
    </row>
    <row r="633" spans="6:16" x14ac:dyDescent="0.35">
      <c r="F633" s="1" t="str">
        <f>CONCATENATE(tblCong[[#This Row],[parishCode]],"-",tblCong[[#This Row],[kCode]])</f>
        <v>D02-S10-P03-K06</v>
      </c>
      <c r="G633" s="1" t="str">
        <f>Distrik!F$6</f>
        <v>D02</v>
      </c>
      <c r="H633" s="1" t="str">
        <f>VLOOKUP(tblCong[[#This Row],[distCode]],tblDistrict[#All],2)</f>
        <v>Jabem</v>
      </c>
      <c r="I633" s="1" t="str">
        <f>Seket!I$22</f>
        <v>S10</v>
      </c>
      <c r="J633" s="1" t="str">
        <f>CONCATENATE(tblCong[[#This Row],[distCode]],"-",tblCong[[#This Row],[sCode]])</f>
        <v>D02-S10</v>
      </c>
      <c r="K633" s="1" t="str">
        <f>VLOOKUP(tblCong[[#This Row],[seketCode]],tblSeket[#All],5,FALSE)</f>
        <v>Menyamya</v>
      </c>
      <c r="L633" s="1" t="str">
        <f>Paris!L$142</f>
        <v>P03</v>
      </c>
      <c r="M633" s="1" t="str">
        <f>CONCATENATE(tblCong[[#This Row],[seketCode]],"-",tblCong[[#This Row],[pCode]])</f>
        <v>D02-S10-P03</v>
      </c>
      <c r="N633" s="1" t="str">
        <f>Paris!M$142</f>
        <v>Konkodia</v>
      </c>
      <c r="O633" s="1" t="s">
        <v>576</v>
      </c>
      <c r="P633" s="1" t="s">
        <v>1166</v>
      </c>
    </row>
    <row r="634" spans="6:16" x14ac:dyDescent="0.35">
      <c r="F634" s="1" t="str">
        <f>CONCATENATE(tblCong[[#This Row],[parishCode]],"-",tblCong[[#This Row],[kCode]])</f>
        <v>D02-S10-P03-K07</v>
      </c>
      <c r="G634" s="1" t="str">
        <f>Distrik!F$6</f>
        <v>D02</v>
      </c>
      <c r="H634" s="1" t="str">
        <f>VLOOKUP(tblCong[[#This Row],[distCode]],tblDistrict[#All],2)</f>
        <v>Jabem</v>
      </c>
      <c r="I634" s="1" t="str">
        <f>Seket!I$22</f>
        <v>S10</v>
      </c>
      <c r="J634" s="1" t="str">
        <f>CONCATENATE(tblCong[[#This Row],[distCode]],"-",tblCong[[#This Row],[sCode]])</f>
        <v>D02-S10</v>
      </c>
      <c r="K634" s="1" t="str">
        <f>VLOOKUP(tblCong[[#This Row],[seketCode]],tblSeket[#All],5,FALSE)</f>
        <v>Menyamya</v>
      </c>
      <c r="L634" s="1" t="str">
        <f>Paris!L$142</f>
        <v>P03</v>
      </c>
      <c r="M634" s="1" t="str">
        <f>CONCATENATE(tblCong[[#This Row],[seketCode]],"-",tblCong[[#This Row],[pCode]])</f>
        <v>D02-S10-P03</v>
      </c>
      <c r="N634" s="1" t="str">
        <f>Paris!M$142</f>
        <v>Konkodia</v>
      </c>
      <c r="O634" s="1" t="s">
        <v>578</v>
      </c>
      <c r="P634" s="1" t="s">
        <v>1167</v>
      </c>
    </row>
    <row r="635" spans="6:16" x14ac:dyDescent="0.35">
      <c r="F635" s="1" t="str">
        <f>CONCATENATE(tblCong[[#This Row],[parishCode]],"-",tblCong[[#This Row],[kCode]])</f>
        <v>D02-S10-P04-K01</v>
      </c>
      <c r="G635" s="1" t="str">
        <f>Distrik!F$6</f>
        <v>D02</v>
      </c>
      <c r="H635" s="1" t="str">
        <f>VLOOKUP(tblCong[[#This Row],[distCode]],tblDistrict[#All],2)</f>
        <v>Jabem</v>
      </c>
      <c r="I635" s="1" t="str">
        <f>Seket!I$22</f>
        <v>S10</v>
      </c>
      <c r="J635" s="1" t="str">
        <f>CONCATENATE(tblCong[[#This Row],[distCode]],"-",tblCong[[#This Row],[sCode]])</f>
        <v>D02-S10</v>
      </c>
      <c r="K635" s="1" t="str">
        <f>VLOOKUP(tblCong[[#This Row],[seketCode]],tblSeket[#All],5,FALSE)</f>
        <v>Menyamya</v>
      </c>
      <c r="L635" s="1" t="str">
        <f>Paris!L$143</f>
        <v>P04</v>
      </c>
      <c r="M635" s="1" t="str">
        <f>CONCATENATE(tblCong[[#This Row],[seketCode]],"-",tblCong[[#This Row],[pCode]])</f>
        <v>D02-S10-P04</v>
      </c>
      <c r="N635" s="1" t="str">
        <f>Paris!M$143</f>
        <v>Wapi</v>
      </c>
      <c r="O635" s="1" t="s">
        <v>567</v>
      </c>
      <c r="P635" s="1" t="s">
        <v>1168</v>
      </c>
    </row>
    <row r="636" spans="6:16" x14ac:dyDescent="0.35">
      <c r="F636" s="1" t="str">
        <f>CONCATENATE(tblCong[[#This Row],[parishCode]],"-",tblCong[[#This Row],[kCode]])</f>
        <v>D02-S10-P04-K02</v>
      </c>
      <c r="G636" s="1" t="str">
        <f>Distrik!F$6</f>
        <v>D02</v>
      </c>
      <c r="H636" s="1" t="str">
        <f>VLOOKUP(tblCong[[#This Row],[distCode]],tblDistrict[#All],2)</f>
        <v>Jabem</v>
      </c>
      <c r="I636" s="1" t="str">
        <f>Seket!I$22</f>
        <v>S10</v>
      </c>
      <c r="J636" s="1" t="str">
        <f>CONCATENATE(tblCong[[#This Row],[distCode]],"-",tblCong[[#This Row],[sCode]])</f>
        <v>D02-S10</v>
      </c>
      <c r="K636" s="1" t="str">
        <f>VLOOKUP(tblCong[[#This Row],[seketCode]],tblSeket[#All],5,FALSE)</f>
        <v>Menyamya</v>
      </c>
      <c r="L636" s="1" t="str">
        <f>Paris!L$143</f>
        <v>P04</v>
      </c>
      <c r="M636" s="1" t="str">
        <f>CONCATENATE(tblCong[[#This Row],[seketCode]],"-",tblCong[[#This Row],[pCode]])</f>
        <v>D02-S10-P04</v>
      </c>
      <c r="N636" s="1" t="str">
        <f>Paris!M$143</f>
        <v>Wapi</v>
      </c>
      <c r="O636" s="1" t="s">
        <v>569</v>
      </c>
      <c r="P636" s="1" t="s">
        <v>1169</v>
      </c>
    </row>
    <row r="637" spans="6:16" x14ac:dyDescent="0.35">
      <c r="F637" s="1" t="str">
        <f>CONCATENATE(tblCong[[#This Row],[parishCode]],"-",tblCong[[#This Row],[kCode]])</f>
        <v>D02-S10-P04-K03</v>
      </c>
      <c r="G637" s="1" t="str">
        <f>Distrik!F$6</f>
        <v>D02</v>
      </c>
      <c r="H637" s="1" t="str">
        <f>VLOOKUP(tblCong[[#This Row],[distCode]],tblDistrict[#All],2)</f>
        <v>Jabem</v>
      </c>
      <c r="I637" s="1" t="str">
        <f>Seket!I$22</f>
        <v>S10</v>
      </c>
      <c r="J637" s="1" t="str">
        <f>CONCATENATE(tblCong[[#This Row],[distCode]],"-",tblCong[[#This Row],[sCode]])</f>
        <v>D02-S10</v>
      </c>
      <c r="K637" s="1" t="str">
        <f>VLOOKUP(tblCong[[#This Row],[seketCode]],tblSeket[#All],5,FALSE)</f>
        <v>Menyamya</v>
      </c>
      <c r="L637" s="1" t="str">
        <f>Paris!L$143</f>
        <v>P04</v>
      </c>
      <c r="M637" s="1" t="str">
        <f>CONCATENATE(tblCong[[#This Row],[seketCode]],"-",tblCong[[#This Row],[pCode]])</f>
        <v>D02-S10-P04</v>
      </c>
      <c r="N637" s="1" t="str">
        <f>Paris!M$143</f>
        <v>Wapi</v>
      </c>
      <c r="O637" s="1" t="s">
        <v>571</v>
      </c>
      <c r="P637" s="1" t="s">
        <v>1170</v>
      </c>
    </row>
    <row r="638" spans="6:16" x14ac:dyDescent="0.35">
      <c r="F638" s="1" t="str">
        <f>CONCATENATE(tblCong[[#This Row],[parishCode]],"-",tblCong[[#This Row],[kCode]])</f>
        <v>D02-S10-P04-K04</v>
      </c>
      <c r="G638" s="1" t="str">
        <f>Distrik!F$6</f>
        <v>D02</v>
      </c>
      <c r="H638" s="1" t="str">
        <f>VLOOKUP(tblCong[[#This Row],[distCode]],tblDistrict[#All],2)</f>
        <v>Jabem</v>
      </c>
      <c r="I638" s="1" t="str">
        <f>Seket!I$22</f>
        <v>S10</v>
      </c>
      <c r="J638" s="1" t="str">
        <f>CONCATENATE(tblCong[[#This Row],[distCode]],"-",tblCong[[#This Row],[sCode]])</f>
        <v>D02-S10</v>
      </c>
      <c r="K638" s="1" t="str">
        <f>VLOOKUP(tblCong[[#This Row],[seketCode]],tblSeket[#All],5,FALSE)</f>
        <v>Menyamya</v>
      </c>
      <c r="L638" s="1" t="str">
        <f>Paris!L$143</f>
        <v>P04</v>
      </c>
      <c r="M638" s="1" t="str">
        <f>CONCATENATE(tblCong[[#This Row],[seketCode]],"-",tblCong[[#This Row],[pCode]])</f>
        <v>D02-S10-P04</v>
      </c>
      <c r="N638" s="1" t="str">
        <f>Paris!M$143</f>
        <v>Wapi</v>
      </c>
      <c r="O638" s="1" t="s">
        <v>573</v>
      </c>
      <c r="P638" s="1" t="s">
        <v>1171</v>
      </c>
    </row>
    <row r="639" spans="6:16" x14ac:dyDescent="0.35">
      <c r="F639" s="1" t="str">
        <f>CONCATENATE(tblCong[[#This Row],[parishCode]],"-",tblCong[[#This Row],[kCode]])</f>
        <v>D02-S10-P04-K05</v>
      </c>
      <c r="G639" s="1" t="str">
        <f>Distrik!F$6</f>
        <v>D02</v>
      </c>
      <c r="H639" s="1" t="str">
        <f>VLOOKUP(tblCong[[#This Row],[distCode]],tblDistrict[#All],2)</f>
        <v>Jabem</v>
      </c>
      <c r="I639" s="1" t="str">
        <f>Seket!I$22</f>
        <v>S10</v>
      </c>
      <c r="J639" s="1" t="str">
        <f>CONCATENATE(tblCong[[#This Row],[distCode]],"-",tblCong[[#This Row],[sCode]])</f>
        <v>D02-S10</v>
      </c>
      <c r="K639" s="1" t="str">
        <f>VLOOKUP(tblCong[[#This Row],[seketCode]],tblSeket[#All],5,FALSE)</f>
        <v>Menyamya</v>
      </c>
      <c r="L639" s="1" t="str">
        <f>Paris!L$143</f>
        <v>P04</v>
      </c>
      <c r="M639" s="1" t="str">
        <f>CONCATENATE(tblCong[[#This Row],[seketCode]],"-",tblCong[[#This Row],[pCode]])</f>
        <v>D02-S10-P04</v>
      </c>
      <c r="N639" s="1" t="str">
        <f>Paris!M$143</f>
        <v>Wapi</v>
      </c>
      <c r="O639" s="1" t="s">
        <v>575</v>
      </c>
      <c r="P639" s="1" t="s">
        <v>1172</v>
      </c>
    </row>
    <row r="640" spans="6:16" x14ac:dyDescent="0.35">
      <c r="F640" s="1" t="str">
        <f>CONCATENATE(tblCong[[#This Row],[parishCode]],"-",tblCong[[#This Row],[kCode]])</f>
        <v>D02-S10-P05-K01</v>
      </c>
      <c r="G640" s="1" t="str">
        <f>Distrik!F$6</f>
        <v>D02</v>
      </c>
      <c r="H640" s="1" t="str">
        <f>VLOOKUP(tblCong[[#This Row],[distCode]],tblDistrict[#All],2)</f>
        <v>Jabem</v>
      </c>
      <c r="I640" s="1" t="str">
        <f>Seket!I$22</f>
        <v>S10</v>
      </c>
      <c r="J640" s="1" t="str">
        <f>CONCATENATE(tblCong[[#This Row],[distCode]],"-",tblCong[[#This Row],[sCode]])</f>
        <v>D02-S10</v>
      </c>
      <c r="K640" s="1" t="str">
        <f>VLOOKUP(tblCong[[#This Row],[seketCode]],tblSeket[#All],5,FALSE)</f>
        <v>Menyamya</v>
      </c>
      <c r="L640" s="1" t="str">
        <f>Paris!L$144</f>
        <v>P05</v>
      </c>
      <c r="M640" s="1" t="str">
        <f>CONCATENATE(tblCong[[#This Row],[seketCode]],"-",tblCong[[#This Row],[pCode]])</f>
        <v>D02-S10-P05</v>
      </c>
      <c r="N640" s="1" t="str">
        <f>Paris!M$144</f>
        <v>Himaya</v>
      </c>
      <c r="O640" s="1" t="s">
        <v>567</v>
      </c>
      <c r="P640" s="1" t="s">
        <v>1173</v>
      </c>
    </row>
    <row r="641" spans="6:16" x14ac:dyDescent="0.35">
      <c r="F641" s="1" t="str">
        <f>CONCATENATE(tblCong[[#This Row],[parishCode]],"-",tblCong[[#This Row],[kCode]])</f>
        <v>D02-S10-P05-K02</v>
      </c>
      <c r="G641" s="1" t="str">
        <f>Distrik!F$6</f>
        <v>D02</v>
      </c>
      <c r="H641" s="1" t="str">
        <f>VLOOKUP(tblCong[[#This Row],[distCode]],tblDistrict[#All],2)</f>
        <v>Jabem</v>
      </c>
      <c r="I641" s="1" t="str">
        <f>Seket!I$22</f>
        <v>S10</v>
      </c>
      <c r="J641" s="1" t="str">
        <f>CONCATENATE(tblCong[[#This Row],[distCode]],"-",tblCong[[#This Row],[sCode]])</f>
        <v>D02-S10</v>
      </c>
      <c r="K641" s="1" t="str">
        <f>VLOOKUP(tblCong[[#This Row],[seketCode]],tblSeket[#All],5,FALSE)</f>
        <v>Menyamya</v>
      </c>
      <c r="L641" s="1" t="str">
        <f>Paris!L$144</f>
        <v>P05</v>
      </c>
      <c r="M641" s="1" t="str">
        <f>CONCATENATE(tblCong[[#This Row],[seketCode]],"-",tblCong[[#This Row],[pCode]])</f>
        <v>D02-S10-P05</v>
      </c>
      <c r="N641" s="1" t="str">
        <f>Paris!M$144</f>
        <v>Himaya</v>
      </c>
      <c r="O641" s="1" t="s">
        <v>569</v>
      </c>
      <c r="P641" s="1" t="s">
        <v>1174</v>
      </c>
    </row>
    <row r="642" spans="6:16" x14ac:dyDescent="0.35">
      <c r="F642" s="1" t="str">
        <f>CONCATENATE(tblCong[[#This Row],[parishCode]],"-",tblCong[[#This Row],[kCode]])</f>
        <v>D02-S10-P05-K03</v>
      </c>
      <c r="G642" s="1" t="str">
        <f>Distrik!F$6</f>
        <v>D02</v>
      </c>
      <c r="H642" s="1" t="str">
        <f>VLOOKUP(tblCong[[#This Row],[distCode]],tblDistrict[#All],2)</f>
        <v>Jabem</v>
      </c>
      <c r="I642" s="1" t="str">
        <f>Seket!I$22</f>
        <v>S10</v>
      </c>
      <c r="J642" s="1" t="str">
        <f>CONCATENATE(tblCong[[#This Row],[distCode]],"-",tblCong[[#This Row],[sCode]])</f>
        <v>D02-S10</v>
      </c>
      <c r="K642" s="1" t="str">
        <f>VLOOKUP(tblCong[[#This Row],[seketCode]],tblSeket[#All],5,FALSE)</f>
        <v>Menyamya</v>
      </c>
      <c r="L642" s="1" t="str">
        <f>Paris!L$144</f>
        <v>P05</v>
      </c>
      <c r="M642" s="1" t="str">
        <f>CONCATENATE(tblCong[[#This Row],[seketCode]],"-",tblCong[[#This Row],[pCode]])</f>
        <v>D02-S10-P05</v>
      </c>
      <c r="N642" s="1" t="str">
        <f>Paris!M$144</f>
        <v>Himaya</v>
      </c>
      <c r="O642" s="1" t="s">
        <v>571</v>
      </c>
      <c r="P642" s="1" t="s">
        <v>1175</v>
      </c>
    </row>
    <row r="643" spans="6:16" x14ac:dyDescent="0.35">
      <c r="F643" s="1" t="str">
        <f>CONCATENATE(tblCong[[#This Row],[parishCode]],"-",tblCong[[#This Row],[kCode]])</f>
        <v>D02-S10-P05-K04</v>
      </c>
      <c r="G643" s="1" t="str">
        <f>Distrik!F$6</f>
        <v>D02</v>
      </c>
      <c r="H643" s="1" t="str">
        <f>VLOOKUP(tblCong[[#This Row],[distCode]],tblDistrict[#All],2)</f>
        <v>Jabem</v>
      </c>
      <c r="I643" s="1" t="str">
        <f>Seket!I$22</f>
        <v>S10</v>
      </c>
      <c r="J643" s="1" t="str">
        <f>CONCATENATE(tblCong[[#This Row],[distCode]],"-",tblCong[[#This Row],[sCode]])</f>
        <v>D02-S10</v>
      </c>
      <c r="K643" s="1" t="str">
        <f>VLOOKUP(tblCong[[#This Row],[seketCode]],tblSeket[#All],5,FALSE)</f>
        <v>Menyamya</v>
      </c>
      <c r="L643" s="1" t="str">
        <f>Paris!L$144</f>
        <v>P05</v>
      </c>
      <c r="M643" s="1" t="str">
        <f>CONCATENATE(tblCong[[#This Row],[seketCode]],"-",tblCong[[#This Row],[pCode]])</f>
        <v>D02-S10-P05</v>
      </c>
      <c r="N643" s="1" t="str">
        <f>Paris!M$144</f>
        <v>Himaya</v>
      </c>
      <c r="O643" s="1" t="s">
        <v>573</v>
      </c>
      <c r="P643" s="1" t="s">
        <v>1176</v>
      </c>
    </row>
    <row r="644" spans="6:16" x14ac:dyDescent="0.35">
      <c r="F644" s="1" t="str">
        <f>CONCATENATE(tblCong[[#This Row],[parishCode]],"-",tblCong[[#This Row],[kCode]])</f>
        <v>D02-S10-P05-K05</v>
      </c>
      <c r="G644" s="1" t="str">
        <f>Distrik!F$6</f>
        <v>D02</v>
      </c>
      <c r="H644" s="1" t="str">
        <f>VLOOKUP(tblCong[[#This Row],[distCode]],tblDistrict[#All],2)</f>
        <v>Jabem</v>
      </c>
      <c r="I644" s="1" t="str">
        <f>Seket!I$22</f>
        <v>S10</v>
      </c>
      <c r="J644" s="1" t="str">
        <f>CONCATENATE(tblCong[[#This Row],[distCode]],"-",tblCong[[#This Row],[sCode]])</f>
        <v>D02-S10</v>
      </c>
      <c r="K644" s="1" t="str">
        <f>VLOOKUP(tblCong[[#This Row],[seketCode]],tblSeket[#All],5,FALSE)</f>
        <v>Menyamya</v>
      </c>
      <c r="L644" s="1" t="str">
        <f>Paris!L$144</f>
        <v>P05</v>
      </c>
      <c r="M644" s="1" t="str">
        <f>CONCATENATE(tblCong[[#This Row],[seketCode]],"-",tblCong[[#This Row],[pCode]])</f>
        <v>D02-S10-P05</v>
      </c>
      <c r="N644" s="1" t="str">
        <f>Paris!M$144</f>
        <v>Himaya</v>
      </c>
      <c r="O644" s="1" t="s">
        <v>575</v>
      </c>
      <c r="P644" s="1" t="s">
        <v>1177</v>
      </c>
    </row>
    <row r="645" spans="6:16" x14ac:dyDescent="0.35">
      <c r="F645" s="1" t="str">
        <f>CONCATENATE(tblCong[[#This Row],[parishCode]],"-",tblCong[[#This Row],[kCode]])</f>
        <v>D02-S10-P05-K06</v>
      </c>
      <c r="G645" s="1" t="str">
        <f>Distrik!F$6</f>
        <v>D02</v>
      </c>
      <c r="H645" s="1" t="str">
        <f>VLOOKUP(tblCong[[#This Row],[distCode]],tblDistrict[#All],2)</f>
        <v>Jabem</v>
      </c>
      <c r="I645" s="1" t="str">
        <f>Seket!I$22</f>
        <v>S10</v>
      </c>
      <c r="J645" s="1" t="str">
        <f>CONCATENATE(tblCong[[#This Row],[distCode]],"-",tblCong[[#This Row],[sCode]])</f>
        <v>D02-S10</v>
      </c>
      <c r="K645" s="1" t="str">
        <f>VLOOKUP(tblCong[[#This Row],[seketCode]],tblSeket[#All],5,FALSE)</f>
        <v>Menyamya</v>
      </c>
      <c r="L645" s="1" t="str">
        <f>Paris!L$144</f>
        <v>P05</v>
      </c>
      <c r="M645" s="1" t="str">
        <f>CONCATENATE(tblCong[[#This Row],[seketCode]],"-",tblCong[[#This Row],[pCode]])</f>
        <v>D02-S10-P05</v>
      </c>
      <c r="N645" s="1" t="str">
        <f>Paris!M$144</f>
        <v>Himaya</v>
      </c>
      <c r="O645" s="1" t="s">
        <v>576</v>
      </c>
      <c r="P645" s="1" t="s">
        <v>1178</v>
      </c>
    </row>
    <row r="646" spans="6:16" x14ac:dyDescent="0.35">
      <c r="F646" s="1" t="str">
        <f>CONCATENATE(tblCong[[#This Row],[parishCode]],"-",tblCong[[#This Row],[kCode]])</f>
        <v>D02-S10-P05-K07</v>
      </c>
      <c r="G646" s="1" t="str">
        <f>Distrik!F$6</f>
        <v>D02</v>
      </c>
      <c r="H646" s="1" t="str">
        <f>VLOOKUP(tblCong[[#This Row],[distCode]],tblDistrict[#All],2)</f>
        <v>Jabem</v>
      </c>
      <c r="I646" s="1" t="str">
        <f>Seket!I$22</f>
        <v>S10</v>
      </c>
      <c r="J646" s="1" t="str">
        <f>CONCATENATE(tblCong[[#This Row],[distCode]],"-",tblCong[[#This Row],[sCode]])</f>
        <v>D02-S10</v>
      </c>
      <c r="K646" s="1" t="str">
        <f>VLOOKUP(tblCong[[#This Row],[seketCode]],tblSeket[#All],5,FALSE)</f>
        <v>Menyamya</v>
      </c>
      <c r="L646" s="1" t="str">
        <f>Paris!L$144</f>
        <v>P05</v>
      </c>
      <c r="M646" s="1" t="str">
        <f>CONCATENATE(tblCong[[#This Row],[seketCode]],"-",tblCong[[#This Row],[pCode]])</f>
        <v>D02-S10-P05</v>
      </c>
      <c r="N646" s="1" t="str">
        <f>Paris!M$144</f>
        <v>Himaya</v>
      </c>
      <c r="O646" s="1" t="s">
        <v>578</v>
      </c>
      <c r="P646" s="1" t="s">
        <v>1179</v>
      </c>
    </row>
    <row r="647" spans="6:16" x14ac:dyDescent="0.35">
      <c r="F647" s="1" t="str">
        <f>CONCATENATE(tblCong[[#This Row],[parishCode]],"-",tblCong[[#This Row],[kCode]])</f>
        <v>D02-S10-P06-K01</v>
      </c>
      <c r="G647" s="1" t="str">
        <f>Distrik!F$6</f>
        <v>D02</v>
      </c>
      <c r="H647" s="1" t="str">
        <f>VLOOKUP(tblCong[[#This Row],[distCode]],tblDistrict[#All],2)</f>
        <v>Jabem</v>
      </c>
      <c r="I647" s="1" t="str">
        <f>Seket!I$22</f>
        <v>S10</v>
      </c>
      <c r="J647" s="1" t="str">
        <f>CONCATENATE(tblCong[[#This Row],[distCode]],"-",tblCong[[#This Row],[sCode]])</f>
        <v>D02-S10</v>
      </c>
      <c r="K647" s="1" t="str">
        <f>VLOOKUP(tblCong[[#This Row],[seketCode]],tblSeket[#All],5,FALSE)</f>
        <v>Menyamya</v>
      </c>
      <c r="L647" s="1" t="str">
        <f>Paris!L$145</f>
        <v>P06</v>
      </c>
      <c r="M647" s="1" t="str">
        <f>CONCATENATE(tblCong[[#This Row],[seketCode]],"-",tblCong[[#This Row],[pCode]])</f>
        <v>D02-S10-P06</v>
      </c>
      <c r="N647" s="1" t="str">
        <f>Paris!M$145</f>
        <v>Hakwange</v>
      </c>
      <c r="O647" s="1" t="s">
        <v>567</v>
      </c>
      <c r="P647" s="1" t="s">
        <v>1180</v>
      </c>
    </row>
    <row r="648" spans="6:16" x14ac:dyDescent="0.35">
      <c r="F648" s="1" t="str">
        <f>CONCATENATE(tblCong[[#This Row],[parishCode]],"-",tblCong[[#This Row],[kCode]])</f>
        <v>D02-S10-P06-K02</v>
      </c>
      <c r="G648" s="1" t="str">
        <f>Distrik!F$6</f>
        <v>D02</v>
      </c>
      <c r="H648" s="1" t="str">
        <f>VLOOKUP(tblCong[[#This Row],[distCode]],tblDistrict[#All],2)</f>
        <v>Jabem</v>
      </c>
      <c r="I648" s="1" t="str">
        <f>Seket!I$22</f>
        <v>S10</v>
      </c>
      <c r="J648" s="1" t="str">
        <f>CONCATENATE(tblCong[[#This Row],[distCode]],"-",tblCong[[#This Row],[sCode]])</f>
        <v>D02-S10</v>
      </c>
      <c r="K648" s="1" t="str">
        <f>VLOOKUP(tblCong[[#This Row],[seketCode]],tblSeket[#All],5,FALSE)</f>
        <v>Menyamya</v>
      </c>
      <c r="L648" s="1" t="str">
        <f>Paris!L$145</f>
        <v>P06</v>
      </c>
      <c r="M648" s="1" t="str">
        <f>CONCATENATE(tblCong[[#This Row],[seketCode]],"-",tblCong[[#This Row],[pCode]])</f>
        <v>D02-S10-P06</v>
      </c>
      <c r="N648" s="1" t="str">
        <f>Paris!M$145</f>
        <v>Hakwange</v>
      </c>
      <c r="O648" s="1" t="s">
        <v>569</v>
      </c>
      <c r="P648" s="1" t="s">
        <v>1181</v>
      </c>
    </row>
    <row r="649" spans="6:16" x14ac:dyDescent="0.35">
      <c r="F649" s="1" t="str">
        <f>CONCATENATE(tblCong[[#This Row],[parishCode]],"-",tblCong[[#This Row],[kCode]])</f>
        <v>D02-S10-P07-K01</v>
      </c>
      <c r="G649" s="1" t="str">
        <f>Distrik!F$6</f>
        <v>D02</v>
      </c>
      <c r="H649" s="1" t="str">
        <f>VLOOKUP(tblCong[[#This Row],[distCode]],tblDistrict[#All],2)</f>
        <v>Jabem</v>
      </c>
      <c r="I649" s="1" t="str">
        <f>Seket!I$22</f>
        <v>S10</v>
      </c>
      <c r="J649" s="1" t="str">
        <f>CONCATENATE(tblCong[[#This Row],[distCode]],"-",tblCong[[#This Row],[sCode]])</f>
        <v>D02-S10</v>
      </c>
      <c r="K649" s="1" t="str">
        <f>VLOOKUP(tblCong[[#This Row],[seketCode]],tblSeket[#All],5,FALSE)</f>
        <v>Menyamya</v>
      </c>
      <c r="L649" s="1" t="str">
        <f>Paris!L$146</f>
        <v>P07</v>
      </c>
      <c r="M649" s="1" t="str">
        <f>CONCATENATE(tblCong[[#This Row],[seketCode]],"-",tblCong[[#This Row],[pCode]])</f>
        <v>D02-S10-P07</v>
      </c>
      <c r="N649" s="1" t="str">
        <f>Paris!M$146</f>
        <v>Watama</v>
      </c>
      <c r="O649" s="1" t="s">
        <v>567</v>
      </c>
      <c r="P649" s="1" t="s">
        <v>360</v>
      </c>
    </row>
    <row r="650" spans="6:16" x14ac:dyDescent="0.35">
      <c r="F650" s="1" t="str">
        <f>CONCATENATE(tblCong[[#This Row],[parishCode]],"-",tblCong[[#This Row],[kCode]])</f>
        <v>D02-S10-P07-K02</v>
      </c>
      <c r="G650" s="1" t="str">
        <f>Distrik!F$6</f>
        <v>D02</v>
      </c>
      <c r="H650" s="1" t="str">
        <f>VLOOKUP(tblCong[[#This Row],[distCode]],tblDistrict[#All],2)</f>
        <v>Jabem</v>
      </c>
      <c r="I650" s="1" t="str">
        <f>Seket!I$22</f>
        <v>S10</v>
      </c>
      <c r="J650" s="1" t="str">
        <f>CONCATENATE(tblCong[[#This Row],[distCode]],"-",tblCong[[#This Row],[sCode]])</f>
        <v>D02-S10</v>
      </c>
      <c r="K650" s="1" t="str">
        <f>VLOOKUP(tblCong[[#This Row],[seketCode]],tblSeket[#All],5,FALSE)</f>
        <v>Menyamya</v>
      </c>
      <c r="L650" s="1" t="str">
        <f>Paris!L$146</f>
        <v>P07</v>
      </c>
      <c r="M650" s="1" t="str">
        <f>CONCATENATE(tblCong[[#This Row],[seketCode]],"-",tblCong[[#This Row],[pCode]])</f>
        <v>D02-S10-P07</v>
      </c>
      <c r="N650" s="1" t="str">
        <f>Paris!M$146</f>
        <v>Watama</v>
      </c>
      <c r="O650" s="1" t="s">
        <v>569</v>
      </c>
      <c r="P650" s="1" t="s">
        <v>1182</v>
      </c>
    </row>
    <row r="651" spans="6:16" x14ac:dyDescent="0.35">
      <c r="F651" s="1" t="str">
        <f>CONCATENATE(tblCong[[#This Row],[parishCode]],"-",tblCong[[#This Row],[kCode]])</f>
        <v>D02-S10-P07-K03</v>
      </c>
      <c r="G651" s="1" t="str">
        <f>Distrik!F$6</f>
        <v>D02</v>
      </c>
      <c r="H651" s="1" t="str">
        <f>VLOOKUP(tblCong[[#This Row],[distCode]],tblDistrict[#All],2)</f>
        <v>Jabem</v>
      </c>
      <c r="I651" s="1" t="str">
        <f>Seket!I$22</f>
        <v>S10</v>
      </c>
      <c r="J651" s="1" t="str">
        <f>CONCATENATE(tblCong[[#This Row],[distCode]],"-",tblCong[[#This Row],[sCode]])</f>
        <v>D02-S10</v>
      </c>
      <c r="K651" s="1" t="str">
        <f>VLOOKUP(tblCong[[#This Row],[seketCode]],tblSeket[#All],5,FALSE)</f>
        <v>Menyamya</v>
      </c>
      <c r="L651" s="1" t="str">
        <f>Paris!L$146</f>
        <v>P07</v>
      </c>
      <c r="M651" s="1" t="str">
        <f>CONCATENATE(tblCong[[#This Row],[seketCode]],"-",tblCong[[#This Row],[pCode]])</f>
        <v>D02-S10-P07</v>
      </c>
      <c r="N651" s="1" t="str">
        <f>Paris!M$146</f>
        <v>Watama</v>
      </c>
      <c r="O651" s="1" t="s">
        <v>571</v>
      </c>
      <c r="P651" s="1" t="s">
        <v>1183</v>
      </c>
    </row>
    <row r="652" spans="6:16" x14ac:dyDescent="0.35">
      <c r="F652" s="1" t="str">
        <f>CONCATENATE(tblCong[[#This Row],[parishCode]],"-",tblCong[[#This Row],[kCode]])</f>
        <v>D02-S10-P07-K04</v>
      </c>
      <c r="G652" s="1" t="str">
        <f>Distrik!F$6</f>
        <v>D02</v>
      </c>
      <c r="H652" s="1" t="str">
        <f>VLOOKUP(tblCong[[#This Row],[distCode]],tblDistrict[#All],2)</f>
        <v>Jabem</v>
      </c>
      <c r="I652" s="1" t="str">
        <f>Seket!I$22</f>
        <v>S10</v>
      </c>
      <c r="J652" s="1" t="str">
        <f>CONCATENATE(tblCong[[#This Row],[distCode]],"-",tblCong[[#This Row],[sCode]])</f>
        <v>D02-S10</v>
      </c>
      <c r="K652" s="1" t="str">
        <f>VLOOKUP(tblCong[[#This Row],[seketCode]],tblSeket[#All],5,FALSE)</f>
        <v>Menyamya</v>
      </c>
      <c r="L652" s="1" t="str">
        <f>Paris!L$146</f>
        <v>P07</v>
      </c>
      <c r="M652" s="1" t="str">
        <f>CONCATENATE(tblCong[[#This Row],[seketCode]],"-",tblCong[[#This Row],[pCode]])</f>
        <v>D02-S10-P07</v>
      </c>
      <c r="N652" s="1" t="str">
        <f>Paris!M$146</f>
        <v>Watama</v>
      </c>
      <c r="O652" s="1" t="s">
        <v>573</v>
      </c>
      <c r="P652" s="1" t="s">
        <v>1184</v>
      </c>
    </row>
    <row r="653" spans="6:16" x14ac:dyDescent="0.35">
      <c r="F653" s="1" t="str">
        <f>CONCATENATE(tblCong[[#This Row],[parishCode]],"-",tblCong[[#This Row],[kCode]])</f>
        <v>D02-S10-P08-K01</v>
      </c>
      <c r="G653" s="1" t="str">
        <f>Distrik!F$6</f>
        <v>D02</v>
      </c>
      <c r="H653" s="1" t="str">
        <f>VLOOKUP(tblCong[[#This Row],[distCode]],tblDistrict[#All],2)</f>
        <v>Jabem</v>
      </c>
      <c r="I653" s="1" t="str">
        <f>Seket!I$22</f>
        <v>S10</v>
      </c>
      <c r="J653" s="1" t="str">
        <f>CONCATENATE(tblCong[[#This Row],[distCode]],"-",tblCong[[#This Row],[sCode]])</f>
        <v>D02-S10</v>
      </c>
      <c r="K653" s="1" t="str">
        <f>VLOOKUP(tblCong[[#This Row],[seketCode]],tblSeket[#All],5,FALSE)</f>
        <v>Menyamya</v>
      </c>
      <c r="L653" s="1" t="str">
        <f>Paris!L$147</f>
        <v>P08</v>
      </c>
      <c r="M653" s="1" t="str">
        <f>CONCATENATE(tblCong[[#This Row],[seketCode]],"-",tblCong[[#This Row],[pCode]])</f>
        <v>D02-S10-P08</v>
      </c>
      <c r="N653" s="1" t="str">
        <f>Paris!M$147</f>
        <v>St. John</v>
      </c>
      <c r="O653" s="1" t="s">
        <v>567</v>
      </c>
      <c r="P653" s="1" t="s">
        <v>1185</v>
      </c>
    </row>
    <row r="654" spans="6:16" x14ac:dyDescent="0.35">
      <c r="F654" s="1" t="str">
        <f>CONCATENATE(tblCong[[#This Row],[parishCode]],"-",tblCong[[#This Row],[kCode]])</f>
        <v>D02-S10-P08-K02</v>
      </c>
      <c r="G654" s="1" t="str">
        <f>Distrik!F$6</f>
        <v>D02</v>
      </c>
      <c r="H654" s="1" t="str">
        <f>VLOOKUP(tblCong[[#This Row],[distCode]],tblDistrict[#All],2)</f>
        <v>Jabem</v>
      </c>
      <c r="I654" s="1" t="str">
        <f>Seket!I$22</f>
        <v>S10</v>
      </c>
      <c r="J654" s="1" t="str">
        <f>CONCATENATE(tblCong[[#This Row],[distCode]],"-",tblCong[[#This Row],[sCode]])</f>
        <v>D02-S10</v>
      </c>
      <c r="K654" s="1" t="str">
        <f>VLOOKUP(tblCong[[#This Row],[seketCode]],tblSeket[#All],5,FALSE)</f>
        <v>Menyamya</v>
      </c>
      <c r="L654" s="1" t="str">
        <f>Paris!L$147</f>
        <v>P08</v>
      </c>
      <c r="M654" s="1" t="str">
        <f>CONCATENATE(tblCong[[#This Row],[seketCode]],"-",tblCong[[#This Row],[pCode]])</f>
        <v>D02-S10-P08</v>
      </c>
      <c r="N654" s="1" t="str">
        <f>Paris!M$147</f>
        <v>St. John</v>
      </c>
      <c r="O654" s="1" t="s">
        <v>569</v>
      </c>
      <c r="P654" s="1" t="s">
        <v>1186</v>
      </c>
    </row>
    <row r="655" spans="6:16" x14ac:dyDescent="0.35">
      <c r="F655" s="1" t="str">
        <f>CONCATENATE(tblCong[[#This Row],[parishCode]],"-",tblCong[[#This Row],[kCode]])</f>
        <v>D02-S10-P08-K03</v>
      </c>
      <c r="G655" s="1" t="str">
        <f>Distrik!F$6</f>
        <v>D02</v>
      </c>
      <c r="H655" s="1" t="str">
        <f>VLOOKUP(tblCong[[#This Row],[distCode]],tblDistrict[#All],2)</f>
        <v>Jabem</v>
      </c>
      <c r="I655" s="1" t="str">
        <f>Seket!I$22</f>
        <v>S10</v>
      </c>
      <c r="J655" s="1" t="str">
        <f>CONCATENATE(tblCong[[#This Row],[distCode]],"-",tblCong[[#This Row],[sCode]])</f>
        <v>D02-S10</v>
      </c>
      <c r="K655" s="1" t="str">
        <f>VLOOKUP(tblCong[[#This Row],[seketCode]],tblSeket[#All],5,FALSE)</f>
        <v>Menyamya</v>
      </c>
      <c r="L655" s="1" t="str">
        <f>Paris!L$147</f>
        <v>P08</v>
      </c>
      <c r="M655" s="1" t="str">
        <f>CONCATENATE(tblCong[[#This Row],[seketCode]],"-",tblCong[[#This Row],[pCode]])</f>
        <v>D02-S10-P08</v>
      </c>
      <c r="N655" s="1" t="str">
        <f>Paris!M$147</f>
        <v>St. John</v>
      </c>
      <c r="O655" s="1" t="s">
        <v>571</v>
      </c>
      <c r="P655" s="1" t="s">
        <v>1187</v>
      </c>
    </row>
    <row r="656" spans="6:16" x14ac:dyDescent="0.35">
      <c r="F656" s="1" t="str">
        <f>CONCATENATE(tblCong[[#This Row],[parishCode]],"-",tblCong[[#This Row],[kCode]])</f>
        <v>D02-S10-P08-K04</v>
      </c>
      <c r="G656" s="1" t="str">
        <f>Distrik!F$6</f>
        <v>D02</v>
      </c>
      <c r="H656" s="1" t="str">
        <f>VLOOKUP(tblCong[[#This Row],[distCode]],tblDistrict[#All],2)</f>
        <v>Jabem</v>
      </c>
      <c r="I656" s="1" t="str">
        <f>Seket!I$22</f>
        <v>S10</v>
      </c>
      <c r="J656" s="1" t="str">
        <f>CONCATENATE(tblCong[[#This Row],[distCode]],"-",tblCong[[#This Row],[sCode]])</f>
        <v>D02-S10</v>
      </c>
      <c r="K656" s="1" t="str">
        <f>VLOOKUP(tblCong[[#This Row],[seketCode]],tblSeket[#All],5,FALSE)</f>
        <v>Menyamya</v>
      </c>
      <c r="L656" s="1" t="str">
        <f>Paris!L$147</f>
        <v>P08</v>
      </c>
      <c r="M656" s="1" t="str">
        <f>CONCATENATE(tblCong[[#This Row],[seketCode]],"-",tblCong[[#This Row],[pCode]])</f>
        <v>D02-S10-P08</v>
      </c>
      <c r="N656" s="1" t="str">
        <f>Paris!M$147</f>
        <v>St. John</v>
      </c>
      <c r="O656" s="1" t="s">
        <v>573</v>
      </c>
      <c r="P656" s="1" t="s">
        <v>1188</v>
      </c>
    </row>
    <row r="657" spans="6:16" x14ac:dyDescent="0.35">
      <c r="F657" s="1" t="str">
        <f>CONCATENATE(tblCong[[#This Row],[parishCode]],"-",tblCong[[#This Row],[kCode]])</f>
        <v>D02-S10-P08-K05</v>
      </c>
      <c r="G657" s="1" t="str">
        <f>Distrik!F$6</f>
        <v>D02</v>
      </c>
      <c r="H657" s="1" t="str">
        <f>VLOOKUP(tblCong[[#This Row],[distCode]],tblDistrict[#All],2)</f>
        <v>Jabem</v>
      </c>
      <c r="I657" s="1" t="str">
        <f>Seket!I$22</f>
        <v>S10</v>
      </c>
      <c r="J657" s="1" t="str">
        <f>CONCATENATE(tblCong[[#This Row],[distCode]],"-",tblCong[[#This Row],[sCode]])</f>
        <v>D02-S10</v>
      </c>
      <c r="K657" s="1" t="str">
        <f>VLOOKUP(tblCong[[#This Row],[seketCode]],tblSeket[#All],5,FALSE)</f>
        <v>Menyamya</v>
      </c>
      <c r="L657" s="1" t="str">
        <f>Paris!L$147</f>
        <v>P08</v>
      </c>
      <c r="M657" s="1" t="str">
        <f>CONCATENATE(tblCong[[#This Row],[seketCode]],"-",tblCong[[#This Row],[pCode]])</f>
        <v>D02-S10-P08</v>
      </c>
      <c r="N657" s="1" t="str">
        <f>Paris!M$147</f>
        <v>St. John</v>
      </c>
      <c r="O657" s="1" t="s">
        <v>575</v>
      </c>
      <c r="P657" s="1" t="s">
        <v>1189</v>
      </c>
    </row>
    <row r="658" spans="6:16" x14ac:dyDescent="0.35">
      <c r="F658" s="1" t="str">
        <f>CONCATENATE(tblCong[[#This Row],[parishCode]],"-",tblCong[[#This Row],[kCode]])</f>
        <v>D02-S10-P08-K06</v>
      </c>
      <c r="G658" s="1" t="str">
        <f>Distrik!F$6</f>
        <v>D02</v>
      </c>
      <c r="H658" s="1" t="str">
        <f>VLOOKUP(tblCong[[#This Row],[distCode]],tblDistrict[#All],2)</f>
        <v>Jabem</v>
      </c>
      <c r="I658" s="1" t="str">
        <f>Seket!I$22</f>
        <v>S10</v>
      </c>
      <c r="J658" s="1" t="str">
        <f>CONCATENATE(tblCong[[#This Row],[distCode]],"-",tblCong[[#This Row],[sCode]])</f>
        <v>D02-S10</v>
      </c>
      <c r="K658" s="1" t="str">
        <f>VLOOKUP(tblCong[[#This Row],[seketCode]],tblSeket[#All],5,FALSE)</f>
        <v>Menyamya</v>
      </c>
      <c r="L658" s="1" t="str">
        <f>Paris!L$147</f>
        <v>P08</v>
      </c>
      <c r="M658" s="1" t="str">
        <f>CONCATENATE(tblCong[[#This Row],[seketCode]],"-",tblCong[[#This Row],[pCode]])</f>
        <v>D02-S10-P08</v>
      </c>
      <c r="N658" s="1" t="str">
        <f>Paris!M$147</f>
        <v>St. John</v>
      </c>
      <c r="O658" s="1" t="s">
        <v>576</v>
      </c>
      <c r="P658" s="1" t="s">
        <v>1190</v>
      </c>
    </row>
    <row r="659" spans="6:16" x14ac:dyDescent="0.35">
      <c r="F659" s="1" t="str">
        <f>CONCATENATE(tblCong[[#This Row],[parishCode]],"-",tblCong[[#This Row],[kCode]])</f>
        <v>D02-S10-P08-K07</v>
      </c>
      <c r="G659" s="1" t="str">
        <f>Distrik!F$6</f>
        <v>D02</v>
      </c>
      <c r="H659" s="1" t="str">
        <f>VLOOKUP(tblCong[[#This Row],[distCode]],tblDistrict[#All],2)</f>
        <v>Jabem</v>
      </c>
      <c r="I659" s="1" t="str">
        <f>Seket!I$22</f>
        <v>S10</v>
      </c>
      <c r="J659" s="1" t="str">
        <f>CONCATENATE(tblCong[[#This Row],[distCode]],"-",tblCong[[#This Row],[sCode]])</f>
        <v>D02-S10</v>
      </c>
      <c r="K659" s="1" t="str">
        <f>VLOOKUP(tblCong[[#This Row],[seketCode]],tblSeket[#All],5,FALSE)</f>
        <v>Menyamya</v>
      </c>
      <c r="L659" s="1" t="str">
        <f>Paris!L$147</f>
        <v>P08</v>
      </c>
      <c r="M659" s="1" t="str">
        <f>CONCATENATE(tblCong[[#This Row],[seketCode]],"-",tblCong[[#This Row],[pCode]])</f>
        <v>D02-S10-P08</v>
      </c>
      <c r="N659" s="1" t="str">
        <f>Paris!M$147</f>
        <v>St. John</v>
      </c>
      <c r="O659" s="1" t="s">
        <v>578</v>
      </c>
      <c r="P659" s="1" t="s">
        <v>1191</v>
      </c>
    </row>
    <row r="660" spans="6:16" x14ac:dyDescent="0.35">
      <c r="F660" s="1" t="str">
        <f>CONCATENATE(tblCong[[#This Row],[parishCode]],"-",tblCong[[#This Row],[kCode]])</f>
        <v>D02-S10-P08-K08</v>
      </c>
      <c r="G660" s="1" t="str">
        <f>Distrik!F$6</f>
        <v>D02</v>
      </c>
      <c r="H660" s="1" t="str">
        <f>VLOOKUP(tblCong[[#This Row],[distCode]],tblDistrict[#All],2)</f>
        <v>Jabem</v>
      </c>
      <c r="I660" s="1" t="str">
        <f>Seket!I$22</f>
        <v>S10</v>
      </c>
      <c r="J660" s="1" t="str">
        <f>CONCATENATE(tblCong[[#This Row],[distCode]],"-",tblCong[[#This Row],[sCode]])</f>
        <v>D02-S10</v>
      </c>
      <c r="K660" s="1" t="str">
        <f>VLOOKUP(tblCong[[#This Row],[seketCode]],tblSeket[#All],5,FALSE)</f>
        <v>Menyamya</v>
      </c>
      <c r="L660" s="1" t="str">
        <f>Paris!L$147</f>
        <v>P08</v>
      </c>
      <c r="M660" s="1" t="str">
        <f>CONCATENATE(tblCong[[#This Row],[seketCode]],"-",tblCong[[#This Row],[pCode]])</f>
        <v>D02-S10-P08</v>
      </c>
      <c r="N660" s="1" t="str">
        <f>Paris!M$147</f>
        <v>St. John</v>
      </c>
      <c r="O660" s="1" t="s">
        <v>651</v>
      </c>
      <c r="P660" s="1" t="s">
        <v>1192</v>
      </c>
    </row>
    <row r="661" spans="6:16" x14ac:dyDescent="0.35">
      <c r="F661" s="1" t="str">
        <f>CONCATENATE(tblCong[[#This Row],[parishCode]],"-",tblCong[[#This Row],[kCode]])</f>
        <v>D02-S10-P09-K01</v>
      </c>
      <c r="G661" s="1" t="str">
        <f>Distrik!F$6</f>
        <v>D02</v>
      </c>
      <c r="H661" s="1" t="str">
        <f>VLOOKUP(tblCong[[#This Row],[distCode]],tblDistrict[#All],2)</f>
        <v>Jabem</v>
      </c>
      <c r="I661" s="1" t="str">
        <f>Seket!I$22</f>
        <v>S10</v>
      </c>
      <c r="J661" s="1" t="str">
        <f>CONCATENATE(tblCong[[#This Row],[distCode]],"-",tblCong[[#This Row],[sCode]])</f>
        <v>D02-S10</v>
      </c>
      <c r="K661" s="1" t="str">
        <f>VLOOKUP(tblCong[[#This Row],[seketCode]],tblSeket[#All],5,FALSE)</f>
        <v>Menyamya</v>
      </c>
      <c r="L661" s="1" t="str">
        <f>Paris!L$148</f>
        <v>P09</v>
      </c>
      <c r="M661" s="1" t="str">
        <f>CONCATENATE(tblCong[[#This Row],[seketCode]],"-",tblCong[[#This Row],[pCode]])</f>
        <v>D02-S10-P09</v>
      </c>
      <c r="N661" s="1" t="str">
        <f>Paris!M$148</f>
        <v>Sikong</v>
      </c>
      <c r="O661" s="1" t="s">
        <v>567</v>
      </c>
      <c r="P661" s="1" t="s">
        <v>1193</v>
      </c>
    </row>
    <row r="662" spans="6:16" x14ac:dyDescent="0.35">
      <c r="F662" s="1" t="str">
        <f>CONCATENATE(tblCong[[#This Row],[parishCode]],"-",tblCong[[#This Row],[kCode]])</f>
        <v>D02-S10-P09-K02</v>
      </c>
      <c r="G662" s="1" t="str">
        <f>Distrik!F$6</f>
        <v>D02</v>
      </c>
      <c r="H662" s="1" t="str">
        <f>VLOOKUP(tblCong[[#This Row],[distCode]],tblDistrict[#All],2)</f>
        <v>Jabem</v>
      </c>
      <c r="I662" s="1" t="str">
        <f>Seket!I$22</f>
        <v>S10</v>
      </c>
      <c r="J662" s="1" t="str">
        <f>CONCATENATE(tblCong[[#This Row],[distCode]],"-",tblCong[[#This Row],[sCode]])</f>
        <v>D02-S10</v>
      </c>
      <c r="K662" s="1" t="str">
        <f>VLOOKUP(tblCong[[#This Row],[seketCode]],tblSeket[#All],5,FALSE)</f>
        <v>Menyamya</v>
      </c>
      <c r="L662" s="1" t="str">
        <f>Paris!L$148</f>
        <v>P09</v>
      </c>
      <c r="M662" s="1" t="str">
        <f>CONCATENATE(tblCong[[#This Row],[seketCode]],"-",tblCong[[#This Row],[pCode]])</f>
        <v>D02-S10-P09</v>
      </c>
      <c r="N662" s="1" t="str">
        <f>Paris!M$148</f>
        <v>Sikong</v>
      </c>
      <c r="O662" s="1" t="s">
        <v>569</v>
      </c>
      <c r="P662" s="1" t="s">
        <v>1194</v>
      </c>
    </row>
    <row r="663" spans="6:16" x14ac:dyDescent="0.35">
      <c r="F663" s="1" t="str">
        <f>CONCATENATE(tblCong[[#This Row],[parishCode]],"-",tblCong[[#This Row],[kCode]])</f>
        <v>D02-S10-P09-K03</v>
      </c>
      <c r="G663" s="1" t="str">
        <f>Distrik!F$6</f>
        <v>D02</v>
      </c>
      <c r="H663" s="1" t="str">
        <f>VLOOKUP(tblCong[[#This Row],[distCode]],tblDistrict[#All],2)</f>
        <v>Jabem</v>
      </c>
      <c r="I663" s="1" t="str">
        <f>Seket!I$22</f>
        <v>S10</v>
      </c>
      <c r="J663" s="1" t="str">
        <f>CONCATENATE(tblCong[[#This Row],[distCode]],"-",tblCong[[#This Row],[sCode]])</f>
        <v>D02-S10</v>
      </c>
      <c r="K663" s="1" t="str">
        <f>VLOOKUP(tblCong[[#This Row],[seketCode]],tblSeket[#All],5,FALSE)</f>
        <v>Menyamya</v>
      </c>
      <c r="L663" s="1" t="str">
        <f>Paris!L$148</f>
        <v>P09</v>
      </c>
      <c r="M663" s="1" t="str">
        <f>CONCATENATE(tblCong[[#This Row],[seketCode]],"-",tblCong[[#This Row],[pCode]])</f>
        <v>D02-S10-P09</v>
      </c>
      <c r="N663" s="1" t="str">
        <f>Paris!M$148</f>
        <v>Sikong</v>
      </c>
      <c r="O663" s="1" t="s">
        <v>571</v>
      </c>
      <c r="P663" s="1" t="s">
        <v>311</v>
      </c>
    </row>
    <row r="664" spans="6:16" x14ac:dyDescent="0.35">
      <c r="F664" s="1" t="str">
        <f>CONCATENATE(tblCong[[#This Row],[parishCode]],"-",tblCong[[#This Row],[kCode]])</f>
        <v>D02-S10-P09-K04</v>
      </c>
      <c r="G664" s="1" t="str">
        <f>Distrik!F$6</f>
        <v>D02</v>
      </c>
      <c r="H664" s="1" t="str">
        <f>VLOOKUP(tblCong[[#This Row],[distCode]],tblDistrict[#All],2)</f>
        <v>Jabem</v>
      </c>
      <c r="I664" s="1" t="str">
        <f>Seket!I$22</f>
        <v>S10</v>
      </c>
      <c r="J664" s="1" t="str">
        <f>CONCATENATE(tblCong[[#This Row],[distCode]],"-",tblCong[[#This Row],[sCode]])</f>
        <v>D02-S10</v>
      </c>
      <c r="K664" s="1" t="str">
        <f>VLOOKUP(tblCong[[#This Row],[seketCode]],tblSeket[#All],5,FALSE)</f>
        <v>Menyamya</v>
      </c>
      <c r="L664" s="1" t="str">
        <f>Paris!L$148</f>
        <v>P09</v>
      </c>
      <c r="M664" s="1" t="str">
        <f>CONCATENATE(tblCong[[#This Row],[seketCode]],"-",tblCong[[#This Row],[pCode]])</f>
        <v>D02-S10-P09</v>
      </c>
      <c r="N664" s="1" t="str">
        <f>Paris!M$148</f>
        <v>Sikong</v>
      </c>
      <c r="O664" s="1" t="s">
        <v>573</v>
      </c>
      <c r="P664" s="1" t="s">
        <v>308</v>
      </c>
    </row>
    <row r="665" spans="6:16" x14ac:dyDescent="0.35">
      <c r="F665" s="1" t="str">
        <f>CONCATENATE(tblCong[[#This Row],[parishCode]],"-",tblCong[[#This Row],[kCode]])</f>
        <v>D02-S10-P10-K01</v>
      </c>
      <c r="G665" s="1" t="str">
        <f>Distrik!F$6</f>
        <v>D02</v>
      </c>
      <c r="H665" s="1" t="str">
        <f>VLOOKUP(tblCong[[#This Row],[distCode]],tblDistrict[#All],2)</f>
        <v>Jabem</v>
      </c>
      <c r="I665" s="1" t="str">
        <f>Seket!I$22</f>
        <v>S10</v>
      </c>
      <c r="J665" s="1" t="str">
        <f>CONCATENATE(tblCong[[#This Row],[distCode]],"-",tblCong[[#This Row],[sCode]])</f>
        <v>D02-S10</v>
      </c>
      <c r="K665" s="1" t="str">
        <f>VLOOKUP(tblCong[[#This Row],[seketCode]],tblSeket[#All],5,FALSE)</f>
        <v>Menyamya</v>
      </c>
      <c r="L665" s="1" t="str">
        <f>Paris!L$149</f>
        <v>P10</v>
      </c>
      <c r="M665" s="1" t="str">
        <f>CONCATENATE(tblCong[[#This Row],[seketCode]],"-",tblCong[[#This Row],[pCode]])</f>
        <v>D02-S10-P10</v>
      </c>
      <c r="N665" s="1" t="str">
        <f>Paris!M$149</f>
        <v>Kapo</v>
      </c>
      <c r="O665" s="1" t="s">
        <v>567</v>
      </c>
      <c r="P665" s="1" t="s">
        <v>1195</v>
      </c>
    </row>
    <row r="666" spans="6:16" x14ac:dyDescent="0.35">
      <c r="F666" s="1" t="str">
        <f>CONCATENATE(tblCong[[#This Row],[parishCode]],"-",tblCong[[#This Row],[kCode]])</f>
        <v>D02-S10-P10-K02</v>
      </c>
      <c r="G666" s="1" t="str">
        <f>Distrik!F$6</f>
        <v>D02</v>
      </c>
      <c r="H666" s="1" t="str">
        <f>VLOOKUP(tblCong[[#This Row],[distCode]],tblDistrict[#All],2)</f>
        <v>Jabem</v>
      </c>
      <c r="I666" s="1" t="str">
        <f>Seket!I$22</f>
        <v>S10</v>
      </c>
      <c r="J666" s="1" t="str">
        <f>CONCATENATE(tblCong[[#This Row],[distCode]],"-",tblCong[[#This Row],[sCode]])</f>
        <v>D02-S10</v>
      </c>
      <c r="K666" s="1" t="str">
        <f>VLOOKUP(tblCong[[#This Row],[seketCode]],tblSeket[#All],5,FALSE)</f>
        <v>Menyamya</v>
      </c>
      <c r="L666" s="1" t="str">
        <f>Paris!L$149</f>
        <v>P10</v>
      </c>
      <c r="M666" s="1" t="str">
        <f>CONCATENATE(tblCong[[#This Row],[seketCode]],"-",tblCong[[#This Row],[pCode]])</f>
        <v>D02-S10-P10</v>
      </c>
      <c r="N666" s="1" t="str">
        <f>Paris!M$149</f>
        <v>Kapo</v>
      </c>
      <c r="O666" s="1" t="s">
        <v>569</v>
      </c>
      <c r="P666" s="1" t="s">
        <v>1196</v>
      </c>
    </row>
    <row r="667" spans="6:16" x14ac:dyDescent="0.35">
      <c r="F667" s="1" t="str">
        <f>CONCATENATE(tblCong[[#This Row],[parishCode]],"-",tblCong[[#This Row],[kCode]])</f>
        <v>D02-S10-P10-K03</v>
      </c>
      <c r="G667" s="1" t="str">
        <f>Distrik!F$6</f>
        <v>D02</v>
      </c>
      <c r="H667" s="1" t="str">
        <f>VLOOKUP(tblCong[[#This Row],[distCode]],tblDistrict[#All],2)</f>
        <v>Jabem</v>
      </c>
      <c r="I667" s="1" t="str">
        <f>Seket!I$22</f>
        <v>S10</v>
      </c>
      <c r="J667" s="1" t="str">
        <f>CONCATENATE(tblCong[[#This Row],[distCode]],"-",tblCong[[#This Row],[sCode]])</f>
        <v>D02-S10</v>
      </c>
      <c r="K667" s="1" t="str">
        <f>VLOOKUP(tblCong[[#This Row],[seketCode]],tblSeket[#All],5,FALSE)</f>
        <v>Menyamya</v>
      </c>
      <c r="L667" s="1" t="str">
        <f>Paris!L$149</f>
        <v>P10</v>
      </c>
      <c r="M667" s="1" t="str">
        <f>CONCATENATE(tblCong[[#This Row],[seketCode]],"-",tblCong[[#This Row],[pCode]])</f>
        <v>D02-S10-P10</v>
      </c>
      <c r="N667" s="1" t="str">
        <f>Paris!M$149</f>
        <v>Kapo</v>
      </c>
      <c r="O667" s="1" t="s">
        <v>571</v>
      </c>
      <c r="P667" s="1" t="s">
        <v>1197</v>
      </c>
    </row>
    <row r="668" spans="6:16" x14ac:dyDescent="0.35">
      <c r="F668" s="1" t="str">
        <f>CONCATENATE(tblCong[[#This Row],[parishCode]],"-",tblCong[[#This Row],[kCode]])</f>
        <v>D02-S10-P10-K04</v>
      </c>
      <c r="G668" s="1" t="str">
        <f>Distrik!F$6</f>
        <v>D02</v>
      </c>
      <c r="H668" s="1" t="str">
        <f>VLOOKUP(tblCong[[#This Row],[distCode]],tblDistrict[#All],2)</f>
        <v>Jabem</v>
      </c>
      <c r="I668" s="1" t="str">
        <f>Seket!I$22</f>
        <v>S10</v>
      </c>
      <c r="J668" s="1" t="str">
        <f>CONCATENATE(tblCong[[#This Row],[distCode]],"-",tblCong[[#This Row],[sCode]])</f>
        <v>D02-S10</v>
      </c>
      <c r="K668" s="1" t="str">
        <f>VLOOKUP(tblCong[[#This Row],[seketCode]],tblSeket[#All],5,FALSE)</f>
        <v>Menyamya</v>
      </c>
      <c r="L668" s="1" t="str">
        <f>Paris!L$149</f>
        <v>P10</v>
      </c>
      <c r="M668" s="1" t="str">
        <f>CONCATENATE(tblCong[[#This Row],[seketCode]],"-",tblCong[[#This Row],[pCode]])</f>
        <v>D02-S10-P10</v>
      </c>
      <c r="N668" s="1" t="str">
        <f>Paris!M$149</f>
        <v>Kapo</v>
      </c>
      <c r="O668" s="1" t="s">
        <v>573</v>
      </c>
      <c r="P668" s="1" t="s">
        <v>1198</v>
      </c>
    </row>
    <row r="669" spans="6:16" x14ac:dyDescent="0.35">
      <c r="F669" s="1" t="str">
        <f>CONCATENATE(tblCong[[#This Row],[parishCode]],"-",tblCong[[#This Row],[kCode]])</f>
        <v>D02-S10-P10-K05</v>
      </c>
      <c r="G669" s="1" t="str">
        <f>Distrik!F$6</f>
        <v>D02</v>
      </c>
      <c r="H669" s="1" t="str">
        <f>VLOOKUP(tblCong[[#This Row],[distCode]],tblDistrict[#All],2)</f>
        <v>Jabem</v>
      </c>
      <c r="I669" s="1" t="str">
        <f>Seket!I$22</f>
        <v>S10</v>
      </c>
      <c r="J669" s="1" t="str">
        <f>CONCATENATE(tblCong[[#This Row],[distCode]],"-",tblCong[[#This Row],[sCode]])</f>
        <v>D02-S10</v>
      </c>
      <c r="K669" s="1" t="str">
        <f>VLOOKUP(tblCong[[#This Row],[seketCode]],tblSeket[#All],5,FALSE)</f>
        <v>Menyamya</v>
      </c>
      <c r="L669" s="1" t="str">
        <f>Paris!L$149</f>
        <v>P10</v>
      </c>
      <c r="M669" s="1" t="str">
        <f>CONCATENATE(tblCong[[#This Row],[seketCode]],"-",tblCong[[#This Row],[pCode]])</f>
        <v>D02-S10-P10</v>
      </c>
      <c r="N669" s="1" t="str">
        <f>Paris!M$149</f>
        <v>Kapo</v>
      </c>
      <c r="O669" s="1" t="s">
        <v>575</v>
      </c>
      <c r="P669" s="1" t="s">
        <v>1199</v>
      </c>
    </row>
    <row r="670" spans="6:16" x14ac:dyDescent="0.35">
      <c r="F670" s="1" t="str">
        <f>CONCATENATE(tblCong[[#This Row],[parishCode]],"-",tblCong[[#This Row],[kCode]])</f>
        <v>D02-S10-P11-K01</v>
      </c>
      <c r="G670" s="1" t="str">
        <f>Distrik!F$6</f>
        <v>D02</v>
      </c>
      <c r="H670" s="1" t="str">
        <f>VLOOKUP(tblCong[[#This Row],[distCode]],tblDistrict[#All],2)</f>
        <v>Jabem</v>
      </c>
      <c r="I670" s="1" t="str">
        <f>Seket!I$22</f>
        <v>S10</v>
      </c>
      <c r="J670" s="1" t="str">
        <f>CONCATENATE(tblCong[[#This Row],[distCode]],"-",tblCong[[#This Row],[sCode]])</f>
        <v>D02-S10</v>
      </c>
      <c r="K670" s="1" t="str">
        <f>VLOOKUP(tblCong[[#This Row],[seketCode]],tblSeket[#All],5,FALSE)</f>
        <v>Menyamya</v>
      </c>
      <c r="L670" s="1" t="str">
        <f>Paris!L$150</f>
        <v>P11</v>
      </c>
      <c r="M670" s="1" t="str">
        <f>CONCATENATE(tblCong[[#This Row],[seketCode]],"-",tblCong[[#This Row],[pCode]])</f>
        <v>D02-S10-P11</v>
      </c>
      <c r="N670" s="1" t="str">
        <f>Paris!M$150</f>
        <v>Tsewi</v>
      </c>
      <c r="O670" s="1" t="s">
        <v>567</v>
      </c>
      <c r="P670" s="1" t="s">
        <v>1200</v>
      </c>
    </row>
    <row r="671" spans="6:16" x14ac:dyDescent="0.35">
      <c r="F671" s="1" t="str">
        <f>CONCATENATE(tblCong[[#This Row],[parishCode]],"-",tblCong[[#This Row],[kCode]])</f>
        <v>D02-S10-P11-K02</v>
      </c>
      <c r="G671" s="1" t="str">
        <f>Distrik!F$6</f>
        <v>D02</v>
      </c>
      <c r="H671" s="1" t="str">
        <f>VLOOKUP(tblCong[[#This Row],[distCode]],tblDistrict[#All],2)</f>
        <v>Jabem</v>
      </c>
      <c r="I671" s="1" t="str">
        <f>Seket!I$22</f>
        <v>S10</v>
      </c>
      <c r="J671" s="1" t="str">
        <f>CONCATENATE(tblCong[[#This Row],[distCode]],"-",tblCong[[#This Row],[sCode]])</f>
        <v>D02-S10</v>
      </c>
      <c r="K671" s="1" t="str">
        <f>VLOOKUP(tblCong[[#This Row],[seketCode]],tblSeket[#All],5,FALSE)</f>
        <v>Menyamya</v>
      </c>
      <c r="L671" s="1" t="str">
        <f>Paris!L$150</f>
        <v>P11</v>
      </c>
      <c r="M671" s="1" t="str">
        <f>CONCATENATE(tblCong[[#This Row],[seketCode]],"-",tblCong[[#This Row],[pCode]])</f>
        <v>D02-S10-P11</v>
      </c>
      <c r="N671" s="1" t="str">
        <f>Paris!M$150</f>
        <v>Tsewi</v>
      </c>
      <c r="O671" s="1" t="s">
        <v>569</v>
      </c>
      <c r="P671" s="1" t="s">
        <v>1201</v>
      </c>
    </row>
    <row r="672" spans="6:16" x14ac:dyDescent="0.35">
      <c r="F672" s="1" t="str">
        <f>CONCATENATE(tblCong[[#This Row],[parishCode]],"-",tblCong[[#This Row],[kCode]])</f>
        <v>D02-S10-P12-K01</v>
      </c>
      <c r="G672" s="1" t="str">
        <f>Distrik!F$6</f>
        <v>D02</v>
      </c>
      <c r="H672" s="1" t="str">
        <f>VLOOKUP(tblCong[[#This Row],[distCode]],tblDistrict[#All],2)</f>
        <v>Jabem</v>
      </c>
      <c r="I672" s="1" t="str">
        <f>Seket!I$22</f>
        <v>S10</v>
      </c>
      <c r="J672" s="1" t="str">
        <f>CONCATENATE(tblCong[[#This Row],[distCode]],"-",tblCong[[#This Row],[sCode]])</f>
        <v>D02-S10</v>
      </c>
      <c r="K672" s="1" t="str">
        <f>VLOOKUP(tblCong[[#This Row],[seketCode]],tblSeket[#All],5,FALSE)</f>
        <v>Menyamya</v>
      </c>
      <c r="L672" s="1" t="str">
        <f>Paris!L$151</f>
        <v>P12</v>
      </c>
      <c r="M672" s="1" t="str">
        <f>CONCATENATE(tblCong[[#This Row],[seketCode]],"-",tblCong[[#This Row],[pCode]])</f>
        <v>D02-S10-P12</v>
      </c>
      <c r="N672" s="1" t="str">
        <f>Paris!M$151</f>
        <v>Kwaplalim</v>
      </c>
      <c r="O672" s="1" t="s">
        <v>567</v>
      </c>
      <c r="P672" s="1" t="s">
        <v>1202</v>
      </c>
    </row>
    <row r="673" spans="6:16" x14ac:dyDescent="0.35">
      <c r="F673" s="1" t="str">
        <f>CONCATENATE(tblCong[[#This Row],[parishCode]],"-",tblCong[[#This Row],[kCode]])</f>
        <v>D02-S10-P12-K02</v>
      </c>
      <c r="G673" s="1" t="str">
        <f>Distrik!F$6</f>
        <v>D02</v>
      </c>
      <c r="H673" s="1" t="str">
        <f>VLOOKUP(tblCong[[#This Row],[distCode]],tblDistrict[#All],2)</f>
        <v>Jabem</v>
      </c>
      <c r="I673" s="1" t="str">
        <f>Seket!I$22</f>
        <v>S10</v>
      </c>
      <c r="J673" s="1" t="str">
        <f>CONCATENATE(tblCong[[#This Row],[distCode]],"-",tblCong[[#This Row],[sCode]])</f>
        <v>D02-S10</v>
      </c>
      <c r="K673" s="1" t="str">
        <f>VLOOKUP(tblCong[[#This Row],[seketCode]],tblSeket[#All],5,FALSE)</f>
        <v>Menyamya</v>
      </c>
      <c r="L673" s="1" t="str">
        <f>Paris!L$151</f>
        <v>P12</v>
      </c>
      <c r="M673" s="1" t="str">
        <f>CONCATENATE(tblCong[[#This Row],[seketCode]],"-",tblCong[[#This Row],[pCode]])</f>
        <v>D02-S10-P12</v>
      </c>
      <c r="N673" s="1" t="str">
        <f>Paris!M$151</f>
        <v>Kwaplalim</v>
      </c>
      <c r="O673" s="1" t="s">
        <v>569</v>
      </c>
      <c r="P673" s="1" t="s">
        <v>1203</v>
      </c>
    </row>
    <row r="674" spans="6:16" x14ac:dyDescent="0.35">
      <c r="F674" s="1" t="str">
        <f>CONCATENATE(tblCong[[#This Row],[parishCode]],"-",tblCong[[#This Row],[kCode]])</f>
        <v>D02-S10-P12-K03</v>
      </c>
      <c r="G674" s="1" t="str">
        <f>Distrik!F$6</f>
        <v>D02</v>
      </c>
      <c r="H674" s="1" t="str">
        <f>VLOOKUP(tblCong[[#This Row],[distCode]],tblDistrict[#All],2)</f>
        <v>Jabem</v>
      </c>
      <c r="I674" s="1" t="str">
        <f>Seket!I$22</f>
        <v>S10</v>
      </c>
      <c r="J674" s="1" t="str">
        <f>CONCATENATE(tblCong[[#This Row],[distCode]],"-",tblCong[[#This Row],[sCode]])</f>
        <v>D02-S10</v>
      </c>
      <c r="K674" s="1" t="str">
        <f>VLOOKUP(tblCong[[#This Row],[seketCode]],tblSeket[#All],5,FALSE)</f>
        <v>Menyamya</v>
      </c>
      <c r="L674" s="1" t="str">
        <f>Paris!L$151</f>
        <v>P12</v>
      </c>
      <c r="M674" s="1" t="str">
        <f>CONCATENATE(tblCong[[#This Row],[seketCode]],"-",tblCong[[#This Row],[pCode]])</f>
        <v>D02-S10-P12</v>
      </c>
      <c r="N674" s="1" t="str">
        <f>Paris!M$151</f>
        <v>Kwaplalim</v>
      </c>
      <c r="O674" s="1" t="s">
        <v>571</v>
      </c>
      <c r="P674" s="1" t="s">
        <v>1204</v>
      </c>
    </row>
    <row r="675" spans="6:16" x14ac:dyDescent="0.35">
      <c r="F675" s="1" t="str">
        <f>CONCATENATE(tblCong[[#This Row],[parishCode]],"-",tblCong[[#This Row],[kCode]])</f>
        <v>D02-S10-P13-K01</v>
      </c>
      <c r="G675" s="1" t="str">
        <f>Distrik!F$6</f>
        <v>D02</v>
      </c>
      <c r="H675" s="1" t="str">
        <f>VLOOKUP(tblCong[[#This Row],[distCode]],tblDistrict[#All],2)</f>
        <v>Jabem</v>
      </c>
      <c r="I675" s="1" t="str">
        <f>Seket!I$22</f>
        <v>S10</v>
      </c>
      <c r="J675" s="1" t="str">
        <f>CONCATENATE(tblCong[[#This Row],[distCode]],"-",tblCong[[#This Row],[sCode]])</f>
        <v>D02-S10</v>
      </c>
      <c r="K675" s="1" t="str">
        <f>VLOOKUP(tblCong[[#This Row],[seketCode]],tblSeket[#All],5,FALSE)</f>
        <v>Menyamya</v>
      </c>
      <c r="L675" s="1" t="str">
        <f>Paris!L$152</f>
        <v>P13</v>
      </c>
      <c r="M675" s="1" t="str">
        <f>CONCATENATE(tblCong[[#This Row],[seketCode]],"-",tblCong[[#This Row],[pCode]])</f>
        <v>D02-S10-P13</v>
      </c>
      <c r="N675" s="1" t="str">
        <f>Paris!M$152</f>
        <v>Jai</v>
      </c>
      <c r="O675" s="1" t="s">
        <v>567</v>
      </c>
      <c r="P675" s="1" t="s">
        <v>1205</v>
      </c>
    </row>
    <row r="676" spans="6:16" x14ac:dyDescent="0.35">
      <c r="F676" s="1" t="str">
        <f>CONCATENATE(tblCong[[#This Row],[parishCode]],"-",tblCong[[#This Row],[kCode]])</f>
        <v>D02-S10-P13-K02</v>
      </c>
      <c r="G676" s="1" t="str">
        <f>Distrik!F$6</f>
        <v>D02</v>
      </c>
      <c r="H676" s="1" t="str">
        <f>VLOOKUP(tblCong[[#This Row],[distCode]],tblDistrict[#All],2)</f>
        <v>Jabem</v>
      </c>
      <c r="I676" s="1" t="str">
        <f>Seket!I$22</f>
        <v>S10</v>
      </c>
      <c r="J676" s="1" t="str">
        <f>CONCATENATE(tblCong[[#This Row],[distCode]],"-",tblCong[[#This Row],[sCode]])</f>
        <v>D02-S10</v>
      </c>
      <c r="K676" s="1" t="str">
        <f>VLOOKUP(tblCong[[#This Row],[seketCode]],tblSeket[#All],5,FALSE)</f>
        <v>Menyamya</v>
      </c>
      <c r="L676" s="1" t="str">
        <f>Paris!L$152</f>
        <v>P13</v>
      </c>
      <c r="M676" s="1" t="str">
        <f>CONCATENATE(tblCong[[#This Row],[seketCode]],"-",tblCong[[#This Row],[pCode]])</f>
        <v>D02-S10-P13</v>
      </c>
      <c r="N676" s="1" t="str">
        <f>Paris!M$152</f>
        <v>Jai</v>
      </c>
      <c r="O676" s="1" t="s">
        <v>569</v>
      </c>
      <c r="P676" s="1" t="s">
        <v>1206</v>
      </c>
    </row>
    <row r="677" spans="6:16" x14ac:dyDescent="0.35">
      <c r="F677" s="1" t="str">
        <f>CONCATENATE(tblCong[[#This Row],[parishCode]],"-",tblCong[[#This Row],[kCode]])</f>
        <v>D02-S11-P01-K01</v>
      </c>
      <c r="G677" s="1" t="str">
        <f>Distrik!F$6</f>
        <v>D02</v>
      </c>
      <c r="H677" s="1" t="str">
        <f>VLOOKUP(tblCong[[#This Row],[distCode]],tblDistrict[#All],2)</f>
        <v>Jabem</v>
      </c>
      <c r="I677" s="1" t="str">
        <f>Seket!I$23</f>
        <v>S11</v>
      </c>
      <c r="J677" s="1" t="str">
        <f>CONCATENATE(tblCong[[#This Row],[distCode]],"-",tblCong[[#This Row],[sCode]])</f>
        <v>D02-S11</v>
      </c>
      <c r="K677" s="1" t="str">
        <f>VLOOKUP(tblCong[[#This Row],[seketCode]],tblSeket[#All],5,FALSE)</f>
        <v>Sangang</v>
      </c>
      <c r="L677" s="1" t="str">
        <f>Paris!L$153</f>
        <v>P01</v>
      </c>
      <c r="M677" s="1" t="str">
        <f>CONCATENATE(tblCong[[#This Row],[seketCode]],"-",tblCong[[#This Row],[pCode]])</f>
        <v>D02-S11-P01</v>
      </c>
      <c r="N677" s="1" t="str">
        <f>Paris!M$153</f>
        <v>Saking</v>
      </c>
      <c r="O677" s="1" t="s">
        <v>567</v>
      </c>
      <c r="P677" s="1" t="s">
        <v>1207</v>
      </c>
    </row>
    <row r="678" spans="6:16" x14ac:dyDescent="0.35">
      <c r="F678" s="1" t="str">
        <f>CONCATENATE(tblCong[[#This Row],[parishCode]],"-",tblCong[[#This Row],[kCode]])</f>
        <v>D02-S11-P01-K02</v>
      </c>
      <c r="G678" s="1" t="str">
        <f>Distrik!F$6</f>
        <v>D02</v>
      </c>
      <c r="H678" s="1" t="str">
        <f>VLOOKUP(tblCong[[#This Row],[distCode]],tblDistrict[#All],2)</f>
        <v>Jabem</v>
      </c>
      <c r="I678" s="1" t="str">
        <f>Seket!I$23</f>
        <v>S11</v>
      </c>
      <c r="J678" s="1" t="str">
        <f>CONCATENATE(tblCong[[#This Row],[distCode]],"-",tblCong[[#This Row],[sCode]])</f>
        <v>D02-S11</v>
      </c>
      <c r="K678" s="1" t="str">
        <f>VLOOKUP(tblCong[[#This Row],[seketCode]],tblSeket[#All],5,FALSE)</f>
        <v>Sangang</v>
      </c>
      <c r="L678" s="1" t="str">
        <f>Paris!L$153</f>
        <v>P01</v>
      </c>
      <c r="M678" s="1" t="str">
        <f>CONCATENATE(tblCong[[#This Row],[seketCode]],"-",tblCong[[#This Row],[pCode]])</f>
        <v>D02-S11-P01</v>
      </c>
      <c r="N678" s="1" t="str">
        <f>Paris!M$153</f>
        <v>Saking</v>
      </c>
      <c r="O678" s="1" t="s">
        <v>569</v>
      </c>
      <c r="P678" s="1" t="s">
        <v>1208</v>
      </c>
    </row>
    <row r="679" spans="6:16" x14ac:dyDescent="0.35">
      <c r="F679" s="1" t="str">
        <f>CONCATENATE(tblCong[[#This Row],[parishCode]],"-",tblCong[[#This Row],[kCode]])</f>
        <v>D02-S11-P01-K03</v>
      </c>
      <c r="G679" s="1" t="str">
        <f>Distrik!F$6</f>
        <v>D02</v>
      </c>
      <c r="H679" s="1" t="str">
        <f>VLOOKUP(tblCong[[#This Row],[distCode]],tblDistrict[#All],2)</f>
        <v>Jabem</v>
      </c>
      <c r="I679" s="1" t="str">
        <f>Seket!I$23</f>
        <v>S11</v>
      </c>
      <c r="J679" s="1" t="str">
        <f>CONCATENATE(tblCong[[#This Row],[distCode]],"-",tblCong[[#This Row],[sCode]])</f>
        <v>D02-S11</v>
      </c>
      <c r="K679" s="1" t="str">
        <f>VLOOKUP(tblCong[[#This Row],[seketCode]],tblSeket[#All],5,FALSE)</f>
        <v>Sangang</v>
      </c>
      <c r="L679" s="1" t="str">
        <f>Paris!L$153</f>
        <v>P01</v>
      </c>
      <c r="M679" s="1" t="str">
        <f>CONCATENATE(tblCong[[#This Row],[seketCode]],"-",tblCong[[#This Row],[pCode]])</f>
        <v>D02-S11-P01</v>
      </c>
      <c r="N679" s="1" t="str">
        <f>Paris!M$153</f>
        <v>Saking</v>
      </c>
      <c r="O679" s="1" t="s">
        <v>571</v>
      </c>
      <c r="P679" s="1" t="s">
        <v>1209</v>
      </c>
    </row>
    <row r="680" spans="6:16" x14ac:dyDescent="0.35">
      <c r="F680" s="1" t="str">
        <f>CONCATENATE(tblCong[[#This Row],[parishCode]],"-",tblCong[[#This Row],[kCode]])</f>
        <v>D02-S11-P01-K04</v>
      </c>
      <c r="G680" s="1" t="str">
        <f>Distrik!F$6</f>
        <v>D02</v>
      </c>
      <c r="H680" s="1" t="str">
        <f>VLOOKUP(tblCong[[#This Row],[distCode]],tblDistrict[#All],2)</f>
        <v>Jabem</v>
      </c>
      <c r="I680" s="1" t="str">
        <f>Seket!I$23</f>
        <v>S11</v>
      </c>
      <c r="J680" s="1" t="str">
        <f>CONCATENATE(tblCong[[#This Row],[distCode]],"-",tblCong[[#This Row],[sCode]])</f>
        <v>D02-S11</v>
      </c>
      <c r="K680" s="1" t="str">
        <f>VLOOKUP(tblCong[[#This Row],[seketCode]],tblSeket[#All],5,FALSE)</f>
        <v>Sangang</v>
      </c>
      <c r="L680" s="1" t="str">
        <f>Paris!L$153</f>
        <v>P01</v>
      </c>
      <c r="M680" s="1" t="str">
        <f>CONCATENATE(tblCong[[#This Row],[seketCode]],"-",tblCong[[#This Row],[pCode]])</f>
        <v>D02-S11-P01</v>
      </c>
      <c r="N680" s="1" t="str">
        <f>Paris!M$153</f>
        <v>Saking</v>
      </c>
      <c r="O680" s="1" t="s">
        <v>573</v>
      </c>
      <c r="P680" s="1" t="s">
        <v>1210</v>
      </c>
    </row>
    <row r="681" spans="6:16" x14ac:dyDescent="0.35">
      <c r="F681" s="1" t="str">
        <f>CONCATENATE(tblCong[[#This Row],[parishCode]],"-",tblCong[[#This Row],[kCode]])</f>
        <v>D02-S11-P01-K05</v>
      </c>
      <c r="G681" s="1" t="str">
        <f>Distrik!F$6</f>
        <v>D02</v>
      </c>
      <c r="H681" s="1" t="str">
        <f>VLOOKUP(tblCong[[#This Row],[distCode]],tblDistrict[#All],2)</f>
        <v>Jabem</v>
      </c>
      <c r="I681" s="1" t="str">
        <f>Seket!I$23</f>
        <v>S11</v>
      </c>
      <c r="J681" s="1" t="str">
        <f>CONCATENATE(tblCong[[#This Row],[distCode]],"-",tblCong[[#This Row],[sCode]])</f>
        <v>D02-S11</v>
      </c>
      <c r="K681" s="1" t="str">
        <f>VLOOKUP(tblCong[[#This Row],[seketCode]],tblSeket[#All],5,FALSE)</f>
        <v>Sangang</v>
      </c>
      <c r="L681" s="1" t="str">
        <f>Paris!L$153</f>
        <v>P01</v>
      </c>
      <c r="M681" s="1" t="str">
        <f>CONCATENATE(tblCong[[#This Row],[seketCode]],"-",tblCong[[#This Row],[pCode]])</f>
        <v>D02-S11-P01</v>
      </c>
      <c r="N681" s="1" t="str">
        <f>Paris!M$153</f>
        <v>Saking</v>
      </c>
      <c r="O681" s="1" t="s">
        <v>575</v>
      </c>
      <c r="P681" s="1" t="s">
        <v>1211</v>
      </c>
    </row>
    <row r="682" spans="6:16" x14ac:dyDescent="0.35">
      <c r="F682" s="1" t="str">
        <f>CONCATENATE(tblCong[[#This Row],[parishCode]],"-",tblCong[[#This Row],[kCode]])</f>
        <v>D02-S11-P02-K01</v>
      </c>
      <c r="G682" s="1" t="str">
        <f>Distrik!F$6</f>
        <v>D02</v>
      </c>
      <c r="H682" s="1" t="str">
        <f>VLOOKUP(tblCong[[#This Row],[distCode]],tblDistrict[#All],2)</f>
        <v>Jabem</v>
      </c>
      <c r="I682" s="1" t="str">
        <f>Seket!I$23</f>
        <v>S11</v>
      </c>
      <c r="J682" s="1" t="str">
        <f>CONCATENATE(tblCong[[#This Row],[distCode]],"-",tblCong[[#This Row],[sCode]])</f>
        <v>D02-S11</v>
      </c>
      <c r="K682" s="1" t="str">
        <f>VLOOKUP(tblCong[[#This Row],[seketCode]],tblSeket[#All],5,FALSE)</f>
        <v>Sangang</v>
      </c>
      <c r="L682" s="1" t="str">
        <f>Paris!L$154</f>
        <v>P02</v>
      </c>
      <c r="M682" s="1" t="str">
        <f>CONCATENATE(tblCong[[#This Row],[seketCode]],"-",tblCong[[#This Row],[pCode]])</f>
        <v>D02-S11-P02</v>
      </c>
      <c r="N682" s="1" t="str">
        <f>Paris!M$153</f>
        <v>Saking</v>
      </c>
      <c r="O682" s="1" t="s">
        <v>567</v>
      </c>
      <c r="P682" s="1" t="s">
        <v>1212</v>
      </c>
    </row>
    <row r="683" spans="6:16" x14ac:dyDescent="0.35">
      <c r="F683" s="1" t="str">
        <f>CONCATENATE(tblCong[[#This Row],[parishCode]],"-",tblCong[[#This Row],[kCode]])</f>
        <v>D02-S11-P02-K02</v>
      </c>
      <c r="G683" s="1" t="str">
        <f>Distrik!F$6</f>
        <v>D02</v>
      </c>
      <c r="H683" s="1" t="str">
        <f>VLOOKUP(tblCong[[#This Row],[distCode]],tblDistrict[#All],2)</f>
        <v>Jabem</v>
      </c>
      <c r="I683" s="1" t="str">
        <f>Seket!I$23</f>
        <v>S11</v>
      </c>
      <c r="J683" s="1" t="str">
        <f>CONCATENATE(tblCong[[#This Row],[distCode]],"-",tblCong[[#This Row],[sCode]])</f>
        <v>D02-S11</v>
      </c>
      <c r="K683" s="1" t="str">
        <f>VLOOKUP(tblCong[[#This Row],[seketCode]],tblSeket[#All],5,FALSE)</f>
        <v>Sangang</v>
      </c>
      <c r="L683" s="1" t="str">
        <f>Paris!L$154</f>
        <v>P02</v>
      </c>
      <c r="M683" s="1" t="str">
        <f>CONCATENATE(tblCong[[#This Row],[seketCode]],"-",tblCong[[#This Row],[pCode]])</f>
        <v>D02-S11-P02</v>
      </c>
      <c r="N683" s="1" t="str">
        <f>Paris!M$154</f>
        <v>Daum</v>
      </c>
      <c r="O683" s="1" t="s">
        <v>569</v>
      </c>
      <c r="P683" s="1" t="s">
        <v>1213</v>
      </c>
    </row>
    <row r="684" spans="6:16" x14ac:dyDescent="0.35">
      <c r="F684" s="1" t="str">
        <f>CONCATENATE(tblCong[[#This Row],[parishCode]],"-",tblCong[[#This Row],[kCode]])</f>
        <v>D02-S11-P02-K03</v>
      </c>
      <c r="G684" s="1" t="str">
        <f>Distrik!F$6</f>
        <v>D02</v>
      </c>
      <c r="H684" s="1" t="str">
        <f>VLOOKUP(tblCong[[#This Row],[distCode]],tblDistrict[#All],2)</f>
        <v>Jabem</v>
      </c>
      <c r="I684" s="1" t="str">
        <f>Seket!I$23</f>
        <v>S11</v>
      </c>
      <c r="J684" s="1" t="str">
        <f>CONCATENATE(tblCong[[#This Row],[distCode]],"-",tblCong[[#This Row],[sCode]])</f>
        <v>D02-S11</v>
      </c>
      <c r="K684" s="1" t="str">
        <f>VLOOKUP(tblCong[[#This Row],[seketCode]],tblSeket[#All],5,FALSE)</f>
        <v>Sangang</v>
      </c>
      <c r="L684" s="1" t="str">
        <f>Paris!L$154</f>
        <v>P02</v>
      </c>
      <c r="M684" s="1" t="str">
        <f>CONCATENATE(tblCong[[#This Row],[seketCode]],"-",tblCong[[#This Row],[pCode]])</f>
        <v>D02-S11-P02</v>
      </c>
      <c r="N684" s="1" t="str">
        <f>Paris!M$154</f>
        <v>Daum</v>
      </c>
      <c r="O684" s="1" t="s">
        <v>571</v>
      </c>
      <c r="P684" s="1" t="s">
        <v>1214</v>
      </c>
    </row>
    <row r="685" spans="6:16" x14ac:dyDescent="0.35">
      <c r="F685" s="1" t="str">
        <f>CONCATENATE(tblCong[[#This Row],[parishCode]],"-",tblCong[[#This Row],[kCode]])</f>
        <v>D02-S11-P02-K04</v>
      </c>
      <c r="G685" s="1" t="str">
        <f>Distrik!F$6</f>
        <v>D02</v>
      </c>
      <c r="H685" s="1" t="str">
        <f>VLOOKUP(tblCong[[#This Row],[distCode]],tblDistrict[#All],2)</f>
        <v>Jabem</v>
      </c>
      <c r="I685" s="1" t="str">
        <f>Seket!I$23</f>
        <v>S11</v>
      </c>
      <c r="J685" s="1" t="str">
        <f>CONCATENATE(tblCong[[#This Row],[distCode]],"-",tblCong[[#This Row],[sCode]])</f>
        <v>D02-S11</v>
      </c>
      <c r="K685" s="1" t="str">
        <f>VLOOKUP(tblCong[[#This Row],[seketCode]],tblSeket[#All],5,FALSE)</f>
        <v>Sangang</v>
      </c>
      <c r="L685" s="1" t="str">
        <f>Paris!L$154</f>
        <v>P02</v>
      </c>
      <c r="M685" s="1" t="str">
        <f>CONCATENATE(tblCong[[#This Row],[seketCode]],"-",tblCong[[#This Row],[pCode]])</f>
        <v>D02-S11-P02</v>
      </c>
      <c r="N685" s="1" t="str">
        <f>Paris!M$154</f>
        <v>Daum</v>
      </c>
      <c r="O685" s="1" t="s">
        <v>573</v>
      </c>
      <c r="P685" s="1" t="s">
        <v>1215</v>
      </c>
    </row>
    <row r="686" spans="6:16" x14ac:dyDescent="0.35">
      <c r="F686" s="1" t="str">
        <f>CONCATENATE(tblCong[[#This Row],[parishCode]],"-",tblCong[[#This Row],[kCode]])</f>
        <v>D02-S11-P02-K05</v>
      </c>
      <c r="G686" s="1" t="str">
        <f>Distrik!F$6</f>
        <v>D02</v>
      </c>
      <c r="H686" s="1" t="str">
        <f>VLOOKUP(tblCong[[#This Row],[distCode]],tblDistrict[#All],2)</f>
        <v>Jabem</v>
      </c>
      <c r="I686" s="1" t="str">
        <f>Seket!I$23</f>
        <v>S11</v>
      </c>
      <c r="J686" s="1" t="str">
        <f>CONCATENATE(tblCong[[#This Row],[distCode]],"-",tblCong[[#This Row],[sCode]])</f>
        <v>D02-S11</v>
      </c>
      <c r="K686" s="1" t="str">
        <f>VLOOKUP(tblCong[[#This Row],[seketCode]],tblSeket[#All],5,FALSE)</f>
        <v>Sangang</v>
      </c>
      <c r="L686" s="1" t="str">
        <f>Paris!L$154</f>
        <v>P02</v>
      </c>
      <c r="M686" s="1" t="str">
        <f>CONCATENATE(tblCong[[#This Row],[seketCode]],"-",tblCong[[#This Row],[pCode]])</f>
        <v>D02-S11-P02</v>
      </c>
      <c r="N686" s="1" t="str">
        <f>Paris!M$154</f>
        <v>Daum</v>
      </c>
      <c r="O686" s="1" t="s">
        <v>575</v>
      </c>
      <c r="P686" s="1" t="s">
        <v>1216</v>
      </c>
    </row>
    <row r="687" spans="6:16" x14ac:dyDescent="0.35">
      <c r="F687" s="1" t="str">
        <f>CONCATENATE(tblCong[[#This Row],[parishCode]],"-",tblCong[[#This Row],[kCode]])</f>
        <v>D02-S11-P02-K06</v>
      </c>
      <c r="G687" s="1" t="str">
        <f>Distrik!F$6</f>
        <v>D02</v>
      </c>
      <c r="H687" s="1" t="str">
        <f>VLOOKUP(tblCong[[#This Row],[distCode]],tblDistrict[#All],2)</f>
        <v>Jabem</v>
      </c>
      <c r="I687" s="1" t="str">
        <f>Seket!I$23</f>
        <v>S11</v>
      </c>
      <c r="J687" s="1" t="str">
        <f>CONCATENATE(tblCong[[#This Row],[distCode]],"-",tblCong[[#This Row],[sCode]])</f>
        <v>D02-S11</v>
      </c>
      <c r="K687" s="1" t="str">
        <f>VLOOKUP(tblCong[[#This Row],[seketCode]],tblSeket[#All],5,FALSE)</f>
        <v>Sangang</v>
      </c>
      <c r="L687" s="1" t="str">
        <f>Paris!L$154</f>
        <v>P02</v>
      </c>
      <c r="M687" s="1" t="str">
        <f>CONCATENATE(tblCong[[#This Row],[seketCode]],"-",tblCong[[#This Row],[pCode]])</f>
        <v>D02-S11-P02</v>
      </c>
      <c r="N687" s="1" t="str">
        <f>Paris!M$154</f>
        <v>Daum</v>
      </c>
      <c r="O687" s="1" t="s">
        <v>576</v>
      </c>
      <c r="P687" s="1" t="s">
        <v>1217</v>
      </c>
    </row>
    <row r="688" spans="6:16" x14ac:dyDescent="0.35">
      <c r="F688" s="1" t="str">
        <f>CONCATENATE(tblCong[[#This Row],[parishCode]],"-",tblCong[[#This Row],[kCode]])</f>
        <v>D02-S11-P02-K07</v>
      </c>
      <c r="G688" s="1" t="str">
        <f>Distrik!F$6</f>
        <v>D02</v>
      </c>
      <c r="H688" s="1" t="str">
        <f>VLOOKUP(tblCong[[#This Row],[distCode]],tblDistrict[#All],2)</f>
        <v>Jabem</v>
      </c>
      <c r="I688" s="1" t="str">
        <f>Seket!I$23</f>
        <v>S11</v>
      </c>
      <c r="J688" s="1" t="str">
        <f>CONCATENATE(tblCong[[#This Row],[distCode]],"-",tblCong[[#This Row],[sCode]])</f>
        <v>D02-S11</v>
      </c>
      <c r="K688" s="1" t="str">
        <f>VLOOKUP(tblCong[[#This Row],[seketCode]],tblSeket[#All],5,FALSE)</f>
        <v>Sangang</v>
      </c>
      <c r="L688" s="1" t="str">
        <f>Paris!L$154</f>
        <v>P02</v>
      </c>
      <c r="M688" s="1" t="str">
        <f>CONCATENATE(tblCong[[#This Row],[seketCode]],"-",tblCong[[#This Row],[pCode]])</f>
        <v>D02-S11-P02</v>
      </c>
      <c r="N688" s="1" t="str">
        <f>Paris!M$154</f>
        <v>Daum</v>
      </c>
      <c r="O688" s="1" t="s">
        <v>578</v>
      </c>
      <c r="P688" s="1" t="s">
        <v>1211</v>
      </c>
    </row>
    <row r="689" spans="6:16" x14ac:dyDescent="0.35">
      <c r="F689" s="1" t="str">
        <f>CONCATENATE(tblCong[[#This Row],[parishCode]],"-",tblCong[[#This Row],[kCode]])</f>
        <v>D02-S11-P03-K01</v>
      </c>
      <c r="G689" s="1" t="str">
        <f>Distrik!F$6</f>
        <v>D02</v>
      </c>
      <c r="H689" s="1" t="str">
        <f>VLOOKUP(tblCong[[#This Row],[distCode]],tblDistrict[#All],2)</f>
        <v>Jabem</v>
      </c>
      <c r="I689" s="1" t="str">
        <f>Seket!I$23</f>
        <v>S11</v>
      </c>
      <c r="J689" s="1" t="str">
        <f>CONCATENATE(tblCong[[#This Row],[distCode]],"-",tblCong[[#This Row],[sCode]])</f>
        <v>D02-S11</v>
      </c>
      <c r="K689" s="1" t="str">
        <f>VLOOKUP(tblCong[[#This Row],[seketCode]],tblSeket[#All],5,FALSE)</f>
        <v>Sangang</v>
      </c>
      <c r="L689" s="1" t="str">
        <f>Paris!L$155</f>
        <v>P03</v>
      </c>
      <c r="M689" s="1" t="str">
        <f>CONCATENATE(tblCong[[#This Row],[seketCode]],"-",tblCong[[#This Row],[pCode]])</f>
        <v>D02-S11-P03</v>
      </c>
      <c r="N689" s="1" t="str">
        <f>Paris!M$155</f>
        <v>Ngawasi</v>
      </c>
      <c r="O689" s="1" t="s">
        <v>567</v>
      </c>
      <c r="P689" s="1" t="s">
        <v>1218</v>
      </c>
    </row>
    <row r="690" spans="6:16" x14ac:dyDescent="0.35">
      <c r="F690" s="1" t="str">
        <f>CONCATENATE(tblCong[[#This Row],[parishCode]],"-",tblCong[[#This Row],[kCode]])</f>
        <v>D02-S11-P03-K02</v>
      </c>
      <c r="G690" s="1" t="str">
        <f>Distrik!F$6</f>
        <v>D02</v>
      </c>
      <c r="H690" s="1" t="str">
        <f>VLOOKUP(tblCong[[#This Row],[distCode]],tblDistrict[#All],2)</f>
        <v>Jabem</v>
      </c>
      <c r="I690" s="1" t="str">
        <f>Seket!I$23</f>
        <v>S11</v>
      </c>
      <c r="J690" s="1" t="str">
        <f>CONCATENATE(tblCong[[#This Row],[distCode]],"-",tblCong[[#This Row],[sCode]])</f>
        <v>D02-S11</v>
      </c>
      <c r="K690" s="1" t="str">
        <f>VLOOKUP(tblCong[[#This Row],[seketCode]],tblSeket[#All],5,FALSE)</f>
        <v>Sangang</v>
      </c>
      <c r="L690" s="1" t="str">
        <f>Paris!L$155</f>
        <v>P03</v>
      </c>
      <c r="M690" s="1" t="str">
        <f>CONCATENATE(tblCong[[#This Row],[seketCode]],"-",tblCong[[#This Row],[pCode]])</f>
        <v>D02-S11-P03</v>
      </c>
      <c r="N690" s="1" t="str">
        <f>Paris!M$155</f>
        <v>Ngawasi</v>
      </c>
      <c r="O690" s="1" t="s">
        <v>569</v>
      </c>
      <c r="P690" s="1" t="s">
        <v>1219</v>
      </c>
    </row>
    <row r="691" spans="6:16" x14ac:dyDescent="0.35">
      <c r="F691" s="1" t="str">
        <f>CONCATENATE(tblCong[[#This Row],[parishCode]],"-",tblCong[[#This Row],[kCode]])</f>
        <v>D02-S11-P03-K03</v>
      </c>
      <c r="G691" s="1" t="str">
        <f>Distrik!F$6</f>
        <v>D02</v>
      </c>
      <c r="H691" s="1" t="str">
        <f>VLOOKUP(tblCong[[#This Row],[distCode]],tblDistrict[#All],2)</f>
        <v>Jabem</v>
      </c>
      <c r="I691" s="1" t="str">
        <f>Seket!I$23</f>
        <v>S11</v>
      </c>
      <c r="J691" s="1" t="str">
        <f>CONCATENATE(tblCong[[#This Row],[distCode]],"-",tblCong[[#This Row],[sCode]])</f>
        <v>D02-S11</v>
      </c>
      <c r="K691" s="1" t="str">
        <f>VLOOKUP(tblCong[[#This Row],[seketCode]],tblSeket[#All],5,FALSE)</f>
        <v>Sangang</v>
      </c>
      <c r="L691" s="1" t="str">
        <f>Paris!L$155</f>
        <v>P03</v>
      </c>
      <c r="M691" s="1" t="str">
        <f>CONCATENATE(tblCong[[#This Row],[seketCode]],"-",tblCong[[#This Row],[pCode]])</f>
        <v>D02-S11-P03</v>
      </c>
      <c r="N691" s="1" t="str">
        <f>Paris!M$155</f>
        <v>Ngawasi</v>
      </c>
      <c r="O691" s="1" t="s">
        <v>571</v>
      </c>
      <c r="P691" s="1" t="s">
        <v>1220</v>
      </c>
    </row>
    <row r="692" spans="6:16" x14ac:dyDescent="0.35">
      <c r="F692" s="1" t="str">
        <f>CONCATENATE(tblCong[[#This Row],[parishCode]],"-",tblCong[[#This Row],[kCode]])</f>
        <v>D02-S11-P03-K04</v>
      </c>
      <c r="G692" s="1" t="str">
        <f>Distrik!F$6</f>
        <v>D02</v>
      </c>
      <c r="H692" s="1" t="str">
        <f>VLOOKUP(tblCong[[#This Row],[distCode]],tblDistrict[#All],2)</f>
        <v>Jabem</v>
      </c>
      <c r="I692" s="1" t="str">
        <f>Seket!I$23</f>
        <v>S11</v>
      </c>
      <c r="J692" s="1" t="str">
        <f>CONCATENATE(tblCong[[#This Row],[distCode]],"-",tblCong[[#This Row],[sCode]])</f>
        <v>D02-S11</v>
      </c>
      <c r="K692" s="1" t="str">
        <f>VLOOKUP(tblCong[[#This Row],[seketCode]],tblSeket[#All],5,FALSE)</f>
        <v>Sangang</v>
      </c>
      <c r="L692" s="1" t="str">
        <f>Paris!L$155</f>
        <v>P03</v>
      </c>
      <c r="M692" s="1" t="str">
        <f>CONCATENATE(tblCong[[#This Row],[seketCode]],"-",tblCong[[#This Row],[pCode]])</f>
        <v>D02-S11-P03</v>
      </c>
      <c r="N692" s="1" t="str">
        <f>Paris!M$155</f>
        <v>Ngawasi</v>
      </c>
      <c r="O692" s="1" t="s">
        <v>573</v>
      </c>
      <c r="P692" s="1" t="s">
        <v>1221</v>
      </c>
    </row>
    <row r="693" spans="6:16" x14ac:dyDescent="0.35">
      <c r="F693" s="1" t="str">
        <f>CONCATENATE(tblCong[[#This Row],[parishCode]],"-",tblCong[[#This Row],[kCode]])</f>
        <v>D02-S11-P03-K05</v>
      </c>
      <c r="G693" s="1" t="str">
        <f>Distrik!F$6</f>
        <v>D02</v>
      </c>
      <c r="H693" s="1" t="str">
        <f>VLOOKUP(tblCong[[#This Row],[distCode]],tblDistrict[#All],2)</f>
        <v>Jabem</v>
      </c>
      <c r="I693" s="1" t="str">
        <f>Seket!I$23</f>
        <v>S11</v>
      </c>
      <c r="J693" s="1" t="str">
        <f>CONCATENATE(tblCong[[#This Row],[distCode]],"-",tblCong[[#This Row],[sCode]])</f>
        <v>D02-S11</v>
      </c>
      <c r="K693" s="1" t="str">
        <f>VLOOKUP(tblCong[[#This Row],[seketCode]],tblSeket[#All],5,FALSE)</f>
        <v>Sangang</v>
      </c>
      <c r="L693" s="1" t="str">
        <f>Paris!L$155</f>
        <v>P03</v>
      </c>
      <c r="M693" s="1" t="str">
        <f>CONCATENATE(tblCong[[#This Row],[seketCode]],"-",tblCong[[#This Row],[pCode]])</f>
        <v>D02-S11-P03</v>
      </c>
      <c r="N693" s="1" t="str">
        <f>Paris!M$155</f>
        <v>Ngawasi</v>
      </c>
      <c r="O693" s="1" t="s">
        <v>575</v>
      </c>
      <c r="P693" s="1" t="s">
        <v>1222</v>
      </c>
    </row>
    <row r="694" spans="6:16" x14ac:dyDescent="0.35">
      <c r="F694" s="1" t="str">
        <f>CONCATENATE(tblCong[[#This Row],[parishCode]],"-",tblCong[[#This Row],[kCode]])</f>
        <v>D02-S11-P03-K06</v>
      </c>
      <c r="G694" s="1" t="str">
        <f>Distrik!F$6</f>
        <v>D02</v>
      </c>
      <c r="H694" s="1" t="str">
        <f>VLOOKUP(tblCong[[#This Row],[distCode]],tblDistrict[#All],2)</f>
        <v>Jabem</v>
      </c>
      <c r="I694" s="1" t="str">
        <f>Seket!I$23</f>
        <v>S11</v>
      </c>
      <c r="J694" s="1" t="str">
        <f>CONCATENATE(tblCong[[#This Row],[distCode]],"-",tblCong[[#This Row],[sCode]])</f>
        <v>D02-S11</v>
      </c>
      <c r="K694" s="1" t="str">
        <f>VLOOKUP(tblCong[[#This Row],[seketCode]],tblSeket[#All],5,FALSE)</f>
        <v>Sangang</v>
      </c>
      <c r="L694" s="1" t="str">
        <f>Paris!L$155</f>
        <v>P03</v>
      </c>
      <c r="M694" s="1" t="str">
        <f>CONCATENATE(tblCong[[#This Row],[seketCode]],"-",tblCong[[#This Row],[pCode]])</f>
        <v>D02-S11-P03</v>
      </c>
      <c r="N694" s="1" t="str">
        <f>Paris!M$155</f>
        <v>Ngawasi</v>
      </c>
      <c r="O694" s="1" t="s">
        <v>576</v>
      </c>
      <c r="P694" s="1" t="s">
        <v>1223</v>
      </c>
    </row>
    <row r="695" spans="6:16" x14ac:dyDescent="0.35">
      <c r="F695" s="1" t="str">
        <f>CONCATENATE(tblCong[[#This Row],[parishCode]],"-",tblCong[[#This Row],[kCode]])</f>
        <v>D02-S11-P04-K01</v>
      </c>
      <c r="G695" s="1" t="str">
        <f>Distrik!F$6</f>
        <v>D02</v>
      </c>
      <c r="H695" s="1" t="str">
        <f>VLOOKUP(tblCong[[#This Row],[distCode]],tblDistrict[#All],2)</f>
        <v>Jabem</v>
      </c>
      <c r="I695" s="1" t="str">
        <f>Seket!I$23</f>
        <v>S11</v>
      </c>
      <c r="J695" s="1" t="str">
        <f>CONCATENATE(tblCong[[#This Row],[distCode]],"-",tblCong[[#This Row],[sCode]])</f>
        <v>D02-S11</v>
      </c>
      <c r="K695" s="1" t="str">
        <f>VLOOKUP(tblCong[[#This Row],[seketCode]],tblSeket[#All],5,FALSE)</f>
        <v>Sangang</v>
      </c>
      <c r="L695" s="1" t="str">
        <f>Paris!L$156</f>
        <v>P04</v>
      </c>
      <c r="M695" s="1" t="str">
        <f>CONCATENATE(tblCong[[#This Row],[seketCode]],"-",tblCong[[#This Row],[pCode]])</f>
        <v>D02-S11-P04</v>
      </c>
      <c r="N695" s="1" t="str">
        <f>Paris!M$156</f>
        <v>St. Steven</v>
      </c>
      <c r="O695" s="1" t="s">
        <v>567</v>
      </c>
      <c r="P695" s="1" t="s">
        <v>1224</v>
      </c>
    </row>
    <row r="696" spans="6:16" x14ac:dyDescent="0.35">
      <c r="F696" s="1" t="str">
        <f>CONCATENATE(tblCong[[#This Row],[parishCode]],"-",tblCong[[#This Row],[kCode]])</f>
        <v>D02-S11-P04-K02</v>
      </c>
      <c r="G696" s="1" t="str">
        <f>Distrik!F$6</f>
        <v>D02</v>
      </c>
      <c r="H696" s="1" t="str">
        <f>VLOOKUP(tblCong[[#This Row],[distCode]],tblDistrict[#All],2)</f>
        <v>Jabem</v>
      </c>
      <c r="I696" s="1" t="str">
        <f>Seket!I$23</f>
        <v>S11</v>
      </c>
      <c r="J696" s="1" t="str">
        <f>CONCATENATE(tblCong[[#This Row],[distCode]],"-",tblCong[[#This Row],[sCode]])</f>
        <v>D02-S11</v>
      </c>
      <c r="K696" s="1" t="str">
        <f>VLOOKUP(tblCong[[#This Row],[seketCode]],tblSeket[#All],5,FALSE)</f>
        <v>Sangang</v>
      </c>
      <c r="L696" s="1" t="str">
        <f>Paris!L$156</f>
        <v>P04</v>
      </c>
      <c r="M696" s="1" t="str">
        <f>CONCATENATE(tblCong[[#This Row],[seketCode]],"-",tblCong[[#This Row],[pCode]])</f>
        <v>D02-S11-P04</v>
      </c>
      <c r="N696" s="1" t="str">
        <f>Paris!M$156</f>
        <v>St. Steven</v>
      </c>
      <c r="O696" s="1" t="s">
        <v>569</v>
      </c>
      <c r="P696" s="1" t="s">
        <v>1225</v>
      </c>
    </row>
    <row r="697" spans="6:16" x14ac:dyDescent="0.35">
      <c r="F697" s="1" t="str">
        <f>CONCATENATE(tblCong[[#This Row],[parishCode]],"-",tblCong[[#This Row],[kCode]])</f>
        <v>D02-S11-P04-K03</v>
      </c>
      <c r="G697" s="1" t="str">
        <f>Distrik!F$6</f>
        <v>D02</v>
      </c>
      <c r="H697" s="1" t="str">
        <f>VLOOKUP(tblCong[[#This Row],[distCode]],tblDistrict[#All],2)</f>
        <v>Jabem</v>
      </c>
      <c r="I697" s="1" t="str">
        <f>Seket!I$23</f>
        <v>S11</v>
      </c>
      <c r="J697" s="1" t="str">
        <f>CONCATENATE(tblCong[[#This Row],[distCode]],"-",tblCong[[#This Row],[sCode]])</f>
        <v>D02-S11</v>
      </c>
      <c r="K697" s="1" t="str">
        <f>VLOOKUP(tblCong[[#This Row],[seketCode]],tblSeket[#All],5,FALSE)</f>
        <v>Sangang</v>
      </c>
      <c r="L697" s="1" t="str">
        <f>Paris!L$156</f>
        <v>P04</v>
      </c>
      <c r="M697" s="1" t="str">
        <f>CONCATENATE(tblCong[[#This Row],[seketCode]],"-",tblCong[[#This Row],[pCode]])</f>
        <v>D02-S11-P04</v>
      </c>
      <c r="N697" s="1" t="str">
        <f>Paris!M$156</f>
        <v>St. Steven</v>
      </c>
      <c r="O697" s="1" t="s">
        <v>571</v>
      </c>
      <c r="P697" s="1" t="s">
        <v>1226</v>
      </c>
    </row>
    <row r="698" spans="6:16" x14ac:dyDescent="0.35">
      <c r="F698" s="1" t="str">
        <f>CONCATENATE(tblCong[[#This Row],[parishCode]],"-",tblCong[[#This Row],[kCode]])</f>
        <v>D02-S11-P04-K04</v>
      </c>
      <c r="G698" s="1" t="str">
        <f>Distrik!F$6</f>
        <v>D02</v>
      </c>
      <c r="H698" s="1" t="str">
        <f>VLOOKUP(tblCong[[#This Row],[distCode]],tblDistrict[#All],2)</f>
        <v>Jabem</v>
      </c>
      <c r="I698" s="1" t="str">
        <f>Seket!I$23</f>
        <v>S11</v>
      </c>
      <c r="J698" s="1" t="str">
        <f>CONCATENATE(tblCong[[#This Row],[distCode]],"-",tblCong[[#This Row],[sCode]])</f>
        <v>D02-S11</v>
      </c>
      <c r="K698" s="1" t="str">
        <f>VLOOKUP(tblCong[[#This Row],[seketCode]],tblSeket[#All],5,FALSE)</f>
        <v>Sangang</v>
      </c>
      <c r="L698" s="1" t="str">
        <f>Paris!L$156</f>
        <v>P04</v>
      </c>
      <c r="M698" s="1" t="str">
        <f>CONCATENATE(tblCong[[#This Row],[seketCode]],"-",tblCong[[#This Row],[pCode]])</f>
        <v>D02-S11-P04</v>
      </c>
      <c r="N698" s="1" t="str">
        <f>Paris!M$156</f>
        <v>St. Steven</v>
      </c>
      <c r="O698" s="1" t="s">
        <v>573</v>
      </c>
      <c r="P698" s="1" t="s">
        <v>1227</v>
      </c>
    </row>
    <row r="699" spans="6:16" x14ac:dyDescent="0.35">
      <c r="F699" s="1" t="str">
        <f>CONCATENATE(tblCong[[#This Row],[parishCode]],"-",tblCong[[#This Row],[kCode]])</f>
        <v>D02-S11-P04-K05</v>
      </c>
      <c r="G699" s="1" t="str">
        <f>Distrik!F$6</f>
        <v>D02</v>
      </c>
      <c r="H699" s="1" t="str">
        <f>VLOOKUP(tblCong[[#This Row],[distCode]],tblDistrict[#All],2)</f>
        <v>Jabem</v>
      </c>
      <c r="I699" s="1" t="str">
        <f>Seket!I$23</f>
        <v>S11</v>
      </c>
      <c r="J699" s="1" t="str">
        <f>CONCATENATE(tblCong[[#This Row],[distCode]],"-",tblCong[[#This Row],[sCode]])</f>
        <v>D02-S11</v>
      </c>
      <c r="K699" s="1" t="str">
        <f>VLOOKUP(tblCong[[#This Row],[seketCode]],tblSeket[#All],5,FALSE)</f>
        <v>Sangang</v>
      </c>
      <c r="L699" s="1" t="str">
        <f>Paris!L$156</f>
        <v>P04</v>
      </c>
      <c r="M699" s="1" t="str">
        <f>CONCATENATE(tblCong[[#This Row],[seketCode]],"-",tblCong[[#This Row],[pCode]])</f>
        <v>D02-S11-P04</v>
      </c>
      <c r="N699" s="1" t="str">
        <f>Paris!M$156</f>
        <v>St. Steven</v>
      </c>
      <c r="O699" s="1" t="s">
        <v>575</v>
      </c>
      <c r="P699" s="1" t="s">
        <v>1228</v>
      </c>
    </row>
    <row r="700" spans="6:16" x14ac:dyDescent="0.35">
      <c r="F700" s="1" t="str">
        <f>CONCATENATE(tblCong[[#This Row],[parishCode]],"-",tblCong[[#This Row],[kCode]])</f>
        <v>D02-S11-P04-K06</v>
      </c>
      <c r="G700" s="1" t="str">
        <f>Distrik!F$6</f>
        <v>D02</v>
      </c>
      <c r="H700" s="1" t="str">
        <f>VLOOKUP(tblCong[[#This Row],[distCode]],tblDistrict[#All],2)</f>
        <v>Jabem</v>
      </c>
      <c r="I700" s="1" t="str">
        <f>Seket!I$23</f>
        <v>S11</v>
      </c>
      <c r="J700" s="1" t="str">
        <f>CONCATENATE(tblCong[[#This Row],[distCode]],"-",tblCong[[#This Row],[sCode]])</f>
        <v>D02-S11</v>
      </c>
      <c r="K700" s="1" t="str">
        <f>VLOOKUP(tblCong[[#This Row],[seketCode]],tblSeket[#All],5,FALSE)</f>
        <v>Sangang</v>
      </c>
      <c r="L700" s="1" t="str">
        <f>Paris!L$156</f>
        <v>P04</v>
      </c>
      <c r="M700" s="1" t="str">
        <f>CONCATENATE(tblCong[[#This Row],[seketCode]],"-",tblCong[[#This Row],[pCode]])</f>
        <v>D02-S11-P04</v>
      </c>
      <c r="N700" s="1" t="str">
        <f>Paris!M$156</f>
        <v>St. Steven</v>
      </c>
      <c r="O700" s="1" t="s">
        <v>576</v>
      </c>
      <c r="P700" s="1" t="s">
        <v>1229</v>
      </c>
    </row>
    <row r="701" spans="6:16" x14ac:dyDescent="0.35">
      <c r="F701" s="1" t="str">
        <f>CONCATENATE(tblCong[[#This Row],[parishCode]],"-",tblCong[[#This Row],[kCode]])</f>
        <v>D02-S11-P04-K07</v>
      </c>
      <c r="G701" s="1" t="str">
        <f>Distrik!F$6</f>
        <v>D02</v>
      </c>
      <c r="H701" s="1" t="str">
        <f>VLOOKUP(tblCong[[#This Row],[distCode]],tblDistrict[#All],2)</f>
        <v>Jabem</v>
      </c>
      <c r="I701" s="1" t="str">
        <f>Seket!I$23</f>
        <v>S11</v>
      </c>
      <c r="J701" s="1" t="str">
        <f>CONCATENATE(tblCong[[#This Row],[distCode]],"-",tblCong[[#This Row],[sCode]])</f>
        <v>D02-S11</v>
      </c>
      <c r="K701" s="1" t="str">
        <f>VLOOKUP(tblCong[[#This Row],[seketCode]],tblSeket[#All],5,FALSE)</f>
        <v>Sangang</v>
      </c>
      <c r="L701" s="1" t="str">
        <f>Paris!L$156</f>
        <v>P04</v>
      </c>
      <c r="M701" s="1" t="str">
        <f>CONCATENATE(tblCong[[#This Row],[seketCode]],"-",tblCong[[#This Row],[pCode]])</f>
        <v>D02-S11-P04</v>
      </c>
      <c r="N701" s="1" t="str">
        <f>Paris!M$156</f>
        <v>St. Steven</v>
      </c>
      <c r="O701" s="1" t="s">
        <v>578</v>
      </c>
      <c r="P701" s="1" t="s">
        <v>1230</v>
      </c>
    </row>
    <row r="702" spans="6:16" x14ac:dyDescent="0.35">
      <c r="F702" s="1" t="str">
        <f>CONCATENATE(tblCong[[#This Row],[parishCode]],"-",tblCong[[#This Row],[kCode]])</f>
        <v>D02-S11-P04-K08</v>
      </c>
      <c r="G702" s="1" t="str">
        <f>Distrik!F$6</f>
        <v>D02</v>
      </c>
      <c r="H702" s="1" t="str">
        <f>VLOOKUP(tblCong[[#This Row],[distCode]],tblDistrict[#All],2)</f>
        <v>Jabem</v>
      </c>
      <c r="I702" s="1" t="str">
        <f>Seket!I$23</f>
        <v>S11</v>
      </c>
      <c r="J702" s="1" t="str">
        <f>CONCATENATE(tblCong[[#This Row],[distCode]],"-",tblCong[[#This Row],[sCode]])</f>
        <v>D02-S11</v>
      </c>
      <c r="K702" s="1" t="str">
        <f>VLOOKUP(tblCong[[#This Row],[seketCode]],tblSeket[#All],5,FALSE)</f>
        <v>Sangang</v>
      </c>
      <c r="L702" s="1" t="str">
        <f>Paris!L$156</f>
        <v>P04</v>
      </c>
      <c r="M702" s="1" t="str">
        <f>CONCATENATE(tblCong[[#This Row],[seketCode]],"-",tblCong[[#This Row],[pCode]])</f>
        <v>D02-S11-P04</v>
      </c>
      <c r="N702" s="1" t="str">
        <f>Paris!M$156</f>
        <v>St. Steven</v>
      </c>
      <c r="O702" s="1" t="s">
        <v>651</v>
      </c>
      <c r="P702" s="1" t="s">
        <v>1231</v>
      </c>
    </row>
    <row r="703" spans="6:16" x14ac:dyDescent="0.35">
      <c r="F703" s="1" t="str">
        <f>CONCATENATE(tblCong[[#This Row],[parishCode]],"-",tblCong[[#This Row],[kCode]])</f>
        <v>D02-S11-P04-K09</v>
      </c>
      <c r="G703" s="1" t="str">
        <f>Distrik!F$6</f>
        <v>D02</v>
      </c>
      <c r="H703" s="1" t="str">
        <f>VLOOKUP(tblCong[[#This Row],[distCode]],tblDistrict[#All],2)</f>
        <v>Jabem</v>
      </c>
      <c r="I703" s="1" t="str">
        <f>Seket!I$23</f>
        <v>S11</v>
      </c>
      <c r="J703" s="1" t="str">
        <f>CONCATENATE(tblCong[[#This Row],[distCode]],"-",tblCong[[#This Row],[sCode]])</f>
        <v>D02-S11</v>
      </c>
      <c r="K703" s="1" t="str">
        <f>VLOOKUP(tblCong[[#This Row],[seketCode]],tblSeket[#All],5,FALSE)</f>
        <v>Sangang</v>
      </c>
      <c r="L703" s="1" t="str">
        <f>Paris!L$156</f>
        <v>P04</v>
      </c>
      <c r="M703" s="1" t="str">
        <f>CONCATENATE(tblCong[[#This Row],[seketCode]],"-",tblCong[[#This Row],[pCode]])</f>
        <v>D02-S11-P04</v>
      </c>
      <c r="N703" s="1" t="str">
        <f>Paris!M$156</f>
        <v>St. Steven</v>
      </c>
      <c r="O703" s="1" t="s">
        <v>653</v>
      </c>
      <c r="P703" s="1" t="s">
        <v>1232</v>
      </c>
    </row>
    <row r="704" spans="6:16" x14ac:dyDescent="0.35">
      <c r="F704" s="1" t="str">
        <f>CONCATENATE(tblCong[[#This Row],[parishCode]],"-",tblCong[[#This Row],[kCode]])</f>
        <v>D02-S11-P05-K01</v>
      </c>
      <c r="G704" s="1" t="str">
        <f>Distrik!F$6</f>
        <v>D02</v>
      </c>
      <c r="H704" s="1" t="str">
        <f>VLOOKUP(tblCong[[#This Row],[distCode]],tblDistrict[#All],2)</f>
        <v>Jabem</v>
      </c>
      <c r="I704" s="1" t="str">
        <f>Seket!I$23</f>
        <v>S11</v>
      </c>
      <c r="J704" s="1" t="str">
        <f>CONCATENATE(tblCong[[#This Row],[distCode]],"-",tblCong[[#This Row],[sCode]])</f>
        <v>D02-S11</v>
      </c>
      <c r="K704" s="1" t="str">
        <f>VLOOKUP(tblCong[[#This Row],[seketCode]],tblSeket[#All],5,FALSE)</f>
        <v>Sangang</v>
      </c>
      <c r="L704" s="1" t="str">
        <f>Paris!L$157</f>
        <v>P05</v>
      </c>
      <c r="M704" s="1" t="str">
        <f>CONCATENATE(tblCong[[#This Row],[seketCode]],"-",tblCong[[#This Row],[pCode]])</f>
        <v>D02-S11-P05</v>
      </c>
      <c r="N704" s="1" t="str">
        <f>Paris!M$157</f>
        <v>St. Paul</v>
      </c>
      <c r="O704" s="1" t="s">
        <v>567</v>
      </c>
      <c r="P704" s="1" t="s">
        <v>1233</v>
      </c>
    </row>
    <row r="705" spans="6:16" x14ac:dyDescent="0.35">
      <c r="F705" s="1" t="str">
        <f>CONCATENATE(tblCong[[#This Row],[parishCode]],"-",tblCong[[#This Row],[kCode]])</f>
        <v>D02-S11-P05-K02</v>
      </c>
      <c r="G705" s="1" t="str">
        <f>Distrik!F$6</f>
        <v>D02</v>
      </c>
      <c r="H705" s="1" t="str">
        <f>VLOOKUP(tblCong[[#This Row],[distCode]],tblDistrict[#All],2)</f>
        <v>Jabem</v>
      </c>
      <c r="I705" s="1" t="str">
        <f>Seket!I$23</f>
        <v>S11</v>
      </c>
      <c r="J705" s="1" t="str">
        <f>CONCATENATE(tblCong[[#This Row],[distCode]],"-",tblCong[[#This Row],[sCode]])</f>
        <v>D02-S11</v>
      </c>
      <c r="K705" s="1" t="str">
        <f>VLOOKUP(tblCong[[#This Row],[seketCode]],tblSeket[#All],5,FALSE)</f>
        <v>Sangang</v>
      </c>
      <c r="L705" s="1" t="str">
        <f>Paris!L$157</f>
        <v>P05</v>
      </c>
      <c r="M705" s="1" t="str">
        <f>CONCATENATE(tblCong[[#This Row],[seketCode]],"-",tblCong[[#This Row],[pCode]])</f>
        <v>D02-S11-P05</v>
      </c>
      <c r="N705" s="1" t="str">
        <f>Paris!M$157</f>
        <v>St. Paul</v>
      </c>
      <c r="O705" s="1" t="s">
        <v>569</v>
      </c>
      <c r="P705" s="1" t="s">
        <v>1234</v>
      </c>
    </row>
    <row r="706" spans="6:16" x14ac:dyDescent="0.35">
      <c r="F706" s="1" t="str">
        <f>CONCATENATE(tblCong[[#This Row],[parishCode]],"-",tblCong[[#This Row],[kCode]])</f>
        <v>D02-S11-P05-K03</v>
      </c>
      <c r="G706" s="1" t="str">
        <f>Distrik!F$6</f>
        <v>D02</v>
      </c>
      <c r="H706" s="1" t="str">
        <f>VLOOKUP(tblCong[[#This Row],[distCode]],tblDistrict[#All],2)</f>
        <v>Jabem</v>
      </c>
      <c r="I706" s="1" t="str">
        <f>Seket!I$23</f>
        <v>S11</v>
      </c>
      <c r="J706" s="1" t="str">
        <f>CONCATENATE(tblCong[[#This Row],[distCode]],"-",tblCong[[#This Row],[sCode]])</f>
        <v>D02-S11</v>
      </c>
      <c r="K706" s="1" t="str">
        <f>VLOOKUP(tblCong[[#This Row],[seketCode]],tblSeket[#All],5,FALSE)</f>
        <v>Sangang</v>
      </c>
      <c r="L706" s="1" t="str">
        <f>Paris!L$157</f>
        <v>P05</v>
      </c>
      <c r="M706" s="1" t="str">
        <f>CONCATENATE(tblCong[[#This Row],[seketCode]],"-",tblCong[[#This Row],[pCode]])</f>
        <v>D02-S11-P05</v>
      </c>
      <c r="N706" s="1" t="str">
        <f>Paris!M$157</f>
        <v>St. Paul</v>
      </c>
      <c r="O706" s="1" t="s">
        <v>571</v>
      </c>
      <c r="P706" s="1" t="s">
        <v>1235</v>
      </c>
    </row>
    <row r="707" spans="6:16" x14ac:dyDescent="0.35">
      <c r="F707" s="1" t="str">
        <f>CONCATENATE(tblCong[[#This Row],[parishCode]],"-",tblCong[[#This Row],[kCode]])</f>
        <v>D02-S11-P05-K04</v>
      </c>
      <c r="G707" s="1" t="str">
        <f>Distrik!F$6</f>
        <v>D02</v>
      </c>
      <c r="H707" s="1" t="str">
        <f>VLOOKUP(tblCong[[#This Row],[distCode]],tblDistrict[#All],2)</f>
        <v>Jabem</v>
      </c>
      <c r="I707" s="1" t="str">
        <f>Seket!I$23</f>
        <v>S11</v>
      </c>
      <c r="J707" s="1" t="str">
        <f>CONCATENATE(tblCong[[#This Row],[distCode]],"-",tblCong[[#This Row],[sCode]])</f>
        <v>D02-S11</v>
      </c>
      <c r="K707" s="1" t="str">
        <f>VLOOKUP(tblCong[[#This Row],[seketCode]],tblSeket[#All],5,FALSE)</f>
        <v>Sangang</v>
      </c>
      <c r="L707" s="1" t="str">
        <f>Paris!L$157</f>
        <v>P05</v>
      </c>
      <c r="M707" s="1" t="str">
        <f>CONCATENATE(tblCong[[#This Row],[seketCode]],"-",tblCong[[#This Row],[pCode]])</f>
        <v>D02-S11-P05</v>
      </c>
      <c r="N707" s="1" t="str">
        <f>Paris!M$157</f>
        <v>St. Paul</v>
      </c>
      <c r="O707" s="1" t="s">
        <v>573</v>
      </c>
      <c r="P707" s="1" t="s">
        <v>1236</v>
      </c>
    </row>
    <row r="708" spans="6:16" x14ac:dyDescent="0.35">
      <c r="F708" s="1" t="str">
        <f>CONCATENATE(tblCong[[#This Row],[parishCode]],"-",tblCong[[#This Row],[kCode]])</f>
        <v>D02-S11-P05-K05</v>
      </c>
      <c r="G708" s="1" t="str">
        <f>Distrik!F$6</f>
        <v>D02</v>
      </c>
      <c r="H708" s="1" t="str">
        <f>VLOOKUP(tblCong[[#This Row],[distCode]],tblDistrict[#All],2)</f>
        <v>Jabem</v>
      </c>
      <c r="I708" s="1" t="str">
        <f>Seket!I$23</f>
        <v>S11</v>
      </c>
      <c r="J708" s="1" t="str">
        <f>CONCATENATE(tblCong[[#This Row],[distCode]],"-",tblCong[[#This Row],[sCode]])</f>
        <v>D02-S11</v>
      </c>
      <c r="K708" s="1" t="str">
        <f>VLOOKUP(tblCong[[#This Row],[seketCode]],tblSeket[#All],5,FALSE)</f>
        <v>Sangang</v>
      </c>
      <c r="L708" s="1" t="str">
        <f>Paris!L$157</f>
        <v>P05</v>
      </c>
      <c r="M708" s="1" t="str">
        <f>CONCATENATE(tblCong[[#This Row],[seketCode]],"-",tblCong[[#This Row],[pCode]])</f>
        <v>D02-S11-P05</v>
      </c>
      <c r="N708" s="1" t="str">
        <f>Paris!M$157</f>
        <v>St. Paul</v>
      </c>
      <c r="O708" s="1" t="s">
        <v>575</v>
      </c>
      <c r="P708" s="1" t="s">
        <v>1237</v>
      </c>
    </row>
    <row r="709" spans="6:16" x14ac:dyDescent="0.35">
      <c r="F709" s="1" t="str">
        <f>CONCATENATE(tblCong[[#This Row],[parishCode]],"-",tblCong[[#This Row],[kCode]])</f>
        <v>D02-S11-P05-K06</v>
      </c>
      <c r="G709" s="1" t="str">
        <f>Distrik!F$6</f>
        <v>D02</v>
      </c>
      <c r="H709" s="1" t="str">
        <f>VLOOKUP(tblCong[[#This Row],[distCode]],tblDistrict[#All],2)</f>
        <v>Jabem</v>
      </c>
      <c r="I709" s="1" t="str">
        <f>Seket!I$23</f>
        <v>S11</v>
      </c>
      <c r="J709" s="1" t="str">
        <f>CONCATENATE(tblCong[[#This Row],[distCode]],"-",tblCong[[#This Row],[sCode]])</f>
        <v>D02-S11</v>
      </c>
      <c r="K709" s="1" t="str">
        <f>VLOOKUP(tblCong[[#This Row],[seketCode]],tblSeket[#All],5,FALSE)</f>
        <v>Sangang</v>
      </c>
      <c r="L709" s="1" t="str">
        <f>Paris!L$157</f>
        <v>P05</v>
      </c>
      <c r="M709" s="1" t="str">
        <f>CONCATENATE(tblCong[[#This Row],[seketCode]],"-",tblCong[[#This Row],[pCode]])</f>
        <v>D02-S11-P05</v>
      </c>
      <c r="N709" s="1" t="str">
        <f>Paris!M$157</f>
        <v>St. Paul</v>
      </c>
      <c r="O709" s="1" t="s">
        <v>576</v>
      </c>
      <c r="P709" s="1" t="s">
        <v>1238</v>
      </c>
    </row>
    <row r="710" spans="6:16" x14ac:dyDescent="0.35">
      <c r="F710" s="1" t="str">
        <f>CONCATENATE(tblCong[[#This Row],[parishCode]],"-",tblCong[[#This Row],[kCode]])</f>
        <v>D02-S12-P01-K01</v>
      </c>
      <c r="G710" s="1" t="str">
        <f>Distrik!F$6</f>
        <v>D02</v>
      </c>
      <c r="H710" s="1" t="str">
        <f>VLOOKUP(tblCong[[#This Row],[distCode]],tblDistrict[#All],2)</f>
        <v>Jabem</v>
      </c>
      <c r="I710" s="1" t="str">
        <f>Seket!I$24</f>
        <v>S12</v>
      </c>
      <c r="J710" s="1" t="str">
        <f>CONCATENATE(tblCong[[#This Row],[distCode]],"-",tblCong[[#This Row],[sCode]])</f>
        <v>D02-S12</v>
      </c>
      <c r="K710" s="1" t="str">
        <f>VLOOKUP(tblCong[[#This Row],[seketCode]],tblSeket[#All],5,FALSE)</f>
        <v>Wampar</v>
      </c>
      <c r="L710" s="1" t="str">
        <f>Paris!L$158</f>
        <v>P01</v>
      </c>
      <c r="M710" s="1" t="str">
        <f>CONCATENATE(tblCong[[#This Row],[seketCode]],"-",tblCong[[#This Row],[pCode]])</f>
        <v>D02-S12-P01</v>
      </c>
      <c r="N710" s="1" t="str">
        <f>Paris!M$158</f>
        <v>Waswas</v>
      </c>
      <c r="O710" s="1" t="s">
        <v>567</v>
      </c>
      <c r="P710" s="1" t="s">
        <v>371</v>
      </c>
    </row>
    <row r="711" spans="6:16" x14ac:dyDescent="0.35">
      <c r="F711" s="1" t="str">
        <f>CONCATENATE(tblCong[[#This Row],[parishCode]],"-",tblCong[[#This Row],[kCode]])</f>
        <v>D02-S12-P01-K02</v>
      </c>
      <c r="G711" s="1" t="str">
        <f>Distrik!F$6</f>
        <v>D02</v>
      </c>
      <c r="H711" s="1" t="str">
        <f>VLOOKUP(tblCong[[#This Row],[distCode]],tblDistrict[#All],2)</f>
        <v>Jabem</v>
      </c>
      <c r="I711" s="1" t="str">
        <f>Seket!I$24</f>
        <v>S12</v>
      </c>
      <c r="J711" s="1" t="str">
        <f>CONCATENATE(tblCong[[#This Row],[distCode]],"-",tblCong[[#This Row],[sCode]])</f>
        <v>D02-S12</v>
      </c>
      <c r="K711" s="1" t="str">
        <f>VLOOKUP(tblCong[[#This Row],[seketCode]],tblSeket[#All],5,FALSE)</f>
        <v>Wampar</v>
      </c>
      <c r="L711" s="1" t="str">
        <f>Paris!L$158</f>
        <v>P01</v>
      </c>
      <c r="M711" s="1" t="str">
        <f>CONCATENATE(tblCong[[#This Row],[seketCode]],"-",tblCong[[#This Row],[pCode]])</f>
        <v>D02-S12-P01</v>
      </c>
      <c r="N711" s="1" t="str">
        <f>Paris!M$158</f>
        <v>Waswas</v>
      </c>
      <c r="O711" s="1" t="s">
        <v>569</v>
      </c>
      <c r="P711" s="1" t="s">
        <v>1239</v>
      </c>
    </row>
    <row r="712" spans="6:16" x14ac:dyDescent="0.35">
      <c r="F712" s="1" t="str">
        <f>CONCATENATE(tblCong[[#This Row],[parishCode]],"-",tblCong[[#This Row],[kCode]])</f>
        <v>D02-S12-P01-K03</v>
      </c>
      <c r="G712" s="1" t="str">
        <f>Distrik!F$6</f>
        <v>D02</v>
      </c>
      <c r="H712" s="1" t="str">
        <f>VLOOKUP(tblCong[[#This Row],[distCode]],tblDistrict[#All],2)</f>
        <v>Jabem</v>
      </c>
      <c r="I712" s="1" t="str">
        <f>Seket!I$24</f>
        <v>S12</v>
      </c>
      <c r="J712" s="1" t="str">
        <f>CONCATENATE(tblCong[[#This Row],[distCode]],"-",tblCong[[#This Row],[sCode]])</f>
        <v>D02-S12</v>
      </c>
      <c r="K712" s="1" t="str">
        <f>VLOOKUP(tblCong[[#This Row],[seketCode]],tblSeket[#All],5,FALSE)</f>
        <v>Wampar</v>
      </c>
      <c r="L712" s="1" t="str">
        <f>Paris!L$158</f>
        <v>P01</v>
      </c>
      <c r="M712" s="1" t="str">
        <f>CONCATENATE(tblCong[[#This Row],[seketCode]],"-",tblCong[[#This Row],[pCode]])</f>
        <v>D02-S12-P01</v>
      </c>
      <c r="N712" s="1" t="str">
        <f>Paris!M$158</f>
        <v>Waswas</v>
      </c>
      <c r="O712" s="1" t="s">
        <v>571</v>
      </c>
      <c r="P712" s="1" t="s">
        <v>1240</v>
      </c>
    </row>
    <row r="713" spans="6:16" x14ac:dyDescent="0.35">
      <c r="F713" s="1" t="str">
        <f>CONCATENATE(tblCong[[#This Row],[parishCode]],"-",tblCong[[#This Row],[kCode]])</f>
        <v>D02-S12-P02-K01</v>
      </c>
      <c r="G713" s="1" t="str">
        <f>Distrik!F$6</f>
        <v>D02</v>
      </c>
      <c r="H713" s="1" t="str">
        <f>VLOOKUP(tblCong[[#This Row],[distCode]],tblDistrict[#All],2)</f>
        <v>Jabem</v>
      </c>
      <c r="I713" s="1" t="str">
        <f>Seket!I$24</f>
        <v>S12</v>
      </c>
      <c r="J713" s="1" t="str">
        <f>CONCATENATE(tblCong[[#This Row],[distCode]],"-",tblCong[[#This Row],[sCode]])</f>
        <v>D02-S12</v>
      </c>
      <c r="K713" s="1" t="str">
        <f>VLOOKUP(tblCong[[#This Row],[seketCode]],tblSeket[#All],5,FALSE)</f>
        <v>Wampar</v>
      </c>
      <c r="L713" s="1" t="str">
        <f>Paris!L$159</f>
        <v>P02</v>
      </c>
      <c r="M713" s="1" t="str">
        <f>CONCATENATE(tblCong[[#This Row],[seketCode]],"-",tblCong[[#This Row],[pCode]])</f>
        <v>D02-S12-P02</v>
      </c>
      <c r="N713" s="1" t="str">
        <f>Paris!M$159</f>
        <v>St. Ben</v>
      </c>
      <c r="O713" s="1" t="s">
        <v>567</v>
      </c>
      <c r="P713" s="1" t="s">
        <v>1241</v>
      </c>
    </row>
    <row r="714" spans="6:16" x14ac:dyDescent="0.35">
      <c r="F714" s="1" t="str">
        <f>CONCATENATE(tblCong[[#This Row],[parishCode]],"-",tblCong[[#This Row],[kCode]])</f>
        <v>D02-S12-P02-K02</v>
      </c>
      <c r="G714" s="1" t="str">
        <f>Distrik!F$6</f>
        <v>D02</v>
      </c>
      <c r="H714" s="1" t="str">
        <f>VLOOKUP(tblCong[[#This Row],[distCode]],tblDistrict[#All],2)</f>
        <v>Jabem</v>
      </c>
      <c r="I714" s="1" t="str">
        <f>Seket!I$24</f>
        <v>S12</v>
      </c>
      <c r="J714" s="1" t="str">
        <f>CONCATENATE(tblCong[[#This Row],[distCode]],"-",tblCong[[#This Row],[sCode]])</f>
        <v>D02-S12</v>
      </c>
      <c r="K714" s="1" t="str">
        <f>VLOOKUP(tblCong[[#This Row],[seketCode]],tblSeket[#All],5,FALSE)</f>
        <v>Wampar</v>
      </c>
      <c r="L714" s="1" t="str">
        <f>Paris!L$159</f>
        <v>P02</v>
      </c>
      <c r="M714" s="1" t="str">
        <f>CONCATENATE(tblCong[[#This Row],[seketCode]],"-",tblCong[[#This Row],[pCode]])</f>
        <v>D02-S12-P02</v>
      </c>
      <c r="N714" s="1" t="str">
        <f>Paris!M$159</f>
        <v>St. Ben</v>
      </c>
      <c r="O714" s="1" t="s">
        <v>569</v>
      </c>
      <c r="P714" s="1" t="s">
        <v>1242</v>
      </c>
    </row>
    <row r="715" spans="6:16" x14ac:dyDescent="0.35">
      <c r="F715" s="1" t="str">
        <f>CONCATENATE(tblCong[[#This Row],[parishCode]],"-",tblCong[[#This Row],[kCode]])</f>
        <v>D02-S12-P02-K03</v>
      </c>
      <c r="G715" s="1" t="str">
        <f>Distrik!F$6</f>
        <v>D02</v>
      </c>
      <c r="H715" s="1" t="str">
        <f>VLOOKUP(tblCong[[#This Row],[distCode]],tblDistrict[#All],2)</f>
        <v>Jabem</v>
      </c>
      <c r="I715" s="1" t="str">
        <f>Seket!I$24</f>
        <v>S12</v>
      </c>
      <c r="J715" s="1" t="str">
        <f>CONCATENATE(tblCong[[#This Row],[distCode]],"-",tblCong[[#This Row],[sCode]])</f>
        <v>D02-S12</v>
      </c>
      <c r="K715" s="1" t="str">
        <f>VLOOKUP(tblCong[[#This Row],[seketCode]],tblSeket[#All],5,FALSE)</f>
        <v>Wampar</v>
      </c>
      <c r="L715" s="1" t="str">
        <f>Paris!L$159</f>
        <v>P02</v>
      </c>
      <c r="M715" s="1" t="str">
        <f>CONCATENATE(tblCong[[#This Row],[seketCode]],"-",tblCong[[#This Row],[pCode]])</f>
        <v>D02-S12-P02</v>
      </c>
      <c r="N715" s="1" t="str">
        <f>Paris!M$159</f>
        <v>St. Ben</v>
      </c>
      <c r="O715" s="1" t="s">
        <v>571</v>
      </c>
      <c r="P715" s="1" t="s">
        <v>1243</v>
      </c>
    </row>
    <row r="716" spans="6:16" x14ac:dyDescent="0.35">
      <c r="F716" s="1" t="str">
        <f>CONCATENATE(tblCong[[#This Row],[parishCode]],"-",tblCong[[#This Row],[kCode]])</f>
        <v>D02-S12-P02-K04</v>
      </c>
      <c r="G716" s="1" t="str">
        <f>Distrik!F$6</f>
        <v>D02</v>
      </c>
      <c r="H716" s="1" t="str">
        <f>VLOOKUP(tblCong[[#This Row],[distCode]],tblDistrict[#All],2)</f>
        <v>Jabem</v>
      </c>
      <c r="I716" s="1" t="str">
        <f>Seket!I$24</f>
        <v>S12</v>
      </c>
      <c r="J716" s="1" t="str">
        <f>CONCATENATE(tblCong[[#This Row],[distCode]],"-",tblCong[[#This Row],[sCode]])</f>
        <v>D02-S12</v>
      </c>
      <c r="K716" s="1" t="str">
        <f>VLOOKUP(tblCong[[#This Row],[seketCode]],tblSeket[#All],5,FALSE)</f>
        <v>Wampar</v>
      </c>
      <c r="L716" s="1" t="str">
        <f>Paris!L$159</f>
        <v>P02</v>
      </c>
      <c r="M716" s="1" t="str">
        <f>CONCATENATE(tblCong[[#This Row],[seketCode]],"-",tblCong[[#This Row],[pCode]])</f>
        <v>D02-S12-P02</v>
      </c>
      <c r="N716" s="1" t="str">
        <f>Paris!M$159</f>
        <v>St. Ben</v>
      </c>
      <c r="O716" s="1" t="s">
        <v>573</v>
      </c>
      <c r="P716" s="1" t="s">
        <v>1244</v>
      </c>
    </row>
    <row r="717" spans="6:16" x14ac:dyDescent="0.35">
      <c r="F717" s="1" t="str">
        <f>CONCATENATE(tblCong[[#This Row],[parishCode]],"-",tblCong[[#This Row],[kCode]])</f>
        <v>D02-S12-P02-K05</v>
      </c>
      <c r="G717" s="1" t="str">
        <f>Distrik!F$6</f>
        <v>D02</v>
      </c>
      <c r="H717" s="1" t="str">
        <f>VLOOKUP(tblCong[[#This Row],[distCode]],tblDistrict[#All],2)</f>
        <v>Jabem</v>
      </c>
      <c r="I717" s="1" t="str">
        <f>Seket!I$24</f>
        <v>S12</v>
      </c>
      <c r="J717" s="1" t="str">
        <f>CONCATENATE(tblCong[[#This Row],[distCode]],"-",tblCong[[#This Row],[sCode]])</f>
        <v>D02-S12</v>
      </c>
      <c r="K717" s="1" t="str">
        <f>VLOOKUP(tblCong[[#This Row],[seketCode]],tblSeket[#All],5,FALSE)</f>
        <v>Wampar</v>
      </c>
      <c r="L717" s="1" t="str">
        <f>Paris!L$159</f>
        <v>P02</v>
      </c>
      <c r="M717" s="1" t="str">
        <f>CONCATENATE(tblCong[[#This Row],[seketCode]],"-",tblCong[[#This Row],[pCode]])</f>
        <v>D02-S12-P02</v>
      </c>
      <c r="N717" s="1" t="str">
        <f>Paris!M$159</f>
        <v>St. Ben</v>
      </c>
      <c r="O717" s="1" t="s">
        <v>575</v>
      </c>
      <c r="P717" s="1" t="s">
        <v>1245</v>
      </c>
    </row>
    <row r="718" spans="6:16" x14ac:dyDescent="0.35">
      <c r="F718" s="1" t="str">
        <f>CONCATENATE(tblCong[[#This Row],[parishCode]],"-",tblCong[[#This Row],[kCode]])</f>
        <v>D02-S12-P03-K01</v>
      </c>
      <c r="G718" s="1" t="str">
        <f>Distrik!F$6</f>
        <v>D02</v>
      </c>
      <c r="H718" s="1" t="str">
        <f>VLOOKUP(tblCong[[#This Row],[distCode]],tblDistrict[#All],2)</f>
        <v>Jabem</v>
      </c>
      <c r="I718" s="1" t="str">
        <f>Seket!I$24</f>
        <v>S12</v>
      </c>
      <c r="J718" s="1" t="str">
        <f>CONCATENATE(tblCong[[#This Row],[distCode]],"-",tblCong[[#This Row],[sCode]])</f>
        <v>D02-S12</v>
      </c>
      <c r="K718" s="1" t="str">
        <f>VLOOKUP(tblCong[[#This Row],[seketCode]],tblSeket[#All],5,FALSE)</f>
        <v>Wampar</v>
      </c>
      <c r="L718" s="1" t="str">
        <f>Paris!L$160</f>
        <v>P03</v>
      </c>
      <c r="M718" s="1" t="str">
        <f>CONCATENATE(tblCong[[#This Row],[seketCode]],"-",tblCong[[#This Row],[pCode]])</f>
        <v>D02-S12-P03</v>
      </c>
      <c r="N718" s="1" t="str">
        <f>Paris!M$160</f>
        <v>St. Timothy</v>
      </c>
      <c r="O718" s="1" t="s">
        <v>567</v>
      </c>
      <c r="P718" s="1" t="s">
        <v>1246</v>
      </c>
    </row>
    <row r="719" spans="6:16" x14ac:dyDescent="0.35">
      <c r="F719" s="1" t="str">
        <f>CONCATENATE(tblCong[[#This Row],[parishCode]],"-",tblCong[[#This Row],[kCode]])</f>
        <v>D02-S12-P03-K02</v>
      </c>
      <c r="G719" s="1" t="str">
        <f>Distrik!F$6</f>
        <v>D02</v>
      </c>
      <c r="H719" s="1" t="str">
        <f>VLOOKUP(tblCong[[#This Row],[distCode]],tblDistrict[#All],2)</f>
        <v>Jabem</v>
      </c>
      <c r="I719" s="1" t="str">
        <f>Seket!I$24</f>
        <v>S12</v>
      </c>
      <c r="J719" s="1" t="str">
        <f>CONCATENATE(tblCong[[#This Row],[distCode]],"-",tblCong[[#This Row],[sCode]])</f>
        <v>D02-S12</v>
      </c>
      <c r="K719" s="1" t="str">
        <f>VLOOKUP(tblCong[[#This Row],[seketCode]],tblSeket[#All],5,FALSE)</f>
        <v>Wampar</v>
      </c>
      <c r="L719" s="1" t="str">
        <f>Paris!L$160</f>
        <v>P03</v>
      </c>
      <c r="M719" s="1" t="str">
        <f>CONCATENATE(tblCong[[#This Row],[seketCode]],"-",tblCong[[#This Row],[pCode]])</f>
        <v>D02-S12-P03</v>
      </c>
      <c r="N719" s="1" t="str">
        <f>Paris!M$160</f>
        <v>St. Timothy</v>
      </c>
      <c r="O719" s="1" t="s">
        <v>569</v>
      </c>
      <c r="P719" s="1" t="s">
        <v>1247</v>
      </c>
    </row>
    <row r="720" spans="6:16" x14ac:dyDescent="0.35">
      <c r="F720" s="1" t="str">
        <f>CONCATENATE(tblCong[[#This Row],[parishCode]],"-",tblCong[[#This Row],[kCode]])</f>
        <v>D02-S12-P03-K03</v>
      </c>
      <c r="G720" s="1" t="str">
        <f>Distrik!F$6</f>
        <v>D02</v>
      </c>
      <c r="H720" s="1" t="str">
        <f>VLOOKUP(tblCong[[#This Row],[distCode]],tblDistrict[#All],2)</f>
        <v>Jabem</v>
      </c>
      <c r="I720" s="1" t="str">
        <f>Seket!I$24</f>
        <v>S12</v>
      </c>
      <c r="J720" s="1" t="str">
        <f>CONCATENATE(tblCong[[#This Row],[distCode]],"-",tblCong[[#This Row],[sCode]])</f>
        <v>D02-S12</v>
      </c>
      <c r="K720" s="1" t="str">
        <f>VLOOKUP(tblCong[[#This Row],[seketCode]],tblSeket[#All],5,FALSE)</f>
        <v>Wampar</v>
      </c>
      <c r="L720" s="1" t="str">
        <f>Paris!L$160</f>
        <v>P03</v>
      </c>
      <c r="M720" s="1" t="str">
        <f>CONCATENATE(tblCong[[#This Row],[seketCode]],"-",tblCong[[#This Row],[pCode]])</f>
        <v>D02-S12-P03</v>
      </c>
      <c r="N720" s="1" t="str">
        <f>Paris!M$160</f>
        <v>St. Timothy</v>
      </c>
      <c r="O720" s="1" t="s">
        <v>571</v>
      </c>
      <c r="P720" s="1" t="s">
        <v>1248</v>
      </c>
    </row>
    <row r="721" spans="6:16" x14ac:dyDescent="0.35">
      <c r="F721" s="1" t="str">
        <f>CONCATENATE(tblCong[[#This Row],[parishCode]],"-",tblCong[[#This Row],[kCode]])</f>
        <v>D02-S12-P04-K01</v>
      </c>
      <c r="G721" s="1" t="str">
        <f>Distrik!F$6</f>
        <v>D02</v>
      </c>
      <c r="H721" s="1" t="str">
        <f>VLOOKUP(tblCong[[#This Row],[distCode]],tblDistrict[#All],2)</f>
        <v>Jabem</v>
      </c>
      <c r="I721" s="1" t="str">
        <f>Seket!I$24</f>
        <v>S12</v>
      </c>
      <c r="J721" s="1" t="str">
        <f>CONCATENATE(tblCong[[#This Row],[distCode]],"-",tblCong[[#This Row],[sCode]])</f>
        <v>D02-S12</v>
      </c>
      <c r="K721" s="1" t="str">
        <f>VLOOKUP(tblCong[[#This Row],[seketCode]],tblSeket[#All],5,FALSE)</f>
        <v>Wampar</v>
      </c>
      <c r="L721" s="1" t="str">
        <f>Paris!L$161</f>
        <v>P04</v>
      </c>
      <c r="M721" s="1" t="str">
        <f>CONCATENATE(tblCong[[#This Row],[seketCode]],"-",tblCong[[#This Row],[pCode]])</f>
        <v>D02-S12-P04</v>
      </c>
      <c r="N721" s="1" t="str">
        <f>Paris!M$161</f>
        <v>St. Titus</v>
      </c>
      <c r="O721" s="1" t="s">
        <v>567</v>
      </c>
      <c r="P721" s="1" t="s">
        <v>1249</v>
      </c>
    </row>
    <row r="722" spans="6:16" x14ac:dyDescent="0.35">
      <c r="F722" s="1" t="str">
        <f>CONCATENATE(tblCong[[#This Row],[parishCode]],"-",tblCong[[#This Row],[kCode]])</f>
        <v>D02-S12-P04-K02</v>
      </c>
      <c r="G722" s="1" t="str">
        <f>Distrik!F$6</f>
        <v>D02</v>
      </c>
      <c r="H722" s="1" t="str">
        <f>VLOOKUP(tblCong[[#This Row],[distCode]],tblDistrict[#All],2)</f>
        <v>Jabem</v>
      </c>
      <c r="I722" s="1" t="str">
        <f>Seket!I$24</f>
        <v>S12</v>
      </c>
      <c r="J722" s="1" t="str">
        <f>CONCATENATE(tblCong[[#This Row],[distCode]],"-",tblCong[[#This Row],[sCode]])</f>
        <v>D02-S12</v>
      </c>
      <c r="K722" s="1" t="str">
        <f>VLOOKUP(tblCong[[#This Row],[seketCode]],tblSeket[#All],5,FALSE)</f>
        <v>Wampar</v>
      </c>
      <c r="L722" s="1" t="str">
        <f>Paris!L$161</f>
        <v>P04</v>
      </c>
      <c r="M722" s="1" t="str">
        <f>CONCATENATE(tblCong[[#This Row],[seketCode]],"-",tblCong[[#This Row],[pCode]])</f>
        <v>D02-S12-P04</v>
      </c>
      <c r="N722" s="1" t="str">
        <f>Paris!M$161</f>
        <v>St. Titus</v>
      </c>
      <c r="O722" s="1" t="s">
        <v>569</v>
      </c>
      <c r="P722" s="1" t="s">
        <v>1250</v>
      </c>
    </row>
    <row r="723" spans="6:16" x14ac:dyDescent="0.35">
      <c r="F723" s="1" t="str">
        <f>CONCATENATE(tblCong[[#This Row],[parishCode]],"-",tblCong[[#This Row],[kCode]])</f>
        <v>D02-S12-P04-K03</v>
      </c>
      <c r="G723" s="1" t="str">
        <f>Distrik!F$6</f>
        <v>D02</v>
      </c>
      <c r="H723" s="1" t="str">
        <f>VLOOKUP(tblCong[[#This Row],[distCode]],tblDistrict[#All],2)</f>
        <v>Jabem</v>
      </c>
      <c r="I723" s="1" t="str">
        <f>Seket!I$24</f>
        <v>S12</v>
      </c>
      <c r="J723" s="1" t="str">
        <f>CONCATENATE(tblCong[[#This Row],[distCode]],"-",tblCong[[#This Row],[sCode]])</f>
        <v>D02-S12</v>
      </c>
      <c r="K723" s="1" t="str">
        <f>VLOOKUP(tblCong[[#This Row],[seketCode]],tblSeket[#All],5,FALSE)</f>
        <v>Wampar</v>
      </c>
      <c r="L723" s="1" t="str">
        <f>Paris!L$161</f>
        <v>P04</v>
      </c>
      <c r="M723" s="1" t="str">
        <f>CONCATENATE(tblCong[[#This Row],[seketCode]],"-",tblCong[[#This Row],[pCode]])</f>
        <v>D02-S12-P04</v>
      </c>
      <c r="N723" s="1" t="str">
        <f>Paris!M$161</f>
        <v>St. Titus</v>
      </c>
      <c r="O723" s="1" t="s">
        <v>571</v>
      </c>
      <c r="P723" s="1" t="s">
        <v>1251</v>
      </c>
    </row>
    <row r="724" spans="6:16" x14ac:dyDescent="0.35">
      <c r="F724" s="1" t="str">
        <f>CONCATENATE(tblCong[[#This Row],[parishCode]],"-",tblCong[[#This Row],[kCode]])</f>
        <v>D02-S12-P05-K01</v>
      </c>
      <c r="G724" s="1" t="str">
        <f>Distrik!F$6</f>
        <v>D02</v>
      </c>
      <c r="H724" s="1" t="str">
        <f>VLOOKUP(tblCong[[#This Row],[distCode]],tblDistrict[#All],2)</f>
        <v>Jabem</v>
      </c>
      <c r="I724" s="1" t="str">
        <f>Seket!I$24</f>
        <v>S12</v>
      </c>
      <c r="J724" s="1" t="str">
        <f>CONCATENATE(tblCong[[#This Row],[distCode]],"-",tblCong[[#This Row],[sCode]])</f>
        <v>D02-S12</v>
      </c>
      <c r="K724" s="1" t="str">
        <f>VLOOKUP(tblCong[[#This Row],[seketCode]],tblSeket[#All],5,FALSE)</f>
        <v>Wampar</v>
      </c>
      <c r="L724" s="1" t="str">
        <f>Paris!L$162</f>
        <v>P05</v>
      </c>
      <c r="M724" s="1" t="str">
        <f>CONCATENATE(tblCong[[#This Row],[seketCode]],"-",tblCong[[#This Row],[pCode]])</f>
        <v>D02-S12-P05</v>
      </c>
      <c r="N724" s="1" t="str">
        <f>Paris!M$162</f>
        <v>Erap</v>
      </c>
      <c r="O724" s="1" t="s">
        <v>567</v>
      </c>
      <c r="P724" s="1" t="s">
        <v>1252</v>
      </c>
    </row>
    <row r="725" spans="6:16" x14ac:dyDescent="0.35">
      <c r="F725" s="1" t="str">
        <f>CONCATENATE(tblCong[[#This Row],[parishCode]],"-",tblCong[[#This Row],[kCode]])</f>
        <v>D02-S12-P05-K02</v>
      </c>
      <c r="G725" s="1" t="str">
        <f>Distrik!F$6</f>
        <v>D02</v>
      </c>
      <c r="H725" s="1" t="str">
        <f>VLOOKUP(tblCong[[#This Row],[distCode]],tblDistrict[#All],2)</f>
        <v>Jabem</v>
      </c>
      <c r="I725" s="1" t="str">
        <f>Seket!I$24</f>
        <v>S12</v>
      </c>
      <c r="J725" s="1" t="str">
        <f>CONCATENATE(tblCong[[#This Row],[distCode]],"-",tblCong[[#This Row],[sCode]])</f>
        <v>D02-S12</v>
      </c>
      <c r="K725" s="1" t="str">
        <f>VLOOKUP(tblCong[[#This Row],[seketCode]],tblSeket[#All],5,FALSE)</f>
        <v>Wampar</v>
      </c>
      <c r="L725" s="1" t="str">
        <f>Paris!L$162</f>
        <v>P05</v>
      </c>
      <c r="M725" s="1" t="str">
        <f>CONCATENATE(tblCong[[#This Row],[seketCode]],"-",tblCong[[#This Row],[pCode]])</f>
        <v>D02-S12-P05</v>
      </c>
      <c r="N725" s="1" t="str">
        <f>Paris!M$162</f>
        <v>Erap</v>
      </c>
      <c r="O725" s="1" t="s">
        <v>569</v>
      </c>
      <c r="P725" s="1" t="s">
        <v>1253</v>
      </c>
    </row>
    <row r="726" spans="6:16" x14ac:dyDescent="0.35">
      <c r="F726" s="1" t="str">
        <f>CONCATENATE(tblCong[[#This Row],[parishCode]],"-",tblCong[[#This Row],[kCode]])</f>
        <v>D02-S12-P05-K03</v>
      </c>
      <c r="G726" s="1" t="str">
        <f>Distrik!F$6</f>
        <v>D02</v>
      </c>
      <c r="H726" s="1" t="str">
        <f>VLOOKUP(tblCong[[#This Row],[distCode]],tblDistrict[#All],2)</f>
        <v>Jabem</v>
      </c>
      <c r="I726" s="1" t="str">
        <f>Seket!I$24</f>
        <v>S12</v>
      </c>
      <c r="J726" s="1" t="str">
        <f>CONCATENATE(tblCong[[#This Row],[distCode]],"-",tblCong[[#This Row],[sCode]])</f>
        <v>D02-S12</v>
      </c>
      <c r="K726" s="1" t="str">
        <f>VLOOKUP(tblCong[[#This Row],[seketCode]],tblSeket[#All],5,FALSE)</f>
        <v>Wampar</v>
      </c>
      <c r="L726" s="1" t="str">
        <f>Paris!L$162</f>
        <v>P05</v>
      </c>
      <c r="M726" s="1" t="str">
        <f>CONCATENATE(tblCong[[#This Row],[seketCode]],"-",tblCong[[#This Row],[pCode]])</f>
        <v>D02-S12-P05</v>
      </c>
      <c r="N726" s="1" t="str">
        <f>Paris!M$162</f>
        <v>Erap</v>
      </c>
      <c r="O726" s="1" t="s">
        <v>571</v>
      </c>
      <c r="P726" s="1" t="s">
        <v>1254</v>
      </c>
    </row>
    <row r="727" spans="6:16" x14ac:dyDescent="0.35">
      <c r="F727" s="1" t="str">
        <f>CONCATENATE(tblCong[[#This Row],[parishCode]],"-",tblCong[[#This Row],[kCode]])</f>
        <v>D02-S12-P06-K01</v>
      </c>
      <c r="G727" s="1" t="str">
        <f>Distrik!F$6</f>
        <v>D02</v>
      </c>
      <c r="H727" s="1" t="str">
        <f>VLOOKUP(tblCong[[#This Row],[distCode]],tblDistrict[#All],2)</f>
        <v>Jabem</v>
      </c>
      <c r="I727" s="1" t="str">
        <f>Seket!I$24</f>
        <v>S12</v>
      </c>
      <c r="J727" s="1" t="str">
        <f>CONCATENATE(tblCong[[#This Row],[distCode]],"-",tblCong[[#This Row],[sCode]])</f>
        <v>D02-S12</v>
      </c>
      <c r="K727" s="1" t="str">
        <f>VLOOKUP(tblCong[[#This Row],[seketCode]],tblSeket[#All],5,FALSE)</f>
        <v>Wampar</v>
      </c>
      <c r="L727" s="1" t="str">
        <f>Paris!L$163</f>
        <v>P06</v>
      </c>
      <c r="M727" s="1" t="str">
        <f>CONCATENATE(tblCong[[#This Row],[seketCode]],"-",tblCong[[#This Row],[pCode]])</f>
        <v>D02-S12-P06</v>
      </c>
      <c r="N727" s="1" t="str">
        <f>Paris!M$163</f>
        <v>Sampi</v>
      </c>
      <c r="O727" s="1" t="s">
        <v>567</v>
      </c>
      <c r="P727" s="1" t="s">
        <v>1255</v>
      </c>
    </row>
    <row r="728" spans="6:16" x14ac:dyDescent="0.35">
      <c r="F728" s="1" t="str">
        <f>CONCATENATE(tblCong[[#This Row],[parishCode]],"-",tblCong[[#This Row],[kCode]])</f>
        <v>D02-S12-P06-K02</v>
      </c>
      <c r="G728" s="1" t="str">
        <f>Distrik!F$6</f>
        <v>D02</v>
      </c>
      <c r="H728" s="1" t="str">
        <f>VLOOKUP(tblCong[[#This Row],[distCode]],tblDistrict[#All],2)</f>
        <v>Jabem</v>
      </c>
      <c r="I728" s="1" t="str">
        <f>Seket!I$24</f>
        <v>S12</v>
      </c>
      <c r="J728" s="1" t="str">
        <f>CONCATENATE(tblCong[[#This Row],[distCode]],"-",tblCong[[#This Row],[sCode]])</f>
        <v>D02-S12</v>
      </c>
      <c r="K728" s="1" t="str">
        <f>VLOOKUP(tblCong[[#This Row],[seketCode]],tblSeket[#All],5,FALSE)</f>
        <v>Wampar</v>
      </c>
      <c r="L728" s="1" t="str">
        <f>Paris!L$163</f>
        <v>P06</v>
      </c>
      <c r="M728" s="1" t="str">
        <f>CONCATENATE(tblCong[[#This Row],[seketCode]],"-",tblCong[[#This Row],[pCode]])</f>
        <v>D02-S12-P06</v>
      </c>
      <c r="N728" s="1" t="str">
        <f>Paris!M$163</f>
        <v>Sampi</v>
      </c>
      <c r="O728" s="1" t="s">
        <v>569</v>
      </c>
      <c r="P728" s="1" t="s">
        <v>1256</v>
      </c>
    </row>
    <row r="729" spans="6:16" x14ac:dyDescent="0.35">
      <c r="F729" s="1" t="str">
        <f>CONCATENATE(tblCong[[#This Row],[parishCode]],"-",tblCong[[#This Row],[kCode]])</f>
        <v>D02-S12-P06-K03</v>
      </c>
      <c r="G729" s="1" t="str">
        <f>Distrik!F$6</f>
        <v>D02</v>
      </c>
      <c r="H729" s="1" t="str">
        <f>VLOOKUP(tblCong[[#This Row],[distCode]],tblDistrict[#All],2)</f>
        <v>Jabem</v>
      </c>
      <c r="I729" s="1" t="str">
        <f>Seket!I$24</f>
        <v>S12</v>
      </c>
      <c r="J729" s="1" t="str">
        <f>CONCATENATE(tblCong[[#This Row],[distCode]],"-",tblCong[[#This Row],[sCode]])</f>
        <v>D02-S12</v>
      </c>
      <c r="K729" s="1" t="str">
        <f>VLOOKUP(tblCong[[#This Row],[seketCode]],tblSeket[#All],5,FALSE)</f>
        <v>Wampar</v>
      </c>
      <c r="L729" s="1" t="str">
        <f>Paris!L$163</f>
        <v>P06</v>
      </c>
      <c r="M729" s="1" t="str">
        <f>CONCATENATE(tblCong[[#This Row],[seketCode]],"-",tblCong[[#This Row],[pCode]])</f>
        <v>D02-S12-P06</v>
      </c>
      <c r="N729" s="1" t="str">
        <f>Paris!M$163</f>
        <v>Sampi</v>
      </c>
      <c r="O729" s="1" t="s">
        <v>571</v>
      </c>
      <c r="P729" s="1" t="s">
        <v>1257</v>
      </c>
    </row>
    <row r="730" spans="6:16" x14ac:dyDescent="0.35">
      <c r="F730" s="1" t="str">
        <f>CONCATENATE(tblCong[[#This Row],[parishCode]],"-",tblCong[[#This Row],[kCode]])</f>
        <v>D02-S12-P06-K04</v>
      </c>
      <c r="G730" s="1" t="str">
        <f>Distrik!F$6</f>
        <v>D02</v>
      </c>
      <c r="H730" s="1" t="str">
        <f>VLOOKUP(tblCong[[#This Row],[distCode]],tblDistrict[#All],2)</f>
        <v>Jabem</v>
      </c>
      <c r="I730" s="1" t="str">
        <f>Seket!I$24</f>
        <v>S12</v>
      </c>
      <c r="J730" s="1" t="str">
        <f>CONCATENATE(tblCong[[#This Row],[distCode]],"-",tblCong[[#This Row],[sCode]])</f>
        <v>D02-S12</v>
      </c>
      <c r="K730" s="1" t="str">
        <f>VLOOKUP(tblCong[[#This Row],[seketCode]],tblSeket[#All],5,FALSE)</f>
        <v>Wampar</v>
      </c>
      <c r="L730" s="1" t="str">
        <f>Paris!L$163</f>
        <v>P06</v>
      </c>
      <c r="M730" s="1" t="str">
        <f>CONCATENATE(tblCong[[#This Row],[seketCode]],"-",tblCong[[#This Row],[pCode]])</f>
        <v>D02-S12-P06</v>
      </c>
      <c r="N730" s="1" t="str">
        <f>Paris!M$163</f>
        <v>Sampi</v>
      </c>
      <c r="O730" s="1" t="s">
        <v>573</v>
      </c>
      <c r="P730" s="1" t="s">
        <v>1258</v>
      </c>
    </row>
    <row r="731" spans="6:16" x14ac:dyDescent="0.35">
      <c r="F731" s="1" t="str">
        <f>CONCATENATE(tblCong[[#This Row],[parishCode]],"-",tblCong[[#This Row],[kCode]])</f>
        <v>D02-S12-P07-K01</v>
      </c>
      <c r="G731" s="1" t="str">
        <f>Distrik!F$6</f>
        <v>D02</v>
      </c>
      <c r="H731" s="1" t="str">
        <f>VLOOKUP(tblCong[[#This Row],[distCode]],tblDistrict[#All],2)</f>
        <v>Jabem</v>
      </c>
      <c r="I731" s="1" t="str">
        <f>Seket!I$24</f>
        <v>S12</v>
      </c>
      <c r="J731" s="1" t="str">
        <f>CONCATENATE(tblCong[[#This Row],[distCode]],"-",tblCong[[#This Row],[sCode]])</f>
        <v>D02-S12</v>
      </c>
      <c r="K731" s="1" t="str">
        <f>VLOOKUP(tblCong[[#This Row],[seketCode]],tblSeket[#All],5,FALSE)</f>
        <v>Wampar</v>
      </c>
      <c r="L731" s="1" t="str">
        <f>Paris!L$164</f>
        <v>P07</v>
      </c>
      <c r="M731" s="1" t="str">
        <f>CONCATENATE(tblCong[[#This Row],[seketCode]],"-",tblCong[[#This Row],[pCode]])</f>
        <v>D02-S12-P07</v>
      </c>
      <c r="N731" s="1" t="str">
        <f>Paris!M$164</f>
        <v>Saga</v>
      </c>
      <c r="O731" s="1" t="s">
        <v>567</v>
      </c>
      <c r="P731" s="1" t="s">
        <v>1259</v>
      </c>
    </row>
    <row r="732" spans="6:16" x14ac:dyDescent="0.35">
      <c r="F732" s="1" t="str">
        <f>CONCATENATE(tblCong[[#This Row],[parishCode]],"-",tblCong[[#This Row],[kCode]])</f>
        <v>D02-S12-P07-K02</v>
      </c>
      <c r="G732" s="1" t="str">
        <f>Distrik!F$6</f>
        <v>D02</v>
      </c>
      <c r="H732" s="1" t="str">
        <f>VLOOKUP(tblCong[[#This Row],[distCode]],tblDistrict[#All],2)</f>
        <v>Jabem</v>
      </c>
      <c r="I732" s="1" t="str">
        <f>Seket!I$24</f>
        <v>S12</v>
      </c>
      <c r="J732" s="1" t="str">
        <f>CONCATENATE(tblCong[[#This Row],[distCode]],"-",tblCong[[#This Row],[sCode]])</f>
        <v>D02-S12</v>
      </c>
      <c r="K732" s="1" t="str">
        <f>VLOOKUP(tblCong[[#This Row],[seketCode]],tblSeket[#All],5,FALSE)</f>
        <v>Wampar</v>
      </c>
      <c r="L732" s="1" t="str">
        <f>Paris!L$164</f>
        <v>P07</v>
      </c>
      <c r="M732" s="1" t="str">
        <f>CONCATENATE(tblCong[[#This Row],[seketCode]],"-",tblCong[[#This Row],[pCode]])</f>
        <v>D02-S12-P07</v>
      </c>
      <c r="N732" s="1" t="str">
        <f>Paris!M$164</f>
        <v>Saga</v>
      </c>
      <c r="O732" s="1" t="s">
        <v>569</v>
      </c>
      <c r="P732" s="1" t="s">
        <v>1260</v>
      </c>
    </row>
    <row r="733" spans="6:16" x14ac:dyDescent="0.35">
      <c r="F733" s="1" t="str">
        <f>CONCATENATE(tblCong[[#This Row],[parishCode]],"-",tblCong[[#This Row],[kCode]])</f>
        <v>D02-S12-P07-K03</v>
      </c>
      <c r="G733" s="1" t="str">
        <f>Distrik!F$6</f>
        <v>D02</v>
      </c>
      <c r="H733" s="1" t="str">
        <f>VLOOKUP(tblCong[[#This Row],[distCode]],tblDistrict[#All],2)</f>
        <v>Jabem</v>
      </c>
      <c r="I733" s="1" t="str">
        <f>Seket!I$24</f>
        <v>S12</v>
      </c>
      <c r="J733" s="1" t="str">
        <f>CONCATENATE(tblCong[[#This Row],[distCode]],"-",tblCong[[#This Row],[sCode]])</f>
        <v>D02-S12</v>
      </c>
      <c r="K733" s="1" t="str">
        <f>VLOOKUP(tblCong[[#This Row],[seketCode]],tblSeket[#All],5,FALSE)</f>
        <v>Wampar</v>
      </c>
      <c r="L733" s="1" t="str">
        <f>Paris!L$164</f>
        <v>P07</v>
      </c>
      <c r="M733" s="1" t="str">
        <f>CONCATENATE(tblCong[[#This Row],[seketCode]],"-",tblCong[[#This Row],[pCode]])</f>
        <v>D02-S12-P07</v>
      </c>
      <c r="N733" s="1" t="str">
        <f>Paris!M$164</f>
        <v>Saga</v>
      </c>
      <c r="O733" s="1" t="s">
        <v>571</v>
      </c>
      <c r="P733" s="1" t="s">
        <v>1261</v>
      </c>
    </row>
    <row r="734" spans="6:16" x14ac:dyDescent="0.35">
      <c r="F734" s="1" t="str">
        <f>CONCATENATE(tblCong[[#This Row],[parishCode]],"-",tblCong[[#This Row],[kCode]])</f>
        <v>D02-S12-P07-K04</v>
      </c>
      <c r="G734" s="1" t="str">
        <f>Distrik!F$6</f>
        <v>D02</v>
      </c>
      <c r="H734" s="1" t="str">
        <f>VLOOKUP(tblCong[[#This Row],[distCode]],tblDistrict[#All],2)</f>
        <v>Jabem</v>
      </c>
      <c r="I734" s="1" t="str">
        <f>Seket!I$24</f>
        <v>S12</v>
      </c>
      <c r="J734" s="1" t="str">
        <f>CONCATENATE(tblCong[[#This Row],[distCode]],"-",tblCong[[#This Row],[sCode]])</f>
        <v>D02-S12</v>
      </c>
      <c r="K734" s="1" t="str">
        <f>VLOOKUP(tblCong[[#This Row],[seketCode]],tblSeket[#All],5,FALSE)</f>
        <v>Wampar</v>
      </c>
      <c r="L734" s="1" t="str">
        <f>Paris!L$164</f>
        <v>P07</v>
      </c>
      <c r="M734" s="1" t="str">
        <f>CONCATENATE(tblCong[[#This Row],[seketCode]],"-",tblCong[[#This Row],[pCode]])</f>
        <v>D02-S12-P07</v>
      </c>
      <c r="N734" s="1" t="str">
        <f>Paris!M$164</f>
        <v>Saga</v>
      </c>
      <c r="O734" s="1" t="s">
        <v>573</v>
      </c>
      <c r="P734" s="1" t="s">
        <v>1262</v>
      </c>
    </row>
    <row r="735" spans="6:16" x14ac:dyDescent="0.35">
      <c r="F735" s="1" t="str">
        <f>CONCATENATE(tblCong[[#This Row],[parishCode]],"-",tblCong[[#This Row],[kCode]])</f>
        <v>D02-S13-P01-K01</v>
      </c>
      <c r="G735" s="1" t="str">
        <f>Distrik!F$6</f>
        <v>D02</v>
      </c>
      <c r="H735" s="1" t="str">
        <f>VLOOKUP(tblCong[[#This Row],[distCode]],tblDistrict[#All],2)</f>
        <v>Jabem</v>
      </c>
      <c r="I735" s="1" t="str">
        <f>Seket!I$25</f>
        <v>S13</v>
      </c>
      <c r="J735" s="1" t="str">
        <f>CONCATENATE(tblCong[[#This Row],[distCode]],"-",tblCong[[#This Row],[sCode]])</f>
        <v>D02-S13</v>
      </c>
      <c r="K735" s="1" t="str">
        <f>VLOOKUP(tblCong[[#This Row],[seketCode]],tblSeket[#All],5,FALSE)</f>
        <v>Wantoat</v>
      </c>
      <c r="L735" s="1" t="str">
        <f>Paris!L$165</f>
        <v>P01</v>
      </c>
      <c r="M735" s="1" t="str">
        <f>CONCATENATE(tblCong[[#This Row],[seketCode]],"-",tblCong[[#This Row],[pCode]])</f>
        <v>D02-S13-P01</v>
      </c>
      <c r="N735" s="1" t="str">
        <f>Paris!M$165</f>
        <v>Awara (Kulang)</v>
      </c>
      <c r="O735" s="1" t="s">
        <v>567</v>
      </c>
      <c r="P735" s="1" t="s">
        <v>1263</v>
      </c>
    </row>
    <row r="736" spans="6:16" x14ac:dyDescent="0.35">
      <c r="F736" s="1" t="str">
        <f>CONCATENATE(tblCong[[#This Row],[parishCode]],"-",tblCong[[#This Row],[kCode]])</f>
        <v>D02-S13-P01-K02</v>
      </c>
      <c r="G736" s="1" t="str">
        <f>Distrik!F$6</f>
        <v>D02</v>
      </c>
      <c r="H736" s="1" t="str">
        <f>VLOOKUP(tblCong[[#This Row],[distCode]],tblDistrict[#All],2)</f>
        <v>Jabem</v>
      </c>
      <c r="I736" s="1" t="str">
        <f>Seket!I$25</f>
        <v>S13</v>
      </c>
      <c r="J736" s="1" t="str">
        <f>CONCATENATE(tblCong[[#This Row],[distCode]],"-",tblCong[[#This Row],[sCode]])</f>
        <v>D02-S13</v>
      </c>
      <c r="K736" s="1" t="str">
        <f>VLOOKUP(tblCong[[#This Row],[seketCode]],tblSeket[#All],5,FALSE)</f>
        <v>Wantoat</v>
      </c>
      <c r="L736" s="1" t="str">
        <f>Paris!L$165</f>
        <v>P01</v>
      </c>
      <c r="M736" s="1" t="str">
        <f>CONCATENATE(tblCong[[#This Row],[seketCode]],"-",tblCong[[#This Row],[pCode]])</f>
        <v>D02-S13-P01</v>
      </c>
      <c r="N736" s="1" t="str">
        <f>Paris!M$165</f>
        <v>Awara (Kulang)</v>
      </c>
      <c r="O736" s="1" t="s">
        <v>569</v>
      </c>
      <c r="P736" s="1" t="s">
        <v>1264</v>
      </c>
    </row>
    <row r="737" spans="6:16" x14ac:dyDescent="0.35">
      <c r="F737" s="1" t="str">
        <f>CONCATENATE(tblCong[[#This Row],[parishCode]],"-",tblCong[[#This Row],[kCode]])</f>
        <v>D02-S13-P01-K03</v>
      </c>
      <c r="G737" s="1" t="str">
        <f>Distrik!F$6</f>
        <v>D02</v>
      </c>
      <c r="H737" s="1" t="str">
        <f>VLOOKUP(tblCong[[#This Row],[distCode]],tblDistrict[#All],2)</f>
        <v>Jabem</v>
      </c>
      <c r="I737" s="1" t="str">
        <f>Seket!I$25</f>
        <v>S13</v>
      </c>
      <c r="J737" s="1" t="str">
        <f>CONCATENATE(tblCong[[#This Row],[distCode]],"-",tblCong[[#This Row],[sCode]])</f>
        <v>D02-S13</v>
      </c>
      <c r="K737" s="1" t="str">
        <f>VLOOKUP(tblCong[[#This Row],[seketCode]],tblSeket[#All],5,FALSE)</f>
        <v>Wantoat</v>
      </c>
      <c r="L737" s="1" t="str">
        <f>Paris!L$165</f>
        <v>P01</v>
      </c>
      <c r="M737" s="1" t="str">
        <f>CONCATENATE(tblCong[[#This Row],[seketCode]],"-",tblCong[[#This Row],[pCode]])</f>
        <v>D02-S13-P01</v>
      </c>
      <c r="N737" s="1" t="str">
        <f>Paris!M$165</f>
        <v>Awara (Kulang)</v>
      </c>
      <c r="O737" s="1" t="s">
        <v>571</v>
      </c>
      <c r="P737" s="1" t="s">
        <v>1265</v>
      </c>
    </row>
    <row r="738" spans="6:16" x14ac:dyDescent="0.35">
      <c r="F738" s="1" t="str">
        <f>CONCATENATE(tblCong[[#This Row],[parishCode]],"-",tblCong[[#This Row],[kCode]])</f>
        <v>D02-S13-P01-K04</v>
      </c>
      <c r="G738" s="1" t="str">
        <f>Distrik!F$6</f>
        <v>D02</v>
      </c>
      <c r="H738" s="1" t="str">
        <f>VLOOKUP(tblCong[[#This Row],[distCode]],tblDistrict[#All],2)</f>
        <v>Jabem</v>
      </c>
      <c r="I738" s="1" t="str">
        <f>Seket!I$25</f>
        <v>S13</v>
      </c>
      <c r="J738" s="1" t="str">
        <f>CONCATENATE(tblCong[[#This Row],[distCode]],"-",tblCong[[#This Row],[sCode]])</f>
        <v>D02-S13</v>
      </c>
      <c r="K738" s="1" t="str">
        <f>VLOOKUP(tblCong[[#This Row],[seketCode]],tblSeket[#All],5,FALSE)</f>
        <v>Wantoat</v>
      </c>
      <c r="L738" s="1" t="str">
        <f>Paris!L$165</f>
        <v>P01</v>
      </c>
      <c r="M738" s="1" t="str">
        <f>CONCATENATE(tblCong[[#This Row],[seketCode]],"-",tblCong[[#This Row],[pCode]])</f>
        <v>D02-S13-P01</v>
      </c>
      <c r="N738" s="1" t="str">
        <f>Paris!M$165</f>
        <v>Awara (Kulang)</v>
      </c>
      <c r="O738" s="1" t="s">
        <v>573</v>
      </c>
      <c r="P738" s="1" t="s">
        <v>1266</v>
      </c>
    </row>
    <row r="739" spans="6:16" x14ac:dyDescent="0.35">
      <c r="F739" s="1" t="str">
        <f>CONCATENATE(tblCong[[#This Row],[parishCode]],"-",tblCong[[#This Row],[kCode]])</f>
        <v>D02-S13-P01-K05</v>
      </c>
      <c r="G739" s="1" t="str">
        <f>Distrik!F$6</f>
        <v>D02</v>
      </c>
      <c r="H739" s="1" t="str">
        <f>VLOOKUP(tblCong[[#This Row],[distCode]],tblDistrict[#All],2)</f>
        <v>Jabem</v>
      </c>
      <c r="I739" s="1" t="str">
        <f>Seket!I$25</f>
        <v>S13</v>
      </c>
      <c r="J739" s="1" t="str">
        <f>CONCATENATE(tblCong[[#This Row],[distCode]],"-",tblCong[[#This Row],[sCode]])</f>
        <v>D02-S13</v>
      </c>
      <c r="K739" s="1" t="str">
        <f>VLOOKUP(tblCong[[#This Row],[seketCode]],tblSeket[#All],5,FALSE)</f>
        <v>Wantoat</v>
      </c>
      <c r="L739" s="1" t="str">
        <f>Paris!L$165</f>
        <v>P01</v>
      </c>
      <c r="M739" s="1" t="str">
        <f>CONCATENATE(tblCong[[#This Row],[seketCode]],"-",tblCong[[#This Row],[pCode]])</f>
        <v>D02-S13-P01</v>
      </c>
      <c r="N739" s="1" t="str">
        <f>Paris!M$165</f>
        <v>Awara (Kulang)</v>
      </c>
      <c r="O739" s="1" t="s">
        <v>575</v>
      </c>
      <c r="P739" s="1" t="s">
        <v>1267</v>
      </c>
    </row>
    <row r="740" spans="6:16" x14ac:dyDescent="0.35">
      <c r="F740" s="1" t="str">
        <f>CONCATENATE(tblCong[[#This Row],[parishCode]],"-",tblCong[[#This Row],[kCode]])</f>
        <v>D02-S13-P01-K06</v>
      </c>
      <c r="G740" s="1" t="str">
        <f>Distrik!F$6</f>
        <v>D02</v>
      </c>
      <c r="H740" s="1" t="str">
        <f>VLOOKUP(tblCong[[#This Row],[distCode]],tblDistrict[#All],2)</f>
        <v>Jabem</v>
      </c>
      <c r="I740" s="1" t="str">
        <f>Seket!I$25</f>
        <v>S13</v>
      </c>
      <c r="J740" s="1" t="str">
        <f>CONCATENATE(tblCong[[#This Row],[distCode]],"-",tblCong[[#This Row],[sCode]])</f>
        <v>D02-S13</v>
      </c>
      <c r="K740" s="1" t="str">
        <f>VLOOKUP(tblCong[[#This Row],[seketCode]],tblSeket[#All],5,FALSE)</f>
        <v>Wantoat</v>
      </c>
      <c r="L740" s="1" t="str">
        <f>Paris!L$165</f>
        <v>P01</v>
      </c>
      <c r="M740" s="1" t="str">
        <f>CONCATENATE(tblCong[[#This Row],[seketCode]],"-",tblCong[[#This Row],[pCode]])</f>
        <v>D02-S13-P01</v>
      </c>
      <c r="N740" s="1" t="str">
        <f>Paris!M$165</f>
        <v>Awara (Kulang)</v>
      </c>
      <c r="O740" s="1" t="s">
        <v>576</v>
      </c>
      <c r="P740" s="1" t="s">
        <v>1268</v>
      </c>
    </row>
    <row r="741" spans="6:16" x14ac:dyDescent="0.35">
      <c r="F741" s="1" t="str">
        <f>CONCATENATE(tblCong[[#This Row],[parishCode]],"-",tblCong[[#This Row],[kCode]])</f>
        <v>D02-S13-P01-K07</v>
      </c>
      <c r="G741" s="1" t="str">
        <f>Distrik!F$6</f>
        <v>D02</v>
      </c>
      <c r="H741" s="1" t="str">
        <f>VLOOKUP(tblCong[[#This Row],[distCode]],tblDistrict[#All],2)</f>
        <v>Jabem</v>
      </c>
      <c r="I741" s="1" t="str">
        <f>Seket!I$25</f>
        <v>S13</v>
      </c>
      <c r="J741" s="1" t="str">
        <f>CONCATENATE(tblCong[[#This Row],[distCode]],"-",tblCong[[#This Row],[sCode]])</f>
        <v>D02-S13</v>
      </c>
      <c r="K741" s="1" t="str">
        <f>VLOOKUP(tblCong[[#This Row],[seketCode]],tblSeket[#All],5,FALSE)</f>
        <v>Wantoat</v>
      </c>
      <c r="L741" s="1" t="str">
        <f>Paris!L$165</f>
        <v>P01</v>
      </c>
      <c r="M741" s="1" t="str">
        <f>CONCATENATE(tblCong[[#This Row],[seketCode]],"-",tblCong[[#This Row],[pCode]])</f>
        <v>D02-S13-P01</v>
      </c>
      <c r="N741" s="1" t="str">
        <f>Paris!M$165</f>
        <v>Awara (Kulang)</v>
      </c>
      <c r="O741" s="1" t="s">
        <v>578</v>
      </c>
      <c r="P741" s="1" t="s">
        <v>1269</v>
      </c>
    </row>
    <row r="742" spans="6:16" x14ac:dyDescent="0.35">
      <c r="F742" s="1" t="str">
        <f>CONCATENATE(tblCong[[#This Row],[parishCode]],"-",tblCong[[#This Row],[kCode]])</f>
        <v>D02-S13-P01-K08</v>
      </c>
      <c r="G742" s="1" t="str">
        <f>Distrik!F$6</f>
        <v>D02</v>
      </c>
      <c r="H742" s="1" t="str">
        <f>VLOOKUP(tblCong[[#This Row],[distCode]],tblDistrict[#All],2)</f>
        <v>Jabem</v>
      </c>
      <c r="I742" s="1" t="str">
        <f>Seket!I$25</f>
        <v>S13</v>
      </c>
      <c r="J742" s="1" t="str">
        <f>CONCATENATE(tblCong[[#This Row],[distCode]],"-",tblCong[[#This Row],[sCode]])</f>
        <v>D02-S13</v>
      </c>
      <c r="K742" s="1" t="str">
        <f>VLOOKUP(tblCong[[#This Row],[seketCode]],tblSeket[#All],5,FALSE)</f>
        <v>Wantoat</v>
      </c>
      <c r="L742" s="1" t="str">
        <f>Paris!L$165</f>
        <v>P01</v>
      </c>
      <c r="M742" s="1" t="str">
        <f>CONCATENATE(tblCong[[#This Row],[seketCode]],"-",tblCong[[#This Row],[pCode]])</f>
        <v>D02-S13-P01</v>
      </c>
      <c r="N742" s="1" t="str">
        <f>Paris!M$165</f>
        <v>Awara (Kulang)</v>
      </c>
      <c r="O742" s="1" t="s">
        <v>651</v>
      </c>
      <c r="P742" s="1" t="s">
        <v>1270</v>
      </c>
    </row>
    <row r="743" spans="6:16" x14ac:dyDescent="0.35">
      <c r="F743" s="1" t="str">
        <f>CONCATENATE(tblCong[[#This Row],[parishCode]],"-",tblCong[[#This Row],[kCode]])</f>
        <v>D02-S13-P01-K09</v>
      </c>
      <c r="G743" s="1" t="str">
        <f>Distrik!F$6</f>
        <v>D02</v>
      </c>
      <c r="H743" s="1" t="str">
        <f>VLOOKUP(tblCong[[#This Row],[distCode]],tblDistrict[#All],2)</f>
        <v>Jabem</v>
      </c>
      <c r="I743" s="1" t="str">
        <f>Seket!I$25</f>
        <v>S13</v>
      </c>
      <c r="J743" s="1" t="str">
        <f>CONCATENATE(tblCong[[#This Row],[distCode]],"-",tblCong[[#This Row],[sCode]])</f>
        <v>D02-S13</v>
      </c>
      <c r="K743" s="1" t="str">
        <f>VLOOKUP(tblCong[[#This Row],[seketCode]],tblSeket[#All],5,FALSE)</f>
        <v>Wantoat</v>
      </c>
      <c r="L743" s="1" t="str">
        <f>Paris!L$165</f>
        <v>P01</v>
      </c>
      <c r="M743" s="1" t="str">
        <f>CONCATENATE(tblCong[[#This Row],[seketCode]],"-",tblCong[[#This Row],[pCode]])</f>
        <v>D02-S13-P01</v>
      </c>
      <c r="N743" s="1" t="str">
        <f>Paris!M$165</f>
        <v>Awara (Kulang)</v>
      </c>
      <c r="O743" s="1" t="s">
        <v>653</v>
      </c>
      <c r="P743" s="1" t="s">
        <v>1271</v>
      </c>
    </row>
    <row r="744" spans="6:16" x14ac:dyDescent="0.35">
      <c r="F744" s="1" t="str">
        <f>CONCATENATE(tblCong[[#This Row],[parishCode]],"-",tblCong[[#This Row],[kCode]])</f>
        <v>D02-S13-P01-K10</v>
      </c>
      <c r="G744" s="1" t="str">
        <f>Distrik!F$6</f>
        <v>D02</v>
      </c>
      <c r="H744" s="1" t="str">
        <f>VLOOKUP(tblCong[[#This Row],[distCode]],tblDistrict[#All],2)</f>
        <v>Jabem</v>
      </c>
      <c r="I744" s="1" t="str">
        <f>Seket!I$25</f>
        <v>S13</v>
      </c>
      <c r="J744" s="1" t="str">
        <f>CONCATENATE(tblCong[[#This Row],[distCode]],"-",tblCong[[#This Row],[sCode]])</f>
        <v>D02-S13</v>
      </c>
      <c r="K744" s="1" t="str">
        <f>VLOOKUP(tblCong[[#This Row],[seketCode]],tblSeket[#All],5,FALSE)</f>
        <v>Wantoat</v>
      </c>
      <c r="L744" s="1" t="str">
        <f>Paris!L$165</f>
        <v>P01</v>
      </c>
      <c r="M744" s="1" t="str">
        <f>CONCATENATE(tblCong[[#This Row],[seketCode]],"-",tblCong[[#This Row],[pCode]])</f>
        <v>D02-S13-P01</v>
      </c>
      <c r="N744" s="1" t="str">
        <f>Paris!M$165</f>
        <v>Awara (Kulang)</v>
      </c>
      <c r="O744" s="1" t="s">
        <v>655</v>
      </c>
      <c r="P744" s="1" t="s">
        <v>1272</v>
      </c>
    </row>
    <row r="745" spans="6:16" x14ac:dyDescent="0.35">
      <c r="F745" s="1" t="str">
        <f>CONCATENATE(tblCong[[#This Row],[parishCode]],"-",tblCong[[#This Row],[kCode]])</f>
        <v>D02-S13-P01-K11</v>
      </c>
      <c r="G745" s="1" t="str">
        <f>Distrik!F$6</f>
        <v>D02</v>
      </c>
      <c r="H745" s="1" t="str">
        <f>VLOOKUP(tblCong[[#This Row],[distCode]],tblDistrict[#All],2)</f>
        <v>Jabem</v>
      </c>
      <c r="I745" s="1" t="str">
        <f>Seket!I$25</f>
        <v>S13</v>
      </c>
      <c r="J745" s="1" t="str">
        <f>CONCATENATE(tblCong[[#This Row],[distCode]],"-",tblCong[[#This Row],[sCode]])</f>
        <v>D02-S13</v>
      </c>
      <c r="K745" s="1" t="str">
        <f>VLOOKUP(tblCong[[#This Row],[seketCode]],tblSeket[#All],5,FALSE)</f>
        <v>Wantoat</v>
      </c>
      <c r="L745" s="1" t="str">
        <f>Paris!L$165</f>
        <v>P01</v>
      </c>
      <c r="M745" s="1" t="str">
        <f>CONCATENATE(tblCong[[#This Row],[seketCode]],"-",tblCong[[#This Row],[pCode]])</f>
        <v>D02-S13-P01</v>
      </c>
      <c r="N745" s="1" t="str">
        <f>Paris!M$165</f>
        <v>Awara (Kulang)</v>
      </c>
      <c r="O745" s="1" t="s">
        <v>1013</v>
      </c>
      <c r="P745" s="1" t="s">
        <v>1273</v>
      </c>
    </row>
    <row r="746" spans="6:16" x14ac:dyDescent="0.35">
      <c r="F746" s="1" t="str">
        <f>CONCATENATE(tblCong[[#This Row],[parishCode]],"-",tblCong[[#This Row],[kCode]])</f>
        <v>D02-S13-P01-K12</v>
      </c>
      <c r="G746" s="1" t="str">
        <f>Distrik!F$6</f>
        <v>D02</v>
      </c>
      <c r="H746" s="1" t="str">
        <f>VLOOKUP(tblCong[[#This Row],[distCode]],tblDistrict[#All],2)</f>
        <v>Jabem</v>
      </c>
      <c r="I746" s="1" t="str">
        <f>Seket!I$25</f>
        <v>S13</v>
      </c>
      <c r="J746" s="1" t="str">
        <f>CONCATENATE(tblCong[[#This Row],[distCode]],"-",tblCong[[#This Row],[sCode]])</f>
        <v>D02-S13</v>
      </c>
      <c r="K746" s="1" t="str">
        <f>VLOOKUP(tblCong[[#This Row],[seketCode]],tblSeket[#All],5,FALSE)</f>
        <v>Wantoat</v>
      </c>
      <c r="L746" s="1" t="str">
        <f>Paris!L$165</f>
        <v>P01</v>
      </c>
      <c r="M746" s="1" t="str">
        <f>CONCATENATE(tblCong[[#This Row],[seketCode]],"-",tblCong[[#This Row],[pCode]])</f>
        <v>D02-S13-P01</v>
      </c>
      <c r="N746" s="1" t="str">
        <f>Paris!M$165</f>
        <v>Awara (Kulang)</v>
      </c>
      <c r="O746" s="1" t="s">
        <v>1015</v>
      </c>
      <c r="P746" s="1" t="s">
        <v>1274</v>
      </c>
    </row>
    <row r="747" spans="6:16" x14ac:dyDescent="0.35">
      <c r="F747" s="1" t="str">
        <f>CONCATENATE(tblCong[[#This Row],[parishCode]],"-",tblCong[[#This Row],[kCode]])</f>
        <v>D02-S13-P01-K13</v>
      </c>
      <c r="G747" s="1" t="str">
        <f>Distrik!F$6</f>
        <v>D02</v>
      </c>
      <c r="H747" s="1" t="str">
        <f>VLOOKUP(tblCong[[#This Row],[distCode]],tblDistrict[#All],2)</f>
        <v>Jabem</v>
      </c>
      <c r="I747" s="1" t="str">
        <f>Seket!I$25</f>
        <v>S13</v>
      </c>
      <c r="J747" s="1" t="str">
        <f>CONCATENATE(tblCong[[#This Row],[distCode]],"-",tblCong[[#This Row],[sCode]])</f>
        <v>D02-S13</v>
      </c>
      <c r="K747" s="1" t="str">
        <f>VLOOKUP(tblCong[[#This Row],[seketCode]],tblSeket[#All],5,FALSE)</f>
        <v>Wantoat</v>
      </c>
      <c r="L747" s="1" t="str">
        <f>Paris!L$165</f>
        <v>P01</v>
      </c>
      <c r="M747" s="1" t="str">
        <f>CONCATENATE(tblCong[[#This Row],[seketCode]],"-",tblCong[[#This Row],[pCode]])</f>
        <v>D02-S13-P01</v>
      </c>
      <c r="N747" s="1" t="str">
        <f>Paris!M$165</f>
        <v>Awara (Kulang)</v>
      </c>
      <c r="O747" s="1" t="s">
        <v>1017</v>
      </c>
      <c r="P747" s="1" t="s">
        <v>1275</v>
      </c>
    </row>
    <row r="748" spans="6:16" x14ac:dyDescent="0.35">
      <c r="F748" s="1" t="str">
        <f>CONCATENATE(tblCong[[#This Row],[parishCode]],"-",tblCong[[#This Row],[kCode]])</f>
        <v>D02-S13-P01-K14</v>
      </c>
      <c r="G748" s="1" t="str">
        <f>Distrik!F$6</f>
        <v>D02</v>
      </c>
      <c r="H748" s="1" t="str">
        <f>VLOOKUP(tblCong[[#This Row],[distCode]],tblDistrict[#All],2)</f>
        <v>Jabem</v>
      </c>
      <c r="I748" s="1" t="str">
        <f>Seket!I$25</f>
        <v>S13</v>
      </c>
      <c r="J748" s="1" t="str">
        <f>CONCATENATE(tblCong[[#This Row],[distCode]],"-",tblCong[[#This Row],[sCode]])</f>
        <v>D02-S13</v>
      </c>
      <c r="K748" s="1" t="str">
        <f>VLOOKUP(tblCong[[#This Row],[seketCode]],tblSeket[#All],5,FALSE)</f>
        <v>Wantoat</v>
      </c>
      <c r="L748" s="1" t="str">
        <f>Paris!L$165</f>
        <v>P01</v>
      </c>
      <c r="M748" s="1" t="str">
        <f>CONCATENATE(tblCong[[#This Row],[seketCode]],"-",tblCong[[#This Row],[pCode]])</f>
        <v>D02-S13-P01</v>
      </c>
      <c r="N748" s="1" t="str">
        <f>Paris!M$165</f>
        <v>Awara (Kulang)</v>
      </c>
      <c r="O748" s="1" t="s">
        <v>1019</v>
      </c>
      <c r="P748" s="1" t="s">
        <v>1276</v>
      </c>
    </row>
    <row r="749" spans="6:16" x14ac:dyDescent="0.35">
      <c r="F749" s="1" t="str">
        <f>CONCATENATE(tblCong[[#This Row],[parishCode]],"-",tblCong[[#This Row],[kCode]])</f>
        <v>D02-S13-P02-K01</v>
      </c>
      <c r="G749" s="1" t="str">
        <f>Distrik!F$6</f>
        <v>D02</v>
      </c>
      <c r="H749" s="1" t="str">
        <f>VLOOKUP(tblCong[[#This Row],[distCode]],tblDistrict[#All],2)</f>
        <v>Jabem</v>
      </c>
      <c r="I749" s="1" t="str">
        <f>Seket!I$25</f>
        <v>S13</v>
      </c>
      <c r="J749" s="1" t="str">
        <f>CONCATENATE(tblCong[[#This Row],[distCode]],"-",tblCong[[#This Row],[sCode]])</f>
        <v>D02-S13</v>
      </c>
      <c r="K749" s="1" t="str">
        <f>VLOOKUP(tblCong[[#This Row],[seketCode]],tblSeket[#All],5,FALSE)</f>
        <v>Wantoat</v>
      </c>
      <c r="L749" s="1" t="str">
        <f>Paris!L$166</f>
        <v>P02</v>
      </c>
      <c r="M749" s="1" t="str">
        <f>CONCATENATE(tblCong[[#This Row],[seketCode]],"-",tblCong[[#This Row],[pCode]])</f>
        <v>D02-S13-P02</v>
      </c>
      <c r="N749" s="1" t="str">
        <f>Paris!M$166</f>
        <v>Bumbum</v>
      </c>
      <c r="O749" s="1" t="s">
        <v>567</v>
      </c>
      <c r="P749" s="1" t="s">
        <v>1277</v>
      </c>
    </row>
    <row r="750" spans="6:16" x14ac:dyDescent="0.35">
      <c r="F750" s="1" t="str">
        <f>CONCATENATE(tblCong[[#This Row],[parishCode]],"-",tblCong[[#This Row],[kCode]])</f>
        <v>D02-S13-P02-K02</v>
      </c>
      <c r="G750" s="1" t="str">
        <f>Distrik!F$6</f>
        <v>D02</v>
      </c>
      <c r="H750" s="1" t="str">
        <f>VLOOKUP(tblCong[[#This Row],[distCode]],tblDistrict[#All],2)</f>
        <v>Jabem</v>
      </c>
      <c r="I750" s="1" t="str">
        <f>Seket!I$25</f>
        <v>S13</v>
      </c>
      <c r="J750" s="1" t="str">
        <f>CONCATENATE(tblCong[[#This Row],[distCode]],"-",tblCong[[#This Row],[sCode]])</f>
        <v>D02-S13</v>
      </c>
      <c r="K750" s="1" t="str">
        <f>VLOOKUP(tblCong[[#This Row],[seketCode]],tblSeket[#All],5,FALSE)</f>
        <v>Wantoat</v>
      </c>
      <c r="L750" s="1" t="str">
        <f>Paris!L$166</f>
        <v>P02</v>
      </c>
      <c r="M750" s="1" t="str">
        <f>CONCATENATE(tblCong[[#This Row],[seketCode]],"-",tblCong[[#This Row],[pCode]])</f>
        <v>D02-S13-P02</v>
      </c>
      <c r="N750" s="1" t="str">
        <f>Paris!M$166</f>
        <v>Bumbum</v>
      </c>
      <c r="O750" s="1" t="s">
        <v>569</v>
      </c>
      <c r="P750" s="1" t="s">
        <v>1278</v>
      </c>
    </row>
    <row r="751" spans="6:16" x14ac:dyDescent="0.35">
      <c r="F751" s="1" t="str">
        <f>CONCATENATE(tblCong[[#This Row],[parishCode]],"-",tblCong[[#This Row],[kCode]])</f>
        <v>D02-S13-P02-K03</v>
      </c>
      <c r="G751" s="1" t="str">
        <f>Distrik!F$6</f>
        <v>D02</v>
      </c>
      <c r="H751" s="1" t="str">
        <f>VLOOKUP(tblCong[[#This Row],[distCode]],tblDistrict[#All],2)</f>
        <v>Jabem</v>
      </c>
      <c r="I751" s="1" t="str">
        <f>Seket!I$25</f>
        <v>S13</v>
      </c>
      <c r="J751" s="1" t="str">
        <f>CONCATENATE(tblCong[[#This Row],[distCode]],"-",tblCong[[#This Row],[sCode]])</f>
        <v>D02-S13</v>
      </c>
      <c r="K751" s="1" t="str">
        <f>VLOOKUP(tblCong[[#This Row],[seketCode]],tblSeket[#All],5,FALSE)</f>
        <v>Wantoat</v>
      </c>
      <c r="L751" s="1" t="str">
        <f>Paris!L$166</f>
        <v>P02</v>
      </c>
      <c r="M751" s="1" t="str">
        <f>CONCATENATE(tblCong[[#This Row],[seketCode]],"-",tblCong[[#This Row],[pCode]])</f>
        <v>D02-S13-P02</v>
      </c>
      <c r="N751" s="1" t="str">
        <f>Paris!M$166</f>
        <v>Bumbum</v>
      </c>
      <c r="O751" s="1" t="s">
        <v>571</v>
      </c>
      <c r="P751" s="1" t="s">
        <v>1279</v>
      </c>
    </row>
    <row r="752" spans="6:16" x14ac:dyDescent="0.35">
      <c r="F752" s="1" t="str">
        <f>CONCATENATE(tblCong[[#This Row],[parishCode]],"-",tblCong[[#This Row],[kCode]])</f>
        <v>D02-S13-P02-K04</v>
      </c>
      <c r="G752" s="1" t="str">
        <f>Distrik!F$6</f>
        <v>D02</v>
      </c>
      <c r="H752" s="1" t="str">
        <f>VLOOKUP(tblCong[[#This Row],[distCode]],tblDistrict[#All],2)</f>
        <v>Jabem</v>
      </c>
      <c r="I752" s="1" t="str">
        <f>Seket!I$25</f>
        <v>S13</v>
      </c>
      <c r="J752" s="1" t="str">
        <f>CONCATENATE(tblCong[[#This Row],[distCode]],"-",tblCong[[#This Row],[sCode]])</f>
        <v>D02-S13</v>
      </c>
      <c r="K752" s="1" t="str">
        <f>VLOOKUP(tblCong[[#This Row],[seketCode]],tblSeket[#All],5,FALSE)</f>
        <v>Wantoat</v>
      </c>
      <c r="L752" s="1" t="str">
        <f>Paris!L$166</f>
        <v>P02</v>
      </c>
      <c r="M752" s="1" t="str">
        <f>CONCATENATE(tblCong[[#This Row],[seketCode]],"-",tblCong[[#This Row],[pCode]])</f>
        <v>D02-S13-P02</v>
      </c>
      <c r="N752" s="1" t="str">
        <f>Paris!M$166</f>
        <v>Bumbum</v>
      </c>
      <c r="O752" s="1" t="s">
        <v>573</v>
      </c>
      <c r="P752" s="1" t="s">
        <v>1280</v>
      </c>
    </row>
    <row r="753" spans="6:16" x14ac:dyDescent="0.35">
      <c r="F753" s="1" t="str">
        <f>CONCATENATE(tblCong[[#This Row],[parishCode]],"-",tblCong[[#This Row],[kCode]])</f>
        <v>D02-S13-P02-K05</v>
      </c>
      <c r="G753" s="1" t="str">
        <f>Distrik!F$6</f>
        <v>D02</v>
      </c>
      <c r="H753" s="1" t="str">
        <f>VLOOKUP(tblCong[[#This Row],[distCode]],tblDistrict[#All],2)</f>
        <v>Jabem</v>
      </c>
      <c r="I753" s="1" t="str">
        <f>Seket!I$25</f>
        <v>S13</v>
      </c>
      <c r="J753" s="1" t="str">
        <f>CONCATENATE(tblCong[[#This Row],[distCode]],"-",tblCong[[#This Row],[sCode]])</f>
        <v>D02-S13</v>
      </c>
      <c r="K753" s="1" t="str">
        <f>VLOOKUP(tblCong[[#This Row],[seketCode]],tblSeket[#All],5,FALSE)</f>
        <v>Wantoat</v>
      </c>
      <c r="L753" s="1" t="str">
        <f>Paris!L$166</f>
        <v>P02</v>
      </c>
      <c r="M753" s="1" t="str">
        <f>CONCATENATE(tblCong[[#This Row],[seketCode]],"-",tblCong[[#This Row],[pCode]])</f>
        <v>D02-S13-P02</v>
      </c>
      <c r="N753" s="1" t="str">
        <f>Paris!M$166</f>
        <v>Bumbum</v>
      </c>
      <c r="O753" s="1" t="s">
        <v>575</v>
      </c>
      <c r="P753" s="1" t="s">
        <v>1281</v>
      </c>
    </row>
    <row r="754" spans="6:16" x14ac:dyDescent="0.35">
      <c r="F754" s="1" t="str">
        <f>CONCATENATE(tblCong[[#This Row],[parishCode]],"-",tblCong[[#This Row],[kCode]])</f>
        <v>D02-S13-P02-K06</v>
      </c>
      <c r="G754" s="1" t="str">
        <f>Distrik!F$6</f>
        <v>D02</v>
      </c>
      <c r="H754" s="1" t="str">
        <f>VLOOKUP(tblCong[[#This Row],[distCode]],tblDistrict[#All],2)</f>
        <v>Jabem</v>
      </c>
      <c r="I754" s="1" t="str">
        <f>Seket!I$25</f>
        <v>S13</v>
      </c>
      <c r="J754" s="1" t="str">
        <f>CONCATENATE(tblCong[[#This Row],[distCode]],"-",tblCong[[#This Row],[sCode]])</f>
        <v>D02-S13</v>
      </c>
      <c r="K754" s="1" t="str">
        <f>VLOOKUP(tblCong[[#This Row],[seketCode]],tblSeket[#All],5,FALSE)</f>
        <v>Wantoat</v>
      </c>
      <c r="L754" s="1" t="str">
        <f>Paris!L$166</f>
        <v>P02</v>
      </c>
      <c r="M754" s="1" t="str">
        <f>CONCATENATE(tblCong[[#This Row],[seketCode]],"-",tblCong[[#This Row],[pCode]])</f>
        <v>D02-S13-P02</v>
      </c>
      <c r="N754" s="1" t="str">
        <f>Paris!M$166</f>
        <v>Bumbum</v>
      </c>
      <c r="O754" s="1" t="s">
        <v>576</v>
      </c>
      <c r="P754" s="1" t="s">
        <v>1282</v>
      </c>
    </row>
    <row r="755" spans="6:16" x14ac:dyDescent="0.35">
      <c r="F755" s="1" t="str">
        <f>CONCATENATE(tblCong[[#This Row],[parishCode]],"-",tblCong[[#This Row],[kCode]])</f>
        <v>D02-S13-P02-K07</v>
      </c>
      <c r="G755" s="1" t="str">
        <f>Distrik!F$6</f>
        <v>D02</v>
      </c>
      <c r="H755" s="1" t="str">
        <f>VLOOKUP(tblCong[[#This Row],[distCode]],tblDistrict[#All],2)</f>
        <v>Jabem</v>
      </c>
      <c r="I755" s="1" t="str">
        <f>Seket!I$25</f>
        <v>S13</v>
      </c>
      <c r="J755" s="1" t="str">
        <f>CONCATENATE(tblCong[[#This Row],[distCode]],"-",tblCong[[#This Row],[sCode]])</f>
        <v>D02-S13</v>
      </c>
      <c r="K755" s="1" t="str">
        <f>VLOOKUP(tblCong[[#This Row],[seketCode]],tblSeket[#All],5,FALSE)</f>
        <v>Wantoat</v>
      </c>
      <c r="L755" s="1" t="str">
        <f>Paris!L$166</f>
        <v>P02</v>
      </c>
      <c r="M755" s="1" t="str">
        <f>CONCATENATE(tblCong[[#This Row],[seketCode]],"-",tblCong[[#This Row],[pCode]])</f>
        <v>D02-S13-P02</v>
      </c>
      <c r="N755" s="1" t="str">
        <f>Paris!M$166</f>
        <v>Bumbum</v>
      </c>
      <c r="O755" s="1" t="s">
        <v>578</v>
      </c>
      <c r="P755" s="1" t="s">
        <v>1283</v>
      </c>
    </row>
    <row r="756" spans="6:16" x14ac:dyDescent="0.35">
      <c r="F756" s="1" t="str">
        <f>CONCATENATE(tblCong[[#This Row],[parishCode]],"-",tblCong[[#This Row],[kCode]])</f>
        <v>D02-S13-P02-K08</v>
      </c>
      <c r="G756" s="1" t="str">
        <f>Distrik!F$6</f>
        <v>D02</v>
      </c>
      <c r="H756" s="1" t="str">
        <f>VLOOKUP(tblCong[[#This Row],[distCode]],tblDistrict[#All],2)</f>
        <v>Jabem</v>
      </c>
      <c r="I756" s="1" t="str">
        <f>Seket!I$25</f>
        <v>S13</v>
      </c>
      <c r="J756" s="1" t="str">
        <f>CONCATENATE(tblCong[[#This Row],[distCode]],"-",tblCong[[#This Row],[sCode]])</f>
        <v>D02-S13</v>
      </c>
      <c r="K756" s="1" t="str">
        <f>VLOOKUP(tblCong[[#This Row],[seketCode]],tblSeket[#All],5,FALSE)</f>
        <v>Wantoat</v>
      </c>
      <c r="L756" s="1" t="str">
        <f>Paris!L$166</f>
        <v>P02</v>
      </c>
      <c r="M756" s="1" t="str">
        <f>CONCATENATE(tblCong[[#This Row],[seketCode]],"-",tblCong[[#This Row],[pCode]])</f>
        <v>D02-S13-P02</v>
      </c>
      <c r="N756" s="1" t="str">
        <f>Paris!M$166</f>
        <v>Bumbum</v>
      </c>
      <c r="O756" s="1" t="s">
        <v>651</v>
      </c>
      <c r="P756" s="1" t="s">
        <v>1284</v>
      </c>
    </row>
    <row r="757" spans="6:16" x14ac:dyDescent="0.35">
      <c r="F757" s="1" t="str">
        <f>CONCATENATE(tblCong[[#This Row],[parishCode]],"-",tblCong[[#This Row],[kCode]])</f>
        <v>D02-S13-P02-K09</v>
      </c>
      <c r="G757" s="1" t="str">
        <f>Distrik!F$6</f>
        <v>D02</v>
      </c>
      <c r="H757" s="1" t="str">
        <f>VLOOKUP(tblCong[[#This Row],[distCode]],tblDistrict[#All],2)</f>
        <v>Jabem</v>
      </c>
      <c r="I757" s="1" t="str">
        <f>Seket!I$25</f>
        <v>S13</v>
      </c>
      <c r="J757" s="1" t="str">
        <f>CONCATENATE(tblCong[[#This Row],[distCode]],"-",tblCong[[#This Row],[sCode]])</f>
        <v>D02-S13</v>
      </c>
      <c r="K757" s="1" t="str">
        <f>VLOOKUP(tblCong[[#This Row],[seketCode]],tblSeket[#All],5,FALSE)</f>
        <v>Wantoat</v>
      </c>
      <c r="L757" s="1" t="str">
        <f>Paris!L$166</f>
        <v>P02</v>
      </c>
      <c r="M757" s="1" t="str">
        <f>CONCATENATE(tblCong[[#This Row],[seketCode]],"-",tblCong[[#This Row],[pCode]])</f>
        <v>D02-S13-P02</v>
      </c>
      <c r="N757" s="1" t="str">
        <f>Paris!M$166</f>
        <v>Bumbum</v>
      </c>
      <c r="O757" s="1" t="s">
        <v>653</v>
      </c>
      <c r="P757" s="1" t="s">
        <v>1285</v>
      </c>
    </row>
    <row r="758" spans="6:16" x14ac:dyDescent="0.35">
      <c r="F758" s="1" t="str">
        <f>CONCATENATE(tblCong[[#This Row],[parishCode]],"-",tblCong[[#This Row],[kCode]])</f>
        <v>D02-S13-P02-K10</v>
      </c>
      <c r="G758" s="1" t="str">
        <f>Distrik!F$6</f>
        <v>D02</v>
      </c>
      <c r="H758" s="1" t="str">
        <f>VLOOKUP(tblCong[[#This Row],[distCode]],tblDistrict[#All],2)</f>
        <v>Jabem</v>
      </c>
      <c r="I758" s="1" t="str">
        <f>Seket!I$25</f>
        <v>S13</v>
      </c>
      <c r="J758" s="1" t="str">
        <f>CONCATENATE(tblCong[[#This Row],[distCode]],"-",tblCong[[#This Row],[sCode]])</f>
        <v>D02-S13</v>
      </c>
      <c r="K758" s="1" t="str">
        <f>VLOOKUP(tblCong[[#This Row],[seketCode]],tblSeket[#All],5,FALSE)</f>
        <v>Wantoat</v>
      </c>
      <c r="L758" s="1" t="str">
        <f>Paris!L$166</f>
        <v>P02</v>
      </c>
      <c r="M758" s="1" t="str">
        <f>CONCATENATE(tblCong[[#This Row],[seketCode]],"-",tblCong[[#This Row],[pCode]])</f>
        <v>D02-S13-P02</v>
      </c>
      <c r="N758" s="1" t="str">
        <f>Paris!M$166</f>
        <v>Bumbum</v>
      </c>
      <c r="O758" s="1" t="s">
        <v>655</v>
      </c>
      <c r="P758" s="1" t="s">
        <v>1286</v>
      </c>
    </row>
    <row r="759" spans="6:16" x14ac:dyDescent="0.35">
      <c r="F759" s="1" t="str">
        <f>CONCATENATE(tblCong[[#This Row],[parishCode]],"-",tblCong[[#This Row],[kCode]])</f>
        <v>D02-S13-P02-K11</v>
      </c>
      <c r="G759" s="1" t="str">
        <f>Distrik!F$6</f>
        <v>D02</v>
      </c>
      <c r="H759" s="1" t="str">
        <f>VLOOKUP(tblCong[[#This Row],[distCode]],tblDistrict[#All],2)</f>
        <v>Jabem</v>
      </c>
      <c r="I759" s="1" t="str">
        <f>Seket!I$25</f>
        <v>S13</v>
      </c>
      <c r="J759" s="1" t="str">
        <f>CONCATENATE(tblCong[[#This Row],[distCode]],"-",tblCong[[#This Row],[sCode]])</f>
        <v>D02-S13</v>
      </c>
      <c r="K759" s="1" t="str">
        <f>VLOOKUP(tblCong[[#This Row],[seketCode]],tblSeket[#All],5,FALSE)</f>
        <v>Wantoat</v>
      </c>
      <c r="L759" s="1" t="str">
        <f>Paris!L$166</f>
        <v>P02</v>
      </c>
      <c r="M759" s="1" t="str">
        <f>CONCATENATE(tblCong[[#This Row],[seketCode]],"-",tblCong[[#This Row],[pCode]])</f>
        <v>D02-S13-P02</v>
      </c>
      <c r="N759" s="1" t="str">
        <f>Paris!M$166</f>
        <v>Bumbum</v>
      </c>
      <c r="O759" s="1" t="s">
        <v>1013</v>
      </c>
      <c r="P759" s="1" t="s">
        <v>1287</v>
      </c>
    </row>
    <row r="760" spans="6:16" x14ac:dyDescent="0.35">
      <c r="F760" s="1" t="str">
        <f>CONCATENATE(tblCong[[#This Row],[parishCode]],"-",tblCong[[#This Row],[kCode]])</f>
        <v>D02-S13-P03-K01</v>
      </c>
      <c r="G760" s="1" t="str">
        <f>Distrik!F$6</f>
        <v>D02</v>
      </c>
      <c r="H760" s="1" t="str">
        <f>VLOOKUP(tblCong[[#This Row],[distCode]],tblDistrict[#All],2)</f>
        <v>Jabem</v>
      </c>
      <c r="I760" s="1" t="str">
        <f>Seket!I$25</f>
        <v>S13</v>
      </c>
      <c r="J760" s="1" t="str">
        <f>CONCATENATE(tblCong[[#This Row],[distCode]],"-",tblCong[[#This Row],[sCode]])</f>
        <v>D02-S13</v>
      </c>
      <c r="K760" s="1" t="str">
        <f>VLOOKUP(tblCong[[#This Row],[seketCode]],tblSeket[#All],5,FALSE)</f>
        <v>Wantoat</v>
      </c>
      <c r="L760" s="1" t="str">
        <f>Paris!L$167</f>
        <v>P03</v>
      </c>
      <c r="M760" s="1" t="str">
        <f>CONCATENATE(tblCong[[#This Row],[seketCode]],"-",tblCong[[#This Row],[pCode]])</f>
        <v>D02-S13-P03</v>
      </c>
      <c r="N760" s="1" t="str">
        <f>Paris!M$167</f>
        <v>Bungam</v>
      </c>
      <c r="O760" s="1" t="s">
        <v>567</v>
      </c>
      <c r="P760" s="1" t="s">
        <v>1288</v>
      </c>
    </row>
    <row r="761" spans="6:16" x14ac:dyDescent="0.35">
      <c r="F761" s="1" t="str">
        <f>CONCATENATE(tblCong[[#This Row],[parishCode]],"-",tblCong[[#This Row],[kCode]])</f>
        <v>D02-S13-P03-K02</v>
      </c>
      <c r="G761" s="1" t="str">
        <f>Distrik!F$6</f>
        <v>D02</v>
      </c>
      <c r="H761" s="1" t="str">
        <f>VLOOKUP(tblCong[[#This Row],[distCode]],tblDistrict[#All],2)</f>
        <v>Jabem</v>
      </c>
      <c r="I761" s="1" t="str">
        <f>Seket!I$25</f>
        <v>S13</v>
      </c>
      <c r="J761" s="1" t="str">
        <f>CONCATENATE(tblCong[[#This Row],[distCode]],"-",tblCong[[#This Row],[sCode]])</f>
        <v>D02-S13</v>
      </c>
      <c r="K761" s="1" t="str">
        <f>VLOOKUP(tblCong[[#This Row],[seketCode]],tblSeket[#All],5,FALSE)</f>
        <v>Wantoat</v>
      </c>
      <c r="L761" s="1" t="str">
        <f>Paris!L$167</f>
        <v>P03</v>
      </c>
      <c r="M761" s="1" t="str">
        <f>CONCATENATE(tblCong[[#This Row],[seketCode]],"-",tblCong[[#This Row],[pCode]])</f>
        <v>D02-S13-P03</v>
      </c>
      <c r="N761" s="1" t="str">
        <f>Paris!M$167</f>
        <v>Bungam</v>
      </c>
      <c r="O761" s="1" t="s">
        <v>569</v>
      </c>
      <c r="P761" s="1" t="s">
        <v>1168</v>
      </c>
    </row>
    <row r="762" spans="6:16" x14ac:dyDescent="0.35">
      <c r="F762" s="1" t="str">
        <f>CONCATENATE(tblCong[[#This Row],[parishCode]],"-",tblCong[[#This Row],[kCode]])</f>
        <v>D02-S13-P03-K03</v>
      </c>
      <c r="G762" s="1" t="str">
        <f>Distrik!F$6</f>
        <v>D02</v>
      </c>
      <c r="H762" s="1" t="str">
        <f>VLOOKUP(tblCong[[#This Row],[distCode]],tblDistrict[#All],2)</f>
        <v>Jabem</v>
      </c>
      <c r="I762" s="1" t="str">
        <f>Seket!I$25</f>
        <v>S13</v>
      </c>
      <c r="J762" s="1" t="str">
        <f>CONCATENATE(tblCong[[#This Row],[distCode]],"-",tblCong[[#This Row],[sCode]])</f>
        <v>D02-S13</v>
      </c>
      <c r="K762" s="1" t="str">
        <f>VLOOKUP(tblCong[[#This Row],[seketCode]],tblSeket[#All],5,FALSE)</f>
        <v>Wantoat</v>
      </c>
      <c r="L762" s="1" t="str">
        <f>Paris!L$167</f>
        <v>P03</v>
      </c>
      <c r="M762" s="1" t="str">
        <f>CONCATENATE(tblCong[[#This Row],[seketCode]],"-",tblCong[[#This Row],[pCode]])</f>
        <v>D02-S13-P03</v>
      </c>
      <c r="N762" s="1" t="str">
        <f>Paris!M$167</f>
        <v>Bungam</v>
      </c>
      <c r="O762" s="1" t="s">
        <v>571</v>
      </c>
      <c r="P762" s="1" t="s">
        <v>1289</v>
      </c>
    </row>
    <row r="763" spans="6:16" x14ac:dyDescent="0.35">
      <c r="F763" s="1" t="str">
        <f>CONCATENATE(tblCong[[#This Row],[parishCode]],"-",tblCong[[#This Row],[kCode]])</f>
        <v>D02-S13-P03-K04</v>
      </c>
      <c r="G763" s="1" t="str">
        <f>Distrik!F$6</f>
        <v>D02</v>
      </c>
      <c r="H763" s="1" t="str">
        <f>VLOOKUP(tblCong[[#This Row],[distCode]],tblDistrict[#All],2)</f>
        <v>Jabem</v>
      </c>
      <c r="I763" s="1" t="str">
        <f>Seket!I$25</f>
        <v>S13</v>
      </c>
      <c r="J763" s="1" t="str">
        <f>CONCATENATE(tblCong[[#This Row],[distCode]],"-",tblCong[[#This Row],[sCode]])</f>
        <v>D02-S13</v>
      </c>
      <c r="K763" s="1" t="str">
        <f>VLOOKUP(tblCong[[#This Row],[seketCode]],tblSeket[#All],5,FALSE)</f>
        <v>Wantoat</v>
      </c>
      <c r="L763" s="1" t="str">
        <f>Paris!L$167</f>
        <v>P03</v>
      </c>
      <c r="M763" s="1" t="str">
        <f>CONCATENATE(tblCong[[#This Row],[seketCode]],"-",tblCong[[#This Row],[pCode]])</f>
        <v>D02-S13-P03</v>
      </c>
      <c r="N763" s="1" t="str">
        <f>Paris!M$167</f>
        <v>Bungam</v>
      </c>
      <c r="O763" s="1" t="s">
        <v>573</v>
      </c>
      <c r="P763" s="1" t="s">
        <v>379</v>
      </c>
    </row>
    <row r="764" spans="6:16" x14ac:dyDescent="0.35">
      <c r="F764" s="1" t="str">
        <f>CONCATENATE(tblCong[[#This Row],[parishCode]],"-",tblCong[[#This Row],[kCode]])</f>
        <v>D02-S13-P03-K05</v>
      </c>
      <c r="G764" s="1" t="str">
        <f>Distrik!F$6</f>
        <v>D02</v>
      </c>
      <c r="H764" s="1" t="str">
        <f>VLOOKUP(tblCong[[#This Row],[distCode]],tblDistrict[#All],2)</f>
        <v>Jabem</v>
      </c>
      <c r="I764" s="1" t="str">
        <f>Seket!I$25</f>
        <v>S13</v>
      </c>
      <c r="J764" s="1" t="str">
        <f>CONCATENATE(tblCong[[#This Row],[distCode]],"-",tblCong[[#This Row],[sCode]])</f>
        <v>D02-S13</v>
      </c>
      <c r="K764" s="1" t="str">
        <f>VLOOKUP(tblCong[[#This Row],[seketCode]],tblSeket[#All],5,FALSE)</f>
        <v>Wantoat</v>
      </c>
      <c r="L764" s="1" t="str">
        <f>Paris!L$167</f>
        <v>P03</v>
      </c>
      <c r="M764" s="1" t="str">
        <f>CONCATENATE(tblCong[[#This Row],[seketCode]],"-",tblCong[[#This Row],[pCode]])</f>
        <v>D02-S13-P03</v>
      </c>
      <c r="N764" s="1" t="str">
        <f>Paris!M$167</f>
        <v>Bungam</v>
      </c>
      <c r="O764" s="1" t="s">
        <v>575</v>
      </c>
      <c r="P764" s="1" t="s">
        <v>1290</v>
      </c>
    </row>
    <row r="765" spans="6:16" x14ac:dyDescent="0.35">
      <c r="F765" s="1" t="str">
        <f>CONCATENATE(tblCong[[#This Row],[parishCode]],"-",tblCong[[#This Row],[kCode]])</f>
        <v>D02-S13-P03-K06</v>
      </c>
      <c r="G765" s="1" t="str">
        <f>Distrik!F$6</f>
        <v>D02</v>
      </c>
      <c r="H765" s="1" t="str">
        <f>VLOOKUP(tblCong[[#This Row],[distCode]],tblDistrict[#All],2)</f>
        <v>Jabem</v>
      </c>
      <c r="I765" s="1" t="str">
        <f>Seket!I$25</f>
        <v>S13</v>
      </c>
      <c r="J765" s="1" t="str">
        <f>CONCATENATE(tblCong[[#This Row],[distCode]],"-",tblCong[[#This Row],[sCode]])</f>
        <v>D02-S13</v>
      </c>
      <c r="K765" s="1" t="str">
        <f>VLOOKUP(tblCong[[#This Row],[seketCode]],tblSeket[#All],5,FALSE)</f>
        <v>Wantoat</v>
      </c>
      <c r="L765" s="1" t="str">
        <f>Paris!L$167</f>
        <v>P03</v>
      </c>
      <c r="M765" s="1" t="str">
        <f>CONCATENATE(tblCong[[#This Row],[seketCode]],"-",tblCong[[#This Row],[pCode]])</f>
        <v>D02-S13-P03</v>
      </c>
      <c r="N765" s="1" t="str">
        <f>Paris!M$167</f>
        <v>Bungam</v>
      </c>
      <c r="O765" s="1" t="s">
        <v>576</v>
      </c>
      <c r="P765" s="1" t="s">
        <v>1291</v>
      </c>
    </row>
    <row r="766" spans="6:16" x14ac:dyDescent="0.35">
      <c r="F766" s="1" t="str">
        <f>CONCATENATE(tblCong[[#This Row],[parishCode]],"-",tblCong[[#This Row],[kCode]])</f>
        <v>D02-S13-P04-K01</v>
      </c>
      <c r="G766" s="1" t="str">
        <f>Distrik!F$6</f>
        <v>D02</v>
      </c>
      <c r="H766" s="1" t="str">
        <f>VLOOKUP(tblCong[[#This Row],[distCode]],tblDistrict[#All],2)</f>
        <v>Jabem</v>
      </c>
      <c r="I766" s="1" t="str">
        <f>Seket!I$25</f>
        <v>S13</v>
      </c>
      <c r="J766" s="1" t="str">
        <f>CONCATENATE(tblCong[[#This Row],[distCode]],"-",tblCong[[#This Row],[sCode]])</f>
        <v>D02-S13</v>
      </c>
      <c r="K766" s="1" t="str">
        <f>VLOOKUP(tblCong[[#This Row],[seketCode]],tblSeket[#All],5,FALSE)</f>
        <v>Wantoat</v>
      </c>
      <c r="L766" s="1" t="str">
        <f>Paris!L$168</f>
        <v>P04</v>
      </c>
      <c r="M766" s="1" t="str">
        <f>CONCATENATE(tblCong[[#This Row],[seketCode]],"-",tblCong[[#This Row],[pCode]])</f>
        <v>D02-S13-P04</v>
      </c>
      <c r="N766" s="1" t="str">
        <f>Paris!M$168</f>
        <v>Waga</v>
      </c>
      <c r="O766" s="1" t="s">
        <v>567</v>
      </c>
      <c r="P766" s="1" t="s">
        <v>1292</v>
      </c>
    </row>
    <row r="767" spans="6:16" x14ac:dyDescent="0.35">
      <c r="F767" s="1" t="str">
        <f>CONCATENATE(tblCong[[#This Row],[parishCode]],"-",tblCong[[#This Row],[kCode]])</f>
        <v>D02-S13-P04-K02</v>
      </c>
      <c r="G767" s="1" t="str">
        <f>Distrik!F$6</f>
        <v>D02</v>
      </c>
      <c r="H767" s="1" t="str">
        <f>VLOOKUP(tblCong[[#This Row],[distCode]],tblDistrict[#All],2)</f>
        <v>Jabem</v>
      </c>
      <c r="I767" s="1" t="str">
        <f>Seket!I$25</f>
        <v>S13</v>
      </c>
      <c r="J767" s="1" t="str">
        <f>CONCATENATE(tblCong[[#This Row],[distCode]],"-",tblCong[[#This Row],[sCode]])</f>
        <v>D02-S13</v>
      </c>
      <c r="K767" s="1" t="str">
        <f>VLOOKUP(tblCong[[#This Row],[seketCode]],tblSeket[#All],5,FALSE)</f>
        <v>Wantoat</v>
      </c>
      <c r="L767" s="1" t="str">
        <f>Paris!L$168</f>
        <v>P04</v>
      </c>
      <c r="M767" s="1" t="str">
        <f>CONCATENATE(tblCong[[#This Row],[seketCode]],"-",tblCong[[#This Row],[pCode]])</f>
        <v>D02-S13-P04</v>
      </c>
      <c r="N767" s="1" t="str">
        <f>Paris!M$168</f>
        <v>Waga</v>
      </c>
      <c r="O767" s="1" t="s">
        <v>569</v>
      </c>
      <c r="P767" s="1" t="s">
        <v>1293</v>
      </c>
    </row>
    <row r="768" spans="6:16" x14ac:dyDescent="0.35">
      <c r="F768" s="1" t="str">
        <f>CONCATENATE(tblCong[[#This Row],[parishCode]],"-",tblCong[[#This Row],[kCode]])</f>
        <v>D02-S13-P04-K03</v>
      </c>
      <c r="G768" s="1" t="str">
        <f>Distrik!F$6</f>
        <v>D02</v>
      </c>
      <c r="H768" s="1" t="str">
        <f>VLOOKUP(tblCong[[#This Row],[distCode]],tblDistrict[#All],2)</f>
        <v>Jabem</v>
      </c>
      <c r="I768" s="1" t="str">
        <f>Seket!I$25</f>
        <v>S13</v>
      </c>
      <c r="J768" s="1" t="str">
        <f>CONCATENATE(tblCong[[#This Row],[distCode]],"-",tblCong[[#This Row],[sCode]])</f>
        <v>D02-S13</v>
      </c>
      <c r="K768" s="1" t="str">
        <f>VLOOKUP(tblCong[[#This Row],[seketCode]],tblSeket[#All],5,FALSE)</f>
        <v>Wantoat</v>
      </c>
      <c r="L768" s="1" t="str">
        <f>Paris!L$168</f>
        <v>P04</v>
      </c>
      <c r="M768" s="1" t="str">
        <f>CONCATENATE(tblCong[[#This Row],[seketCode]],"-",tblCong[[#This Row],[pCode]])</f>
        <v>D02-S13-P04</v>
      </c>
      <c r="N768" s="1" t="str">
        <f>Paris!M$168</f>
        <v>Waga</v>
      </c>
      <c r="O768" s="1" t="s">
        <v>571</v>
      </c>
      <c r="P768" s="1" t="s">
        <v>1294</v>
      </c>
    </row>
    <row r="769" spans="6:16" x14ac:dyDescent="0.35">
      <c r="F769" s="1" t="str">
        <f>CONCATENATE(tblCong[[#This Row],[parishCode]],"-",tblCong[[#This Row],[kCode]])</f>
        <v>D02-S13-P04-K04</v>
      </c>
      <c r="G769" s="1" t="str">
        <f>Distrik!F$6</f>
        <v>D02</v>
      </c>
      <c r="H769" s="1" t="str">
        <f>VLOOKUP(tblCong[[#This Row],[distCode]],tblDistrict[#All],2)</f>
        <v>Jabem</v>
      </c>
      <c r="I769" s="1" t="str">
        <f>Seket!I$25</f>
        <v>S13</v>
      </c>
      <c r="J769" s="1" t="str">
        <f>CONCATENATE(tblCong[[#This Row],[distCode]],"-",tblCong[[#This Row],[sCode]])</f>
        <v>D02-S13</v>
      </c>
      <c r="K769" s="1" t="str">
        <f>VLOOKUP(tblCong[[#This Row],[seketCode]],tblSeket[#All],5,FALSE)</f>
        <v>Wantoat</v>
      </c>
      <c r="L769" s="1" t="str">
        <f>Paris!L$168</f>
        <v>P04</v>
      </c>
      <c r="M769" s="1" t="str">
        <f>CONCATENATE(tblCong[[#This Row],[seketCode]],"-",tblCong[[#This Row],[pCode]])</f>
        <v>D02-S13-P04</v>
      </c>
      <c r="N769" s="1" t="str">
        <f>Paris!M$168</f>
        <v>Waga</v>
      </c>
      <c r="O769" s="1" t="s">
        <v>573</v>
      </c>
      <c r="P769" s="1" t="s">
        <v>1295</v>
      </c>
    </row>
    <row r="770" spans="6:16" x14ac:dyDescent="0.35">
      <c r="F770" s="1" t="str">
        <f>CONCATENATE(tblCong[[#This Row],[parishCode]],"-",tblCong[[#This Row],[kCode]])</f>
        <v>D02-S13-P04-K05</v>
      </c>
      <c r="G770" s="1" t="str">
        <f>Distrik!F$6</f>
        <v>D02</v>
      </c>
      <c r="H770" s="1" t="str">
        <f>VLOOKUP(tblCong[[#This Row],[distCode]],tblDistrict[#All],2)</f>
        <v>Jabem</v>
      </c>
      <c r="I770" s="1" t="str">
        <f>Seket!I$25</f>
        <v>S13</v>
      </c>
      <c r="J770" s="1" t="str">
        <f>CONCATENATE(tblCong[[#This Row],[distCode]],"-",tblCong[[#This Row],[sCode]])</f>
        <v>D02-S13</v>
      </c>
      <c r="K770" s="1" t="str">
        <f>VLOOKUP(tblCong[[#This Row],[seketCode]],tblSeket[#All],5,FALSE)</f>
        <v>Wantoat</v>
      </c>
      <c r="L770" s="1" t="str">
        <f>Paris!L$168</f>
        <v>P04</v>
      </c>
      <c r="M770" s="1" t="str">
        <f>CONCATENATE(tblCong[[#This Row],[seketCode]],"-",tblCong[[#This Row],[pCode]])</f>
        <v>D02-S13-P04</v>
      </c>
      <c r="N770" s="1" t="str">
        <f>Paris!M$168</f>
        <v>Waga</v>
      </c>
      <c r="O770" s="1" t="s">
        <v>575</v>
      </c>
      <c r="P770" s="1" t="s">
        <v>1296</v>
      </c>
    </row>
    <row r="771" spans="6:16" x14ac:dyDescent="0.35">
      <c r="F771" s="1" t="str">
        <f>CONCATENATE(tblCong[[#This Row],[parishCode]],"-",tblCong[[#This Row],[kCode]])</f>
        <v>D02-S13-P04-K06</v>
      </c>
      <c r="G771" s="1" t="str">
        <f>Distrik!F$6</f>
        <v>D02</v>
      </c>
      <c r="H771" s="1" t="str">
        <f>VLOOKUP(tblCong[[#This Row],[distCode]],tblDistrict[#All],2)</f>
        <v>Jabem</v>
      </c>
      <c r="I771" s="1" t="str">
        <f>Seket!I$25</f>
        <v>S13</v>
      </c>
      <c r="J771" s="1" t="str">
        <f>CONCATENATE(tblCong[[#This Row],[distCode]],"-",tblCong[[#This Row],[sCode]])</f>
        <v>D02-S13</v>
      </c>
      <c r="K771" s="1" t="str">
        <f>VLOOKUP(tblCong[[#This Row],[seketCode]],tblSeket[#All],5,FALSE)</f>
        <v>Wantoat</v>
      </c>
      <c r="L771" s="1" t="str">
        <f>Paris!L$168</f>
        <v>P04</v>
      </c>
      <c r="M771" s="1" t="str">
        <f>CONCATENATE(tblCong[[#This Row],[seketCode]],"-",tblCong[[#This Row],[pCode]])</f>
        <v>D02-S13-P04</v>
      </c>
      <c r="N771" s="1" t="str">
        <f>Paris!M$168</f>
        <v>Waga</v>
      </c>
      <c r="O771" s="1" t="s">
        <v>576</v>
      </c>
      <c r="P771" s="1" t="s">
        <v>1297</v>
      </c>
    </row>
    <row r="772" spans="6:16" x14ac:dyDescent="0.35">
      <c r="F772" s="1" t="str">
        <f>CONCATENATE(tblCong[[#This Row],[parishCode]],"-",tblCong[[#This Row],[kCode]])</f>
        <v>D02-S13-P04-K07</v>
      </c>
      <c r="G772" s="1" t="str">
        <f>Distrik!F$6</f>
        <v>D02</v>
      </c>
      <c r="H772" s="1" t="str">
        <f>VLOOKUP(tblCong[[#This Row],[distCode]],tblDistrict[#All],2)</f>
        <v>Jabem</v>
      </c>
      <c r="I772" s="1" t="str">
        <f>Seket!I$25</f>
        <v>S13</v>
      </c>
      <c r="J772" s="1" t="str">
        <f>CONCATENATE(tblCong[[#This Row],[distCode]],"-",tblCong[[#This Row],[sCode]])</f>
        <v>D02-S13</v>
      </c>
      <c r="K772" s="1" t="str">
        <f>VLOOKUP(tblCong[[#This Row],[seketCode]],tblSeket[#All],5,FALSE)</f>
        <v>Wantoat</v>
      </c>
      <c r="L772" s="1" t="str">
        <f>Paris!L$168</f>
        <v>P04</v>
      </c>
      <c r="M772" s="1" t="str">
        <f>CONCATENATE(tblCong[[#This Row],[seketCode]],"-",tblCong[[#This Row],[pCode]])</f>
        <v>D02-S13-P04</v>
      </c>
      <c r="N772" s="1" t="str">
        <f>Paris!M$168</f>
        <v>Waga</v>
      </c>
      <c r="O772" s="1" t="s">
        <v>578</v>
      </c>
      <c r="P772" s="1" t="s">
        <v>1298</v>
      </c>
    </row>
    <row r="773" spans="6:16" x14ac:dyDescent="0.35">
      <c r="F773" s="1" t="str">
        <f>CONCATENATE(tblCong[[#This Row],[parishCode]],"-",tblCong[[#This Row],[kCode]])</f>
        <v>D02-S13-P04-K08</v>
      </c>
      <c r="G773" s="1" t="str">
        <f>Distrik!F$6</f>
        <v>D02</v>
      </c>
      <c r="H773" s="1" t="str">
        <f>VLOOKUP(tblCong[[#This Row],[distCode]],tblDistrict[#All],2)</f>
        <v>Jabem</v>
      </c>
      <c r="I773" s="1" t="str">
        <f>Seket!I$25</f>
        <v>S13</v>
      </c>
      <c r="J773" s="1" t="str">
        <f>CONCATENATE(tblCong[[#This Row],[distCode]],"-",tblCong[[#This Row],[sCode]])</f>
        <v>D02-S13</v>
      </c>
      <c r="K773" s="1" t="str">
        <f>VLOOKUP(tblCong[[#This Row],[seketCode]],tblSeket[#All],5,FALSE)</f>
        <v>Wantoat</v>
      </c>
      <c r="L773" s="1" t="str">
        <f>Paris!L$168</f>
        <v>P04</v>
      </c>
      <c r="M773" s="1" t="str">
        <f>CONCATENATE(tblCong[[#This Row],[seketCode]],"-",tblCong[[#This Row],[pCode]])</f>
        <v>D02-S13-P04</v>
      </c>
      <c r="N773" s="1" t="str">
        <f>Paris!M$168</f>
        <v>Waga</v>
      </c>
      <c r="O773" s="1" t="s">
        <v>651</v>
      </c>
      <c r="P773" s="1" t="s">
        <v>1299</v>
      </c>
    </row>
    <row r="774" spans="6:16" x14ac:dyDescent="0.35">
      <c r="F774" s="1" t="str">
        <f>CONCATENATE(tblCong[[#This Row],[parishCode]],"-",tblCong[[#This Row],[kCode]])</f>
        <v>D02-S13-P04-K09</v>
      </c>
      <c r="G774" s="1" t="str">
        <f>Distrik!F$6</f>
        <v>D02</v>
      </c>
      <c r="H774" s="1" t="str">
        <f>VLOOKUP(tblCong[[#This Row],[distCode]],tblDistrict[#All],2)</f>
        <v>Jabem</v>
      </c>
      <c r="I774" s="1" t="str">
        <f>Seket!I$25</f>
        <v>S13</v>
      </c>
      <c r="J774" s="1" t="str">
        <f>CONCATENATE(tblCong[[#This Row],[distCode]],"-",tblCong[[#This Row],[sCode]])</f>
        <v>D02-S13</v>
      </c>
      <c r="K774" s="1" t="str">
        <f>VLOOKUP(tblCong[[#This Row],[seketCode]],tblSeket[#All],5,FALSE)</f>
        <v>Wantoat</v>
      </c>
      <c r="L774" s="1" t="str">
        <f>Paris!L$168</f>
        <v>P04</v>
      </c>
      <c r="M774" s="1" t="str">
        <f>CONCATENATE(tblCong[[#This Row],[seketCode]],"-",tblCong[[#This Row],[pCode]])</f>
        <v>D02-S13-P04</v>
      </c>
      <c r="N774" s="1" t="str">
        <f>Paris!M$168</f>
        <v>Waga</v>
      </c>
      <c r="O774" s="1" t="s">
        <v>653</v>
      </c>
      <c r="P774" s="1" t="s">
        <v>1300</v>
      </c>
    </row>
    <row r="775" spans="6:16" x14ac:dyDescent="0.35">
      <c r="F775" s="1" t="str">
        <f>CONCATENATE(tblCong[[#This Row],[parishCode]],"-",tblCong[[#This Row],[kCode]])</f>
        <v>D02-S13-P05-K01</v>
      </c>
      <c r="G775" s="1" t="str">
        <f>Distrik!F$6</f>
        <v>D02</v>
      </c>
      <c r="H775" s="1" t="str">
        <f>VLOOKUP(tblCong[[#This Row],[distCode]],tblDistrict[#All],2)</f>
        <v>Jabem</v>
      </c>
      <c r="I775" s="1" t="str">
        <f>Seket!I$25</f>
        <v>S13</v>
      </c>
      <c r="J775" s="1" t="str">
        <f>CONCATENATE(tblCong[[#This Row],[distCode]],"-",tblCong[[#This Row],[sCode]])</f>
        <v>D02-S13</v>
      </c>
      <c r="K775" s="1" t="str">
        <f>VLOOKUP(tblCong[[#This Row],[seketCode]],tblSeket[#All],5,FALSE)</f>
        <v>Wantoat</v>
      </c>
      <c r="L775" s="1" t="str">
        <f>Paris!L$169</f>
        <v>P05</v>
      </c>
      <c r="M775" s="1" t="str">
        <f>CONCATENATE(tblCong[[#This Row],[seketCode]],"-",tblCong[[#This Row],[pCode]])</f>
        <v>D02-S13-P05</v>
      </c>
      <c r="N775" s="1" t="str">
        <f>Paris!M$169</f>
        <v>Muba</v>
      </c>
      <c r="O775" s="1" t="s">
        <v>567</v>
      </c>
      <c r="P775" s="1" t="s">
        <v>1301</v>
      </c>
    </row>
    <row r="776" spans="6:16" x14ac:dyDescent="0.35">
      <c r="F776" s="1" t="str">
        <f>CONCATENATE(tblCong[[#This Row],[parishCode]],"-",tblCong[[#This Row],[kCode]])</f>
        <v>D02-S13-P05-K02</v>
      </c>
      <c r="G776" s="1" t="str">
        <f>Distrik!F$6</f>
        <v>D02</v>
      </c>
      <c r="H776" s="1" t="str">
        <f>VLOOKUP(tblCong[[#This Row],[distCode]],tblDistrict[#All],2)</f>
        <v>Jabem</v>
      </c>
      <c r="I776" s="1" t="str">
        <f>Seket!I$25</f>
        <v>S13</v>
      </c>
      <c r="J776" s="1" t="str">
        <f>CONCATENATE(tblCong[[#This Row],[distCode]],"-",tblCong[[#This Row],[sCode]])</f>
        <v>D02-S13</v>
      </c>
      <c r="K776" s="1" t="str">
        <f>VLOOKUP(tblCong[[#This Row],[seketCode]],tblSeket[#All],5,FALSE)</f>
        <v>Wantoat</v>
      </c>
      <c r="L776" s="1" t="str">
        <f>Paris!L$169</f>
        <v>P05</v>
      </c>
      <c r="M776" s="1" t="str">
        <f>CONCATENATE(tblCong[[#This Row],[seketCode]],"-",tblCong[[#This Row],[pCode]])</f>
        <v>D02-S13-P05</v>
      </c>
      <c r="N776" s="1" t="str">
        <f>Paris!M$169</f>
        <v>Muba</v>
      </c>
      <c r="O776" s="1" t="s">
        <v>569</v>
      </c>
      <c r="P776" s="1" t="s">
        <v>1302</v>
      </c>
    </row>
    <row r="777" spans="6:16" x14ac:dyDescent="0.35">
      <c r="F777" s="1" t="str">
        <f>CONCATENATE(tblCong[[#This Row],[parishCode]],"-",tblCong[[#This Row],[kCode]])</f>
        <v>D02-S13-P05-K03</v>
      </c>
      <c r="G777" s="1" t="str">
        <f>Distrik!F$6</f>
        <v>D02</v>
      </c>
      <c r="H777" s="1" t="str">
        <f>VLOOKUP(tblCong[[#This Row],[distCode]],tblDistrict[#All],2)</f>
        <v>Jabem</v>
      </c>
      <c r="I777" s="1" t="str">
        <f>Seket!I$25</f>
        <v>S13</v>
      </c>
      <c r="J777" s="1" t="str">
        <f>CONCATENATE(tblCong[[#This Row],[distCode]],"-",tblCong[[#This Row],[sCode]])</f>
        <v>D02-S13</v>
      </c>
      <c r="K777" s="1" t="str">
        <f>VLOOKUP(tblCong[[#This Row],[seketCode]],tblSeket[#All],5,FALSE)</f>
        <v>Wantoat</v>
      </c>
      <c r="L777" s="1" t="str">
        <f>Paris!L$169</f>
        <v>P05</v>
      </c>
      <c r="M777" s="1" t="str">
        <f>CONCATENATE(tblCong[[#This Row],[seketCode]],"-",tblCong[[#This Row],[pCode]])</f>
        <v>D02-S13-P05</v>
      </c>
      <c r="N777" s="1" t="str">
        <f>Paris!M$169</f>
        <v>Muba</v>
      </c>
      <c r="O777" s="1" t="s">
        <v>571</v>
      </c>
      <c r="P777" s="1" t="s">
        <v>1303</v>
      </c>
    </row>
    <row r="778" spans="6:16" x14ac:dyDescent="0.35">
      <c r="F778" s="1" t="str">
        <f>CONCATENATE(tblCong[[#This Row],[parishCode]],"-",tblCong[[#This Row],[kCode]])</f>
        <v>D02-S13-P05-K04</v>
      </c>
      <c r="G778" s="1" t="str">
        <f>Distrik!F$6</f>
        <v>D02</v>
      </c>
      <c r="H778" s="1" t="str">
        <f>VLOOKUP(tblCong[[#This Row],[distCode]],tblDistrict[#All],2)</f>
        <v>Jabem</v>
      </c>
      <c r="I778" s="1" t="str">
        <f>Seket!I$25</f>
        <v>S13</v>
      </c>
      <c r="J778" s="1" t="str">
        <f>CONCATENATE(tblCong[[#This Row],[distCode]],"-",tblCong[[#This Row],[sCode]])</f>
        <v>D02-S13</v>
      </c>
      <c r="K778" s="1" t="str">
        <f>VLOOKUP(tblCong[[#This Row],[seketCode]],tblSeket[#All],5,FALSE)</f>
        <v>Wantoat</v>
      </c>
      <c r="L778" s="1" t="str">
        <f>Paris!L$169</f>
        <v>P05</v>
      </c>
      <c r="M778" s="1" t="str">
        <f>CONCATENATE(tblCong[[#This Row],[seketCode]],"-",tblCong[[#This Row],[pCode]])</f>
        <v>D02-S13-P05</v>
      </c>
      <c r="N778" s="1" t="str">
        <f>Paris!M$169</f>
        <v>Muba</v>
      </c>
      <c r="O778" s="1" t="s">
        <v>573</v>
      </c>
      <c r="P778" s="1" t="s">
        <v>1304</v>
      </c>
    </row>
    <row r="779" spans="6:16" x14ac:dyDescent="0.35">
      <c r="F779" s="1" t="str">
        <f>CONCATENATE(tblCong[[#This Row],[parishCode]],"-",tblCong[[#This Row],[kCode]])</f>
        <v>D02-S13-P05-K05</v>
      </c>
      <c r="G779" s="1" t="str">
        <f>Distrik!F$6</f>
        <v>D02</v>
      </c>
      <c r="H779" s="1" t="str">
        <f>VLOOKUP(tblCong[[#This Row],[distCode]],tblDistrict[#All],2)</f>
        <v>Jabem</v>
      </c>
      <c r="I779" s="1" t="str">
        <f>Seket!I$25</f>
        <v>S13</v>
      </c>
      <c r="J779" s="1" t="str">
        <f>CONCATENATE(tblCong[[#This Row],[distCode]],"-",tblCong[[#This Row],[sCode]])</f>
        <v>D02-S13</v>
      </c>
      <c r="K779" s="1" t="str">
        <f>VLOOKUP(tblCong[[#This Row],[seketCode]],tblSeket[#All],5,FALSE)</f>
        <v>Wantoat</v>
      </c>
      <c r="L779" s="1" t="str">
        <f>Paris!L$169</f>
        <v>P05</v>
      </c>
      <c r="M779" s="1" t="str">
        <f>CONCATENATE(tblCong[[#This Row],[seketCode]],"-",tblCong[[#This Row],[pCode]])</f>
        <v>D02-S13-P05</v>
      </c>
      <c r="N779" s="1" t="str">
        <f>Paris!M$169</f>
        <v>Muba</v>
      </c>
      <c r="O779" s="1" t="s">
        <v>575</v>
      </c>
      <c r="P779" s="1" t="s">
        <v>1305</v>
      </c>
    </row>
    <row r="780" spans="6:16" x14ac:dyDescent="0.35">
      <c r="F780" s="1" t="str">
        <f>CONCATENATE(tblCong[[#This Row],[parishCode]],"-",tblCong[[#This Row],[kCode]])</f>
        <v>D02-S13-P05-K06</v>
      </c>
      <c r="G780" s="1" t="str">
        <f>Distrik!F$6</f>
        <v>D02</v>
      </c>
      <c r="H780" s="1" t="str">
        <f>VLOOKUP(tblCong[[#This Row],[distCode]],tblDistrict[#All],2)</f>
        <v>Jabem</v>
      </c>
      <c r="I780" s="1" t="str">
        <f>Seket!I$25</f>
        <v>S13</v>
      </c>
      <c r="J780" s="1" t="str">
        <f>CONCATENATE(tblCong[[#This Row],[distCode]],"-",tblCong[[#This Row],[sCode]])</f>
        <v>D02-S13</v>
      </c>
      <c r="K780" s="1" t="str">
        <f>VLOOKUP(tblCong[[#This Row],[seketCode]],tblSeket[#All],5,FALSE)</f>
        <v>Wantoat</v>
      </c>
      <c r="L780" s="1" t="str">
        <f>Paris!L$169</f>
        <v>P05</v>
      </c>
      <c r="M780" s="1" t="str">
        <f>CONCATENATE(tblCong[[#This Row],[seketCode]],"-",tblCong[[#This Row],[pCode]])</f>
        <v>D02-S13-P05</v>
      </c>
      <c r="N780" s="1" t="str">
        <f>Paris!M$169</f>
        <v>Muba</v>
      </c>
      <c r="O780" s="1" t="s">
        <v>576</v>
      </c>
      <c r="P780" s="1" t="s">
        <v>1306</v>
      </c>
    </row>
    <row r="781" spans="6:16" x14ac:dyDescent="0.35">
      <c r="F781" s="1" t="str">
        <f>CONCATENATE(tblCong[[#This Row],[parishCode]],"-",tblCong[[#This Row],[kCode]])</f>
        <v>D02-S13-P05-K07</v>
      </c>
      <c r="G781" s="1" t="str">
        <f>Distrik!F$6</f>
        <v>D02</v>
      </c>
      <c r="H781" s="1" t="str">
        <f>VLOOKUP(tblCong[[#This Row],[distCode]],tblDistrict[#All],2)</f>
        <v>Jabem</v>
      </c>
      <c r="I781" s="1" t="str">
        <f>Seket!I$25</f>
        <v>S13</v>
      </c>
      <c r="J781" s="1" t="str">
        <f>CONCATENATE(tblCong[[#This Row],[distCode]],"-",tblCong[[#This Row],[sCode]])</f>
        <v>D02-S13</v>
      </c>
      <c r="K781" s="1" t="str">
        <f>VLOOKUP(tblCong[[#This Row],[seketCode]],tblSeket[#All],5,FALSE)</f>
        <v>Wantoat</v>
      </c>
      <c r="L781" s="1" t="str">
        <f>Paris!L$169</f>
        <v>P05</v>
      </c>
      <c r="M781" s="1" t="str">
        <f>CONCATENATE(tblCong[[#This Row],[seketCode]],"-",tblCong[[#This Row],[pCode]])</f>
        <v>D02-S13-P05</v>
      </c>
      <c r="N781" s="1" t="str">
        <f>Paris!M$169</f>
        <v>Muba</v>
      </c>
      <c r="O781" s="1" t="s">
        <v>578</v>
      </c>
      <c r="P781" s="1" t="s">
        <v>1307</v>
      </c>
    </row>
    <row r="782" spans="6:16" x14ac:dyDescent="0.35">
      <c r="F782" s="1" t="str">
        <f>CONCATENATE(tblCong[[#This Row],[parishCode]],"-",tblCong[[#This Row],[kCode]])</f>
        <v>D02-S13-P05-K08</v>
      </c>
      <c r="G782" s="1" t="str">
        <f>Distrik!F$6</f>
        <v>D02</v>
      </c>
      <c r="H782" s="1" t="str">
        <f>VLOOKUP(tblCong[[#This Row],[distCode]],tblDistrict[#All],2)</f>
        <v>Jabem</v>
      </c>
      <c r="I782" s="1" t="str">
        <f>Seket!I$25</f>
        <v>S13</v>
      </c>
      <c r="J782" s="1" t="str">
        <f>CONCATENATE(tblCong[[#This Row],[distCode]],"-",tblCong[[#This Row],[sCode]])</f>
        <v>D02-S13</v>
      </c>
      <c r="K782" s="1" t="str">
        <f>VLOOKUP(tblCong[[#This Row],[seketCode]],tblSeket[#All],5,FALSE)</f>
        <v>Wantoat</v>
      </c>
      <c r="L782" s="1" t="str">
        <f>Paris!L$169</f>
        <v>P05</v>
      </c>
      <c r="M782" s="1" t="str">
        <f>CONCATENATE(tblCong[[#This Row],[seketCode]],"-",tblCong[[#This Row],[pCode]])</f>
        <v>D02-S13-P05</v>
      </c>
      <c r="N782" s="1" t="str">
        <f>Paris!M$169</f>
        <v>Muba</v>
      </c>
      <c r="O782" s="1" t="s">
        <v>651</v>
      </c>
      <c r="P782" s="1" t="s">
        <v>1308</v>
      </c>
    </row>
    <row r="783" spans="6:16" x14ac:dyDescent="0.35">
      <c r="F783" s="1" t="str">
        <f>CONCATENATE(tblCong[[#This Row],[parishCode]],"-",tblCong[[#This Row],[kCode]])</f>
        <v>D02-S13-P05-K09</v>
      </c>
      <c r="G783" s="1" t="str">
        <f>Distrik!F$6</f>
        <v>D02</v>
      </c>
      <c r="H783" s="1" t="str">
        <f>VLOOKUP(tblCong[[#This Row],[distCode]],tblDistrict[#All],2)</f>
        <v>Jabem</v>
      </c>
      <c r="I783" s="1" t="str">
        <f>Seket!I$25</f>
        <v>S13</v>
      </c>
      <c r="J783" s="1" t="str">
        <f>CONCATENATE(tblCong[[#This Row],[distCode]],"-",tblCong[[#This Row],[sCode]])</f>
        <v>D02-S13</v>
      </c>
      <c r="K783" s="1" t="str">
        <f>VLOOKUP(tblCong[[#This Row],[seketCode]],tblSeket[#All],5,FALSE)</f>
        <v>Wantoat</v>
      </c>
      <c r="L783" s="1" t="str">
        <f>Paris!L$169</f>
        <v>P05</v>
      </c>
      <c r="M783" s="1" t="str">
        <f>CONCATENATE(tblCong[[#This Row],[seketCode]],"-",tblCong[[#This Row],[pCode]])</f>
        <v>D02-S13-P05</v>
      </c>
      <c r="N783" s="1" t="str">
        <f>Paris!M$169</f>
        <v>Muba</v>
      </c>
      <c r="O783" s="1" t="s">
        <v>653</v>
      </c>
      <c r="P783" s="1" t="s">
        <v>1309</v>
      </c>
    </row>
    <row r="784" spans="6:16" x14ac:dyDescent="0.35">
      <c r="F784" s="1" t="str">
        <f>CONCATENATE(tblCong[[#This Row],[parishCode]],"-",tblCong[[#This Row],[kCode]])</f>
        <v>D02-S13-P05-K10</v>
      </c>
      <c r="G784" s="1" t="str">
        <f>Distrik!F$6</f>
        <v>D02</v>
      </c>
      <c r="H784" s="1" t="str">
        <f>VLOOKUP(tblCong[[#This Row],[distCode]],tblDistrict[#All],2)</f>
        <v>Jabem</v>
      </c>
      <c r="I784" s="1" t="str">
        <f>Seket!I$25</f>
        <v>S13</v>
      </c>
      <c r="J784" s="1" t="str">
        <f>CONCATENATE(tblCong[[#This Row],[distCode]],"-",tblCong[[#This Row],[sCode]])</f>
        <v>D02-S13</v>
      </c>
      <c r="K784" s="1" t="str">
        <f>VLOOKUP(tblCong[[#This Row],[seketCode]],tblSeket[#All],5,FALSE)</f>
        <v>Wantoat</v>
      </c>
      <c r="L784" s="1" t="str">
        <f>Paris!L$169</f>
        <v>P05</v>
      </c>
      <c r="M784" s="1" t="str">
        <f>CONCATENATE(tblCong[[#This Row],[seketCode]],"-",tblCong[[#This Row],[pCode]])</f>
        <v>D02-S13-P05</v>
      </c>
      <c r="N784" s="1" t="str">
        <f>Paris!M$169</f>
        <v>Muba</v>
      </c>
      <c r="O784" s="1" t="s">
        <v>655</v>
      </c>
      <c r="P784" s="1" t="s">
        <v>1310</v>
      </c>
    </row>
    <row r="785" spans="6:16" x14ac:dyDescent="0.35">
      <c r="F785" s="1" t="str">
        <f>CONCATENATE(tblCong[[#This Row],[parishCode]],"-",tblCong[[#This Row],[kCode]])</f>
        <v>D02-S13-P05-K11</v>
      </c>
      <c r="G785" s="1" t="str">
        <f>Distrik!F$6</f>
        <v>D02</v>
      </c>
      <c r="H785" s="1" t="str">
        <f>VLOOKUP(tblCong[[#This Row],[distCode]],tblDistrict[#All],2)</f>
        <v>Jabem</v>
      </c>
      <c r="I785" s="1" t="str">
        <f>Seket!I$25</f>
        <v>S13</v>
      </c>
      <c r="J785" s="1" t="str">
        <f>CONCATENATE(tblCong[[#This Row],[distCode]],"-",tblCong[[#This Row],[sCode]])</f>
        <v>D02-S13</v>
      </c>
      <c r="K785" s="1" t="str">
        <f>VLOOKUP(tblCong[[#This Row],[seketCode]],tblSeket[#All],5,FALSE)</f>
        <v>Wantoat</v>
      </c>
      <c r="L785" s="1" t="str">
        <f>Paris!L$169</f>
        <v>P05</v>
      </c>
      <c r="M785" s="1" t="str">
        <f>CONCATENATE(tblCong[[#This Row],[seketCode]],"-",tblCong[[#This Row],[pCode]])</f>
        <v>D02-S13-P05</v>
      </c>
      <c r="N785" s="1" t="str">
        <f>Paris!M$169</f>
        <v>Muba</v>
      </c>
      <c r="O785" s="1" t="s">
        <v>1013</v>
      </c>
      <c r="P785" s="1" t="s">
        <v>1311</v>
      </c>
    </row>
    <row r="786" spans="6:16" x14ac:dyDescent="0.35">
      <c r="F786" s="1" t="str">
        <f>CONCATENATE(tblCong[[#This Row],[parishCode]],"-",tblCong[[#This Row],[kCode]])</f>
        <v>D02-S13-P05-K12</v>
      </c>
      <c r="G786" s="1" t="str">
        <f>Distrik!F$6</f>
        <v>D02</v>
      </c>
      <c r="H786" s="1" t="str">
        <f>VLOOKUP(tblCong[[#This Row],[distCode]],tblDistrict[#All],2)</f>
        <v>Jabem</v>
      </c>
      <c r="I786" s="1" t="str">
        <f>Seket!I$25</f>
        <v>S13</v>
      </c>
      <c r="J786" s="1" t="str">
        <f>CONCATENATE(tblCong[[#This Row],[distCode]],"-",tblCong[[#This Row],[sCode]])</f>
        <v>D02-S13</v>
      </c>
      <c r="K786" s="1" t="str">
        <f>VLOOKUP(tblCong[[#This Row],[seketCode]],tblSeket[#All],5,FALSE)</f>
        <v>Wantoat</v>
      </c>
      <c r="L786" s="1" t="str">
        <f>Paris!L$169</f>
        <v>P05</v>
      </c>
      <c r="M786" s="1" t="str">
        <f>CONCATENATE(tblCong[[#This Row],[seketCode]],"-",tblCong[[#This Row],[pCode]])</f>
        <v>D02-S13-P05</v>
      </c>
      <c r="N786" s="1" t="str">
        <f>Paris!M$169</f>
        <v>Muba</v>
      </c>
      <c r="O786" s="1" t="s">
        <v>1015</v>
      </c>
      <c r="P786" s="1" t="s">
        <v>1312</v>
      </c>
    </row>
    <row r="787" spans="6:16" x14ac:dyDescent="0.35">
      <c r="F787" s="1" t="str">
        <f>CONCATENATE(tblCong[[#This Row],[parishCode]],"-",tblCong[[#This Row],[kCode]])</f>
        <v>D02-S13-P05-K13</v>
      </c>
      <c r="G787" s="1" t="str">
        <f>Distrik!F$6</f>
        <v>D02</v>
      </c>
      <c r="H787" s="1" t="str">
        <f>VLOOKUP(tblCong[[#This Row],[distCode]],tblDistrict[#All],2)</f>
        <v>Jabem</v>
      </c>
      <c r="I787" s="1" t="str">
        <f>Seket!I$25</f>
        <v>S13</v>
      </c>
      <c r="J787" s="1" t="str">
        <f>CONCATENATE(tblCong[[#This Row],[distCode]],"-",tblCong[[#This Row],[sCode]])</f>
        <v>D02-S13</v>
      </c>
      <c r="K787" s="1" t="str">
        <f>VLOOKUP(tblCong[[#This Row],[seketCode]],tblSeket[#All],5,FALSE)</f>
        <v>Wantoat</v>
      </c>
      <c r="L787" s="1" t="str">
        <f>Paris!L$169</f>
        <v>P05</v>
      </c>
      <c r="M787" s="1" t="str">
        <f>CONCATENATE(tblCong[[#This Row],[seketCode]],"-",tblCong[[#This Row],[pCode]])</f>
        <v>D02-S13-P05</v>
      </c>
      <c r="N787" s="1" t="str">
        <f>Paris!M$169</f>
        <v>Muba</v>
      </c>
      <c r="O787" s="1" t="s">
        <v>1017</v>
      </c>
      <c r="P787" s="1" t="s">
        <v>1313</v>
      </c>
    </row>
    <row r="788" spans="6:16" x14ac:dyDescent="0.35">
      <c r="F788" s="1" t="str">
        <f>CONCATENATE(tblCong[[#This Row],[parishCode]],"-",tblCong[[#This Row],[kCode]])</f>
        <v>D02-S13-P06-K01</v>
      </c>
      <c r="G788" s="1" t="str">
        <f>Distrik!F$6</f>
        <v>D02</v>
      </c>
      <c r="H788" s="1" t="str">
        <f>VLOOKUP(tblCong[[#This Row],[distCode]],tblDistrict[#All],2)</f>
        <v>Jabem</v>
      </c>
      <c r="I788" s="1" t="str">
        <f>Seket!I$25</f>
        <v>S13</v>
      </c>
      <c r="J788" s="1" t="str">
        <f>CONCATENATE(tblCong[[#This Row],[distCode]],"-",tblCong[[#This Row],[sCode]])</f>
        <v>D02-S13</v>
      </c>
      <c r="K788" s="1" t="str">
        <f>VLOOKUP(tblCong[[#This Row],[seketCode]],tblSeket[#All],5,FALSE)</f>
        <v>Wantoat</v>
      </c>
      <c r="L788" s="1" t="str">
        <f>Paris!L$170</f>
        <v>P06</v>
      </c>
      <c r="M788" s="1" t="str">
        <f>CONCATENATE(tblCong[[#This Row],[seketCode]],"-",tblCong[[#This Row],[pCode]])</f>
        <v>D02-S13-P06</v>
      </c>
      <c r="N788" s="1" t="str">
        <f>Paris!M$170</f>
        <v>Liki</v>
      </c>
      <c r="O788" s="1" t="s">
        <v>567</v>
      </c>
      <c r="P788" s="1" t="s">
        <v>1314</v>
      </c>
    </row>
    <row r="789" spans="6:16" x14ac:dyDescent="0.35">
      <c r="F789" s="1" t="str">
        <f>CONCATENATE(tblCong[[#This Row],[parishCode]],"-",tblCong[[#This Row],[kCode]])</f>
        <v>D02-S13-P06-K02</v>
      </c>
      <c r="G789" s="1" t="str">
        <f>Distrik!F$6</f>
        <v>D02</v>
      </c>
      <c r="H789" s="1" t="str">
        <f>VLOOKUP(tblCong[[#This Row],[distCode]],tblDistrict[#All],2)</f>
        <v>Jabem</v>
      </c>
      <c r="I789" s="1" t="str">
        <f>Seket!I$25</f>
        <v>S13</v>
      </c>
      <c r="J789" s="1" t="str">
        <f>CONCATENATE(tblCong[[#This Row],[distCode]],"-",tblCong[[#This Row],[sCode]])</f>
        <v>D02-S13</v>
      </c>
      <c r="K789" s="1" t="str">
        <f>VLOOKUP(tblCong[[#This Row],[seketCode]],tblSeket[#All],5,FALSE)</f>
        <v>Wantoat</v>
      </c>
      <c r="L789" s="1" t="str">
        <f>Paris!L$170</f>
        <v>P06</v>
      </c>
      <c r="M789" s="1" t="str">
        <f>CONCATENATE(tblCong[[#This Row],[seketCode]],"-",tblCong[[#This Row],[pCode]])</f>
        <v>D02-S13-P06</v>
      </c>
      <c r="N789" s="1" t="str">
        <f>Paris!M$170</f>
        <v>Liki</v>
      </c>
      <c r="O789" s="1" t="s">
        <v>569</v>
      </c>
      <c r="P789" s="1" t="s">
        <v>1315</v>
      </c>
    </row>
    <row r="790" spans="6:16" x14ac:dyDescent="0.35">
      <c r="F790" s="1" t="str">
        <f>CONCATENATE(tblCong[[#This Row],[parishCode]],"-",tblCong[[#This Row],[kCode]])</f>
        <v>D02-S13-P06-K03</v>
      </c>
      <c r="G790" s="1" t="str">
        <f>Distrik!F$6</f>
        <v>D02</v>
      </c>
      <c r="H790" s="1" t="str">
        <f>VLOOKUP(tblCong[[#This Row],[distCode]],tblDistrict[#All],2)</f>
        <v>Jabem</v>
      </c>
      <c r="I790" s="1" t="str">
        <f>Seket!I$25</f>
        <v>S13</v>
      </c>
      <c r="J790" s="1" t="str">
        <f>CONCATENATE(tblCong[[#This Row],[distCode]],"-",tblCong[[#This Row],[sCode]])</f>
        <v>D02-S13</v>
      </c>
      <c r="K790" s="1" t="str">
        <f>VLOOKUP(tblCong[[#This Row],[seketCode]],tblSeket[#All],5,FALSE)</f>
        <v>Wantoat</v>
      </c>
      <c r="L790" s="1" t="str">
        <f>Paris!L$170</f>
        <v>P06</v>
      </c>
      <c r="M790" s="1" t="str">
        <f>CONCATENATE(tblCong[[#This Row],[seketCode]],"-",tblCong[[#This Row],[pCode]])</f>
        <v>D02-S13-P06</v>
      </c>
      <c r="N790" s="1" t="str">
        <f>Paris!M$170</f>
        <v>Liki</v>
      </c>
      <c r="O790" s="1" t="s">
        <v>571</v>
      </c>
      <c r="P790" s="1" t="s">
        <v>1316</v>
      </c>
    </row>
    <row r="791" spans="6:16" x14ac:dyDescent="0.35">
      <c r="F791" s="1" t="str">
        <f>CONCATENATE(tblCong[[#This Row],[parishCode]],"-",tblCong[[#This Row],[kCode]])</f>
        <v>D02-S13-P06-K04</v>
      </c>
      <c r="G791" s="1" t="str">
        <f>Distrik!F$6</f>
        <v>D02</v>
      </c>
      <c r="H791" s="1" t="str">
        <f>VLOOKUP(tblCong[[#This Row],[distCode]],tblDistrict[#All],2)</f>
        <v>Jabem</v>
      </c>
      <c r="I791" s="1" t="str">
        <f>Seket!I$25</f>
        <v>S13</v>
      </c>
      <c r="J791" s="1" t="str">
        <f>CONCATENATE(tblCong[[#This Row],[distCode]],"-",tblCong[[#This Row],[sCode]])</f>
        <v>D02-S13</v>
      </c>
      <c r="K791" s="1" t="str">
        <f>VLOOKUP(tblCong[[#This Row],[seketCode]],tblSeket[#All],5,FALSE)</f>
        <v>Wantoat</v>
      </c>
      <c r="L791" s="1" t="str">
        <f>Paris!L$170</f>
        <v>P06</v>
      </c>
      <c r="M791" s="1" t="str">
        <f>CONCATENATE(tblCong[[#This Row],[seketCode]],"-",tblCong[[#This Row],[pCode]])</f>
        <v>D02-S13-P06</v>
      </c>
      <c r="N791" s="1" t="str">
        <f>Paris!M$170</f>
        <v>Liki</v>
      </c>
      <c r="O791" s="1" t="s">
        <v>573</v>
      </c>
      <c r="P791" s="1" t="s">
        <v>1317</v>
      </c>
    </row>
    <row r="792" spans="6:16" x14ac:dyDescent="0.35">
      <c r="F792" s="1" t="str">
        <f>CONCATENATE(tblCong[[#This Row],[parishCode]],"-",tblCong[[#This Row],[kCode]])</f>
        <v>D02-S13-P06-K05</v>
      </c>
      <c r="G792" s="1" t="str">
        <f>Distrik!F$6</f>
        <v>D02</v>
      </c>
      <c r="H792" s="1" t="str">
        <f>VLOOKUP(tblCong[[#This Row],[distCode]],tblDistrict[#All],2)</f>
        <v>Jabem</v>
      </c>
      <c r="I792" s="1" t="str">
        <f>Seket!I$25</f>
        <v>S13</v>
      </c>
      <c r="J792" s="1" t="str">
        <f>CONCATENATE(tblCong[[#This Row],[distCode]],"-",tblCong[[#This Row],[sCode]])</f>
        <v>D02-S13</v>
      </c>
      <c r="K792" s="1" t="str">
        <f>VLOOKUP(tblCong[[#This Row],[seketCode]],tblSeket[#All],5,FALSE)</f>
        <v>Wantoat</v>
      </c>
      <c r="L792" s="1" t="str">
        <f>Paris!L$170</f>
        <v>P06</v>
      </c>
      <c r="M792" s="1" t="str">
        <f>CONCATENATE(tblCong[[#This Row],[seketCode]],"-",tblCong[[#This Row],[pCode]])</f>
        <v>D02-S13-P06</v>
      </c>
      <c r="N792" s="1" t="str">
        <f>Paris!M$170</f>
        <v>Liki</v>
      </c>
      <c r="O792" s="1" t="s">
        <v>575</v>
      </c>
      <c r="P792" s="1" t="s">
        <v>1318</v>
      </c>
    </row>
    <row r="793" spans="6:16" x14ac:dyDescent="0.35">
      <c r="F793" s="1" t="str">
        <f>CONCATENATE(tblCong[[#This Row],[parishCode]],"-",tblCong[[#This Row],[kCode]])</f>
        <v>D02-S13-P06-K06</v>
      </c>
      <c r="G793" s="1" t="str">
        <f>Distrik!F$6</f>
        <v>D02</v>
      </c>
      <c r="H793" s="1" t="str">
        <f>VLOOKUP(tblCong[[#This Row],[distCode]],tblDistrict[#All],2)</f>
        <v>Jabem</v>
      </c>
      <c r="I793" s="1" t="str">
        <f>Seket!I$25</f>
        <v>S13</v>
      </c>
      <c r="J793" s="1" t="str">
        <f>CONCATENATE(tblCong[[#This Row],[distCode]],"-",tblCong[[#This Row],[sCode]])</f>
        <v>D02-S13</v>
      </c>
      <c r="K793" s="1" t="str">
        <f>VLOOKUP(tblCong[[#This Row],[seketCode]],tblSeket[#All],5,FALSE)</f>
        <v>Wantoat</v>
      </c>
      <c r="L793" s="1" t="str">
        <f>Paris!L$170</f>
        <v>P06</v>
      </c>
      <c r="M793" s="1" t="str">
        <f>CONCATENATE(tblCong[[#This Row],[seketCode]],"-",tblCong[[#This Row],[pCode]])</f>
        <v>D02-S13-P06</v>
      </c>
      <c r="N793" s="1" t="str">
        <f>Paris!M$170</f>
        <v>Liki</v>
      </c>
      <c r="O793" s="1" t="s">
        <v>576</v>
      </c>
      <c r="P793" s="1" t="s">
        <v>1319</v>
      </c>
    </row>
    <row r="794" spans="6:16" x14ac:dyDescent="0.35">
      <c r="F794" s="1" t="str">
        <f>CONCATENATE(tblCong[[#This Row],[parishCode]],"-",tblCong[[#This Row],[kCode]])</f>
        <v>D02-S13-P06-K07</v>
      </c>
      <c r="G794" s="1" t="str">
        <f>Distrik!F$6</f>
        <v>D02</v>
      </c>
      <c r="H794" s="1" t="str">
        <f>VLOOKUP(tblCong[[#This Row],[distCode]],tblDistrict[#All],2)</f>
        <v>Jabem</v>
      </c>
      <c r="I794" s="1" t="str">
        <f>Seket!I$25</f>
        <v>S13</v>
      </c>
      <c r="J794" s="1" t="str">
        <f>CONCATENATE(tblCong[[#This Row],[distCode]],"-",tblCong[[#This Row],[sCode]])</f>
        <v>D02-S13</v>
      </c>
      <c r="K794" s="1" t="str">
        <f>VLOOKUP(tblCong[[#This Row],[seketCode]],tblSeket[#All],5,FALSE)</f>
        <v>Wantoat</v>
      </c>
      <c r="L794" s="1" t="str">
        <f>Paris!L$170</f>
        <v>P06</v>
      </c>
      <c r="M794" s="1" t="str">
        <f>CONCATENATE(tblCong[[#This Row],[seketCode]],"-",tblCong[[#This Row],[pCode]])</f>
        <v>D02-S13-P06</v>
      </c>
      <c r="N794" s="1" t="str">
        <f>Paris!M$170</f>
        <v>Liki</v>
      </c>
      <c r="O794" s="1" t="s">
        <v>578</v>
      </c>
      <c r="P794" s="1" t="s">
        <v>1320</v>
      </c>
    </row>
    <row r="795" spans="6:16" x14ac:dyDescent="0.35">
      <c r="F795" s="1" t="str">
        <f>CONCATENATE(tblCong[[#This Row],[parishCode]],"-",tblCong[[#This Row],[kCode]])</f>
        <v>D02-S13-P06-K08</v>
      </c>
      <c r="G795" s="1" t="str">
        <f>Distrik!F$6</f>
        <v>D02</v>
      </c>
      <c r="H795" s="1" t="str">
        <f>VLOOKUP(tblCong[[#This Row],[distCode]],tblDistrict[#All],2)</f>
        <v>Jabem</v>
      </c>
      <c r="I795" s="1" t="str">
        <f>Seket!I$25</f>
        <v>S13</v>
      </c>
      <c r="J795" s="1" t="str">
        <f>CONCATENATE(tblCong[[#This Row],[distCode]],"-",tblCong[[#This Row],[sCode]])</f>
        <v>D02-S13</v>
      </c>
      <c r="K795" s="1" t="str">
        <f>VLOOKUP(tblCong[[#This Row],[seketCode]],tblSeket[#All],5,FALSE)</f>
        <v>Wantoat</v>
      </c>
      <c r="L795" s="1" t="str">
        <f>Paris!L$170</f>
        <v>P06</v>
      </c>
      <c r="M795" s="1" t="str">
        <f>CONCATENATE(tblCong[[#This Row],[seketCode]],"-",tblCong[[#This Row],[pCode]])</f>
        <v>D02-S13-P06</v>
      </c>
      <c r="N795" s="1" t="str">
        <f>Paris!M$170</f>
        <v>Liki</v>
      </c>
      <c r="O795" s="1" t="s">
        <v>651</v>
      </c>
      <c r="P795" s="1" t="s">
        <v>1321</v>
      </c>
    </row>
    <row r="796" spans="6:16" x14ac:dyDescent="0.35">
      <c r="F796" s="1" t="str">
        <f>CONCATENATE(tblCong[[#This Row],[parishCode]],"-",tblCong[[#This Row],[kCode]])</f>
        <v>D02-S13-P07-K01</v>
      </c>
      <c r="G796" s="1" t="str">
        <f>Distrik!F$6</f>
        <v>D02</v>
      </c>
      <c r="H796" s="1" t="str">
        <f>VLOOKUP(tblCong[[#This Row],[distCode]],tblDistrict[#All],2)</f>
        <v>Jabem</v>
      </c>
      <c r="I796" s="1" t="str">
        <f>Seket!I$25</f>
        <v>S13</v>
      </c>
      <c r="J796" s="1" t="str">
        <f>CONCATENATE(tblCong[[#This Row],[distCode]],"-",tblCong[[#This Row],[sCode]])</f>
        <v>D02-S13</v>
      </c>
      <c r="K796" s="1" t="str">
        <f>VLOOKUP(tblCong[[#This Row],[seketCode]],tblSeket[#All],5,FALSE)</f>
        <v>Wantoat</v>
      </c>
      <c r="L796" s="1" t="str">
        <f>Paris!L$171</f>
        <v>P07</v>
      </c>
      <c r="M796" s="1" t="str">
        <f>CONCATENATE(tblCong[[#This Row],[seketCode]],"-",tblCong[[#This Row],[pCode]])</f>
        <v>D02-S13-P07</v>
      </c>
      <c r="N796" s="1" t="str">
        <f>Paris!M$171</f>
        <v>Matap</v>
      </c>
      <c r="O796" s="1" t="s">
        <v>567</v>
      </c>
      <c r="P796" s="1" t="s">
        <v>1322</v>
      </c>
    </row>
    <row r="797" spans="6:16" x14ac:dyDescent="0.35">
      <c r="F797" s="1" t="str">
        <f>CONCATENATE(tblCong[[#This Row],[parishCode]],"-",tblCong[[#This Row],[kCode]])</f>
        <v>D02-S13-P07-K02</v>
      </c>
      <c r="G797" s="1" t="str">
        <f>Distrik!F$6</f>
        <v>D02</v>
      </c>
      <c r="H797" s="1" t="str">
        <f>VLOOKUP(tblCong[[#This Row],[distCode]],tblDistrict[#All],2)</f>
        <v>Jabem</v>
      </c>
      <c r="I797" s="1" t="str">
        <f>Seket!I$25</f>
        <v>S13</v>
      </c>
      <c r="J797" s="1" t="str">
        <f>CONCATENATE(tblCong[[#This Row],[distCode]],"-",tblCong[[#This Row],[sCode]])</f>
        <v>D02-S13</v>
      </c>
      <c r="K797" s="1" t="str">
        <f>VLOOKUP(tblCong[[#This Row],[seketCode]],tblSeket[#All],5,FALSE)</f>
        <v>Wantoat</v>
      </c>
      <c r="L797" s="1" t="str">
        <f>Paris!L$171</f>
        <v>P07</v>
      </c>
      <c r="M797" s="1" t="str">
        <f>CONCATENATE(tblCong[[#This Row],[seketCode]],"-",tblCong[[#This Row],[pCode]])</f>
        <v>D02-S13-P07</v>
      </c>
      <c r="N797" s="1" t="str">
        <f>Paris!M$171</f>
        <v>Matap</v>
      </c>
      <c r="O797" s="1" t="s">
        <v>569</v>
      </c>
      <c r="P797" s="1" t="s">
        <v>383</v>
      </c>
    </row>
    <row r="798" spans="6:16" x14ac:dyDescent="0.35">
      <c r="F798" s="1" t="str">
        <f>CONCATENATE(tblCong[[#This Row],[parishCode]],"-",tblCong[[#This Row],[kCode]])</f>
        <v>D02-S13-P07-K03</v>
      </c>
      <c r="G798" s="1" t="str">
        <f>Distrik!F$6</f>
        <v>D02</v>
      </c>
      <c r="H798" s="1" t="str">
        <f>VLOOKUP(tblCong[[#This Row],[distCode]],tblDistrict[#All],2)</f>
        <v>Jabem</v>
      </c>
      <c r="I798" s="1" t="str">
        <f>Seket!I$25</f>
        <v>S13</v>
      </c>
      <c r="J798" s="1" t="str">
        <f>CONCATENATE(tblCong[[#This Row],[distCode]],"-",tblCong[[#This Row],[sCode]])</f>
        <v>D02-S13</v>
      </c>
      <c r="K798" s="1" t="str">
        <f>VLOOKUP(tblCong[[#This Row],[seketCode]],tblSeket[#All],5,FALSE)</f>
        <v>Wantoat</v>
      </c>
      <c r="L798" s="1" t="str">
        <f>Paris!L$171</f>
        <v>P07</v>
      </c>
      <c r="M798" s="1" t="str">
        <f>CONCATENATE(tblCong[[#This Row],[seketCode]],"-",tblCong[[#This Row],[pCode]])</f>
        <v>D02-S13-P07</v>
      </c>
      <c r="N798" s="1" t="str">
        <f>Paris!M$171</f>
        <v>Matap</v>
      </c>
      <c r="O798" s="1" t="s">
        <v>571</v>
      </c>
      <c r="P798" s="1" t="s">
        <v>1323</v>
      </c>
    </row>
    <row r="799" spans="6:16" x14ac:dyDescent="0.35">
      <c r="F799" s="1" t="str">
        <f>CONCATENATE(tblCong[[#This Row],[parishCode]],"-",tblCong[[#This Row],[kCode]])</f>
        <v>D02-S13-P07-K04</v>
      </c>
      <c r="G799" s="1" t="str">
        <f>Distrik!F$6</f>
        <v>D02</v>
      </c>
      <c r="H799" s="1" t="str">
        <f>VLOOKUP(tblCong[[#This Row],[distCode]],tblDistrict[#All],2)</f>
        <v>Jabem</v>
      </c>
      <c r="I799" s="1" t="str">
        <f>Seket!I$25</f>
        <v>S13</v>
      </c>
      <c r="J799" s="1" t="str">
        <f>CONCATENATE(tblCong[[#This Row],[distCode]],"-",tblCong[[#This Row],[sCode]])</f>
        <v>D02-S13</v>
      </c>
      <c r="K799" s="1" t="str">
        <f>VLOOKUP(tblCong[[#This Row],[seketCode]],tblSeket[#All],5,FALSE)</f>
        <v>Wantoat</v>
      </c>
      <c r="L799" s="1" t="str">
        <f>Paris!L$171</f>
        <v>P07</v>
      </c>
      <c r="M799" s="1" t="str">
        <f>CONCATENATE(tblCong[[#This Row],[seketCode]],"-",tblCong[[#This Row],[pCode]])</f>
        <v>D02-S13-P07</v>
      </c>
      <c r="N799" s="1" t="str">
        <f>Paris!M$171</f>
        <v>Matap</v>
      </c>
      <c r="O799" s="1" t="s">
        <v>573</v>
      </c>
      <c r="P799" s="1" t="s">
        <v>1324</v>
      </c>
    </row>
    <row r="800" spans="6:16" x14ac:dyDescent="0.35">
      <c r="F800" s="1" t="str">
        <f>CONCATENATE(tblCong[[#This Row],[parishCode]],"-",tblCong[[#This Row],[kCode]])</f>
        <v>D02-S13-P07-K05</v>
      </c>
      <c r="G800" s="1" t="str">
        <f>Distrik!F$6</f>
        <v>D02</v>
      </c>
      <c r="H800" s="1" t="str">
        <f>VLOOKUP(tblCong[[#This Row],[distCode]],tblDistrict[#All],2)</f>
        <v>Jabem</v>
      </c>
      <c r="I800" s="1" t="str">
        <f>Seket!I$25</f>
        <v>S13</v>
      </c>
      <c r="J800" s="1" t="str">
        <f>CONCATENATE(tblCong[[#This Row],[distCode]],"-",tblCong[[#This Row],[sCode]])</f>
        <v>D02-S13</v>
      </c>
      <c r="K800" s="1" t="str">
        <f>VLOOKUP(tblCong[[#This Row],[seketCode]],tblSeket[#All],5,FALSE)</f>
        <v>Wantoat</v>
      </c>
      <c r="L800" s="1" t="str">
        <f>Paris!L$171</f>
        <v>P07</v>
      </c>
      <c r="M800" s="1" t="str">
        <f>CONCATENATE(tblCong[[#This Row],[seketCode]],"-",tblCong[[#This Row],[pCode]])</f>
        <v>D02-S13-P07</v>
      </c>
      <c r="N800" s="1" t="str">
        <f>Paris!M$171</f>
        <v>Matap</v>
      </c>
      <c r="O800" s="1" t="s">
        <v>575</v>
      </c>
      <c r="P800" s="1" t="s">
        <v>1325</v>
      </c>
    </row>
    <row r="801" spans="6:16" x14ac:dyDescent="0.35">
      <c r="F801" s="1" t="str">
        <f>CONCATENATE(tblCong[[#This Row],[parishCode]],"-",tblCong[[#This Row],[kCode]])</f>
        <v>D02-S13-P07-K06</v>
      </c>
      <c r="G801" s="1" t="str">
        <f>Distrik!F$6</f>
        <v>D02</v>
      </c>
      <c r="H801" s="1" t="str">
        <f>VLOOKUP(tblCong[[#This Row],[distCode]],tblDistrict[#All],2)</f>
        <v>Jabem</v>
      </c>
      <c r="I801" s="1" t="str">
        <f>Seket!I$25</f>
        <v>S13</v>
      </c>
      <c r="J801" s="1" t="str">
        <f>CONCATENATE(tblCong[[#This Row],[distCode]],"-",tblCong[[#This Row],[sCode]])</f>
        <v>D02-S13</v>
      </c>
      <c r="K801" s="1" t="str">
        <f>VLOOKUP(tblCong[[#This Row],[seketCode]],tblSeket[#All],5,FALSE)</f>
        <v>Wantoat</v>
      </c>
      <c r="L801" s="1" t="str">
        <f>Paris!L$171</f>
        <v>P07</v>
      </c>
      <c r="M801" s="1" t="str">
        <f>CONCATENATE(tblCong[[#This Row],[seketCode]],"-",tblCong[[#This Row],[pCode]])</f>
        <v>D02-S13-P07</v>
      </c>
      <c r="N801" s="1" t="str">
        <f>Paris!M$171</f>
        <v>Matap</v>
      </c>
      <c r="O801" s="1" t="s">
        <v>576</v>
      </c>
      <c r="P801" s="1" t="s">
        <v>1326</v>
      </c>
    </row>
    <row r="802" spans="6:16" x14ac:dyDescent="0.35">
      <c r="F802" s="1" t="str">
        <f>CONCATENATE(tblCong[[#This Row],[parishCode]],"-",tblCong[[#This Row],[kCode]])</f>
        <v>D02-S13-P08-K01</v>
      </c>
      <c r="G802" s="1" t="str">
        <f>Distrik!F$6</f>
        <v>D02</v>
      </c>
      <c r="H802" s="1" t="str">
        <f>VLOOKUP(tblCong[[#This Row],[distCode]],tblDistrict[#All],2)</f>
        <v>Jabem</v>
      </c>
      <c r="I802" s="1" t="str">
        <f>Seket!I$25</f>
        <v>S13</v>
      </c>
      <c r="J802" s="1" t="str">
        <f>CONCATENATE(tblCong[[#This Row],[distCode]],"-",tblCong[[#This Row],[sCode]])</f>
        <v>D02-S13</v>
      </c>
      <c r="K802" s="1" t="str">
        <f>VLOOKUP(tblCong[[#This Row],[seketCode]],tblSeket[#All],5,FALSE)</f>
        <v>Wantoat</v>
      </c>
      <c r="L802" s="1" t="str">
        <f>Paris!L$172</f>
        <v>P08</v>
      </c>
      <c r="M802" s="1" t="str">
        <f>CONCATENATE(tblCong[[#This Row],[seketCode]],"-",tblCong[[#This Row],[pCode]])</f>
        <v>D02-S13-P08</v>
      </c>
      <c r="N802" s="1" t="str">
        <f>Paris!M$172</f>
        <v>Gibua</v>
      </c>
      <c r="O802" s="1" t="s">
        <v>567</v>
      </c>
      <c r="P802" s="1" t="s">
        <v>1327</v>
      </c>
    </row>
    <row r="803" spans="6:16" x14ac:dyDescent="0.35">
      <c r="F803" s="1" t="str">
        <f>CONCATENATE(tblCong[[#This Row],[parishCode]],"-",tblCong[[#This Row],[kCode]])</f>
        <v>D02-S13-P08-K02</v>
      </c>
      <c r="G803" s="1" t="str">
        <f>Distrik!F$6</f>
        <v>D02</v>
      </c>
      <c r="H803" s="1" t="str">
        <f>VLOOKUP(tblCong[[#This Row],[distCode]],tblDistrict[#All],2)</f>
        <v>Jabem</v>
      </c>
      <c r="I803" s="1" t="str">
        <f>Seket!I$25</f>
        <v>S13</v>
      </c>
      <c r="J803" s="1" t="str">
        <f>CONCATENATE(tblCong[[#This Row],[distCode]],"-",tblCong[[#This Row],[sCode]])</f>
        <v>D02-S13</v>
      </c>
      <c r="K803" s="1" t="str">
        <f>VLOOKUP(tblCong[[#This Row],[seketCode]],tblSeket[#All],5,FALSE)</f>
        <v>Wantoat</v>
      </c>
      <c r="L803" s="1" t="str">
        <f>Paris!L$172</f>
        <v>P08</v>
      </c>
      <c r="M803" s="1" t="str">
        <f>CONCATENATE(tblCong[[#This Row],[seketCode]],"-",tblCong[[#This Row],[pCode]])</f>
        <v>D02-S13-P08</v>
      </c>
      <c r="N803" s="1" t="str">
        <f>Paris!M$172</f>
        <v>Gibua</v>
      </c>
      <c r="O803" s="1" t="s">
        <v>569</v>
      </c>
      <c r="P803" s="1" t="s">
        <v>1328</v>
      </c>
    </row>
    <row r="804" spans="6:16" x14ac:dyDescent="0.35">
      <c r="F804" s="1" t="str">
        <f>CONCATENATE(tblCong[[#This Row],[parishCode]],"-",tblCong[[#This Row],[kCode]])</f>
        <v>D02-S13-P08-K03</v>
      </c>
      <c r="G804" s="1" t="str">
        <f>Distrik!F$6</f>
        <v>D02</v>
      </c>
      <c r="H804" s="1" t="str">
        <f>VLOOKUP(tblCong[[#This Row],[distCode]],tblDistrict[#All],2)</f>
        <v>Jabem</v>
      </c>
      <c r="I804" s="1" t="str">
        <f>Seket!I$25</f>
        <v>S13</v>
      </c>
      <c r="J804" s="1" t="str">
        <f>CONCATENATE(tblCong[[#This Row],[distCode]],"-",tblCong[[#This Row],[sCode]])</f>
        <v>D02-S13</v>
      </c>
      <c r="K804" s="1" t="str">
        <f>VLOOKUP(tblCong[[#This Row],[seketCode]],tblSeket[#All],5,FALSE)</f>
        <v>Wantoat</v>
      </c>
      <c r="L804" s="1" t="str">
        <f>Paris!L$172</f>
        <v>P08</v>
      </c>
      <c r="M804" s="1" t="str">
        <f>CONCATENATE(tblCong[[#This Row],[seketCode]],"-",tblCong[[#This Row],[pCode]])</f>
        <v>D02-S13-P08</v>
      </c>
      <c r="N804" s="1" t="str">
        <f>Paris!M$172</f>
        <v>Gibua</v>
      </c>
      <c r="O804" s="1" t="s">
        <v>571</v>
      </c>
      <c r="P804" s="1" t="s">
        <v>1329</v>
      </c>
    </row>
    <row r="805" spans="6:16" x14ac:dyDescent="0.35">
      <c r="F805" s="1" t="str">
        <f>CONCATENATE(tblCong[[#This Row],[parishCode]],"-",tblCong[[#This Row],[kCode]])</f>
        <v>D02-S13-P08-K04</v>
      </c>
      <c r="G805" s="1" t="str">
        <f>Distrik!F$6</f>
        <v>D02</v>
      </c>
      <c r="H805" s="1" t="str">
        <f>VLOOKUP(tblCong[[#This Row],[distCode]],tblDistrict[#All],2)</f>
        <v>Jabem</v>
      </c>
      <c r="I805" s="1" t="str">
        <f>Seket!I$25</f>
        <v>S13</v>
      </c>
      <c r="J805" s="1" t="str">
        <f>CONCATENATE(tblCong[[#This Row],[distCode]],"-",tblCong[[#This Row],[sCode]])</f>
        <v>D02-S13</v>
      </c>
      <c r="K805" s="1" t="str">
        <f>VLOOKUP(tblCong[[#This Row],[seketCode]],tblSeket[#All],5,FALSE)</f>
        <v>Wantoat</v>
      </c>
      <c r="L805" s="1" t="str">
        <f>Paris!L$172</f>
        <v>P08</v>
      </c>
      <c r="M805" s="1" t="str">
        <f>CONCATENATE(tblCong[[#This Row],[seketCode]],"-",tblCong[[#This Row],[pCode]])</f>
        <v>D02-S13-P08</v>
      </c>
      <c r="N805" s="1" t="str">
        <f>Paris!M$172</f>
        <v>Gibua</v>
      </c>
      <c r="O805" s="1" t="s">
        <v>573</v>
      </c>
      <c r="P805" s="1" t="s">
        <v>1330</v>
      </c>
    </row>
    <row r="806" spans="6:16" x14ac:dyDescent="0.35">
      <c r="F806" s="1" t="str">
        <f>CONCATENATE(tblCong[[#This Row],[parishCode]],"-",tblCong[[#This Row],[kCode]])</f>
        <v>D02-S13-P08-K05</v>
      </c>
      <c r="G806" s="1" t="str">
        <f>Distrik!F$6</f>
        <v>D02</v>
      </c>
      <c r="H806" s="1" t="str">
        <f>VLOOKUP(tblCong[[#This Row],[distCode]],tblDistrict[#All],2)</f>
        <v>Jabem</v>
      </c>
      <c r="I806" s="1" t="str">
        <f>Seket!I$25</f>
        <v>S13</v>
      </c>
      <c r="J806" s="1" t="str">
        <f>CONCATENATE(tblCong[[#This Row],[distCode]],"-",tblCong[[#This Row],[sCode]])</f>
        <v>D02-S13</v>
      </c>
      <c r="K806" s="1" t="str">
        <f>VLOOKUP(tblCong[[#This Row],[seketCode]],tblSeket[#All],5,FALSE)</f>
        <v>Wantoat</v>
      </c>
      <c r="L806" s="1" t="str">
        <f>Paris!L$172</f>
        <v>P08</v>
      </c>
      <c r="M806" s="1" t="str">
        <f>CONCATENATE(tblCong[[#This Row],[seketCode]],"-",tblCong[[#This Row],[pCode]])</f>
        <v>D02-S13-P08</v>
      </c>
      <c r="N806" s="1" t="str">
        <f>Paris!M$172</f>
        <v>Gibua</v>
      </c>
      <c r="O806" s="1" t="s">
        <v>575</v>
      </c>
      <c r="P806" s="1" t="s">
        <v>1331</v>
      </c>
    </row>
    <row r="807" spans="6:16" x14ac:dyDescent="0.35">
      <c r="F807" s="1" t="str">
        <f>CONCATENATE(tblCong[[#This Row],[parishCode]],"-",tblCong[[#This Row],[kCode]])</f>
        <v>D02-S13-P08-K06</v>
      </c>
      <c r="G807" s="1" t="str">
        <f>Distrik!F$6</f>
        <v>D02</v>
      </c>
      <c r="H807" s="1" t="str">
        <f>VLOOKUP(tblCong[[#This Row],[distCode]],tblDistrict[#All],2)</f>
        <v>Jabem</v>
      </c>
      <c r="I807" s="1" t="str">
        <f>Seket!I$25</f>
        <v>S13</v>
      </c>
      <c r="J807" s="1" t="str">
        <f>CONCATENATE(tblCong[[#This Row],[distCode]],"-",tblCong[[#This Row],[sCode]])</f>
        <v>D02-S13</v>
      </c>
      <c r="K807" s="1" t="str">
        <f>VLOOKUP(tblCong[[#This Row],[seketCode]],tblSeket[#All],5,FALSE)</f>
        <v>Wantoat</v>
      </c>
      <c r="L807" s="1" t="str">
        <f>Paris!L$172</f>
        <v>P08</v>
      </c>
      <c r="M807" s="1" t="str">
        <f>CONCATENATE(tblCong[[#This Row],[seketCode]],"-",tblCong[[#This Row],[pCode]])</f>
        <v>D02-S13-P08</v>
      </c>
      <c r="N807" s="1" t="str">
        <f>Paris!M$172</f>
        <v>Gibua</v>
      </c>
      <c r="O807" s="1" t="s">
        <v>576</v>
      </c>
      <c r="P807" s="1" t="s">
        <v>1332</v>
      </c>
    </row>
    <row r="808" spans="6:16" x14ac:dyDescent="0.35">
      <c r="F808" s="1" t="str">
        <f>CONCATENATE(tblCong[[#This Row],[parishCode]],"-",tblCong[[#This Row],[kCode]])</f>
        <v>D02-S13-P08-K07</v>
      </c>
      <c r="G808" s="1" t="str">
        <f>Distrik!F$6</f>
        <v>D02</v>
      </c>
      <c r="H808" s="1" t="str">
        <f>VLOOKUP(tblCong[[#This Row],[distCode]],tblDistrict[#All],2)</f>
        <v>Jabem</v>
      </c>
      <c r="I808" s="1" t="str">
        <f>Seket!I$25</f>
        <v>S13</v>
      </c>
      <c r="J808" s="1" t="str">
        <f>CONCATENATE(tblCong[[#This Row],[distCode]],"-",tblCong[[#This Row],[sCode]])</f>
        <v>D02-S13</v>
      </c>
      <c r="K808" s="1" t="str">
        <f>VLOOKUP(tblCong[[#This Row],[seketCode]],tblSeket[#All],5,FALSE)</f>
        <v>Wantoat</v>
      </c>
      <c r="L808" s="1" t="str">
        <f>Paris!L$172</f>
        <v>P08</v>
      </c>
      <c r="M808" s="1" t="str">
        <f>CONCATENATE(tblCong[[#This Row],[seketCode]],"-",tblCong[[#This Row],[pCode]])</f>
        <v>D02-S13-P08</v>
      </c>
      <c r="N808" s="1" t="str">
        <f>Paris!M$172</f>
        <v>Gibua</v>
      </c>
      <c r="O808" s="1" t="s">
        <v>578</v>
      </c>
      <c r="P808" s="1" t="s">
        <v>1333</v>
      </c>
    </row>
    <row r="809" spans="6:16" x14ac:dyDescent="0.35">
      <c r="F809" s="1" t="str">
        <f>CONCATENATE(tblCong[[#This Row],[parishCode]],"-",tblCong[[#This Row],[kCode]])</f>
        <v>D02-S13-P08-K08</v>
      </c>
      <c r="G809" s="1" t="str">
        <f>Distrik!F$6</f>
        <v>D02</v>
      </c>
      <c r="H809" s="1" t="str">
        <f>VLOOKUP(tblCong[[#This Row],[distCode]],tblDistrict[#All],2)</f>
        <v>Jabem</v>
      </c>
      <c r="I809" s="1" t="str">
        <f>Seket!I$25</f>
        <v>S13</v>
      </c>
      <c r="J809" s="1" t="str">
        <f>CONCATENATE(tblCong[[#This Row],[distCode]],"-",tblCong[[#This Row],[sCode]])</f>
        <v>D02-S13</v>
      </c>
      <c r="K809" s="1" t="str">
        <f>VLOOKUP(tblCong[[#This Row],[seketCode]],tblSeket[#All],5,FALSE)</f>
        <v>Wantoat</v>
      </c>
      <c r="L809" s="1" t="str">
        <f>Paris!L$172</f>
        <v>P08</v>
      </c>
      <c r="M809" s="1" t="str">
        <f>CONCATENATE(tblCong[[#This Row],[seketCode]],"-",tblCong[[#This Row],[pCode]])</f>
        <v>D02-S13-P08</v>
      </c>
      <c r="N809" s="1" t="str">
        <f>Paris!M$172</f>
        <v>Gibua</v>
      </c>
      <c r="O809" s="1" t="s">
        <v>651</v>
      </c>
      <c r="P809" s="1" t="s">
        <v>1334</v>
      </c>
    </row>
    <row r="810" spans="6:16" x14ac:dyDescent="0.35">
      <c r="F810" s="1" t="str">
        <f>CONCATENATE(tblCong[[#This Row],[parishCode]],"-",tblCong[[#This Row],[kCode]])</f>
        <v>D02-S14-P01-K01</v>
      </c>
      <c r="G810" s="1" t="str">
        <f>Distrik!F$6</f>
        <v>D02</v>
      </c>
      <c r="H810" s="1" t="str">
        <f>VLOOKUP(tblCong[[#This Row],[distCode]],tblDistrict[#All],2)</f>
        <v>Jabem</v>
      </c>
      <c r="I810" s="1" t="str">
        <f>Seket!I$26</f>
        <v>S14</v>
      </c>
      <c r="J810" s="1" t="str">
        <f>CONCATENATE(tblCong[[#This Row],[distCode]],"-",tblCong[[#This Row],[sCode]])</f>
        <v>D02-S14</v>
      </c>
      <c r="K810" s="1" t="str">
        <f>VLOOKUP(tblCong[[#This Row],[seketCode]],tblSeket[#All],5,FALSE)</f>
        <v>Jabem</v>
      </c>
      <c r="L810" s="1" t="str">
        <f>Paris!L$173</f>
        <v>P01</v>
      </c>
      <c r="M810" s="1" t="str">
        <f>CONCATENATE(tblCong[[#This Row],[seketCode]],"-",tblCong[[#This Row],[pCode]])</f>
        <v>D02-S14-P01</v>
      </c>
      <c r="N810" s="1" t="str">
        <f>Paris!M$173</f>
        <v>Simbang</v>
      </c>
      <c r="O810" s="1" t="s">
        <v>567</v>
      </c>
      <c r="P810" s="1" t="s">
        <v>1335</v>
      </c>
    </row>
    <row r="811" spans="6:16" x14ac:dyDescent="0.35">
      <c r="F811" s="1" t="str">
        <f>CONCATENATE(tblCong[[#This Row],[parishCode]],"-",tblCong[[#This Row],[kCode]])</f>
        <v>D02-S14-P01-K02</v>
      </c>
      <c r="G811" s="1" t="str">
        <f>Distrik!F$6</f>
        <v>D02</v>
      </c>
      <c r="H811" s="1" t="str">
        <f>VLOOKUP(tblCong[[#This Row],[distCode]],tblDistrict[#All],2)</f>
        <v>Jabem</v>
      </c>
      <c r="I811" s="1" t="str">
        <f>Seket!I$26</f>
        <v>S14</v>
      </c>
      <c r="J811" s="1" t="str">
        <f>CONCATENATE(tblCong[[#This Row],[distCode]],"-",tblCong[[#This Row],[sCode]])</f>
        <v>D02-S14</v>
      </c>
      <c r="K811" s="1" t="str">
        <f>VLOOKUP(tblCong[[#This Row],[seketCode]],tblSeket[#All],5,FALSE)</f>
        <v>Jabem</v>
      </c>
      <c r="L811" s="1" t="str">
        <f>Paris!L$173</f>
        <v>P01</v>
      </c>
      <c r="M811" s="1" t="str">
        <f>CONCATENATE(tblCong[[#This Row],[seketCode]],"-",tblCong[[#This Row],[pCode]])</f>
        <v>D02-S14-P01</v>
      </c>
      <c r="N811" s="1" t="str">
        <f>Paris!M$173</f>
        <v>Simbang</v>
      </c>
      <c r="O811" s="1" t="s">
        <v>569</v>
      </c>
      <c r="P811" s="1" t="s">
        <v>1336</v>
      </c>
    </row>
    <row r="812" spans="6:16" x14ac:dyDescent="0.35">
      <c r="F812" s="1" t="str">
        <f>CONCATENATE(tblCong[[#This Row],[parishCode]],"-",tblCong[[#This Row],[kCode]])</f>
        <v>D02-S14-P01-K03</v>
      </c>
      <c r="G812" s="1" t="str">
        <f>Distrik!F$6</f>
        <v>D02</v>
      </c>
      <c r="H812" s="1" t="str">
        <f>VLOOKUP(tblCong[[#This Row],[distCode]],tblDistrict[#All],2)</f>
        <v>Jabem</v>
      </c>
      <c r="I812" s="1" t="str">
        <f>Seket!I$26</f>
        <v>S14</v>
      </c>
      <c r="J812" s="1" t="str">
        <f>CONCATENATE(tblCong[[#This Row],[distCode]],"-",tblCong[[#This Row],[sCode]])</f>
        <v>D02-S14</v>
      </c>
      <c r="K812" s="1" t="str">
        <f>VLOOKUP(tblCong[[#This Row],[seketCode]],tblSeket[#All],5,FALSE)</f>
        <v>Jabem</v>
      </c>
      <c r="L812" s="1" t="str">
        <f>Paris!L$173</f>
        <v>P01</v>
      </c>
      <c r="M812" s="1" t="str">
        <f>CONCATENATE(tblCong[[#This Row],[seketCode]],"-",tblCong[[#This Row],[pCode]])</f>
        <v>D02-S14-P01</v>
      </c>
      <c r="N812" s="1" t="str">
        <f>Paris!M$173</f>
        <v>Simbang</v>
      </c>
      <c r="O812" s="1" t="s">
        <v>571</v>
      </c>
      <c r="P812" s="1" t="s">
        <v>385</v>
      </c>
    </row>
    <row r="813" spans="6:16" x14ac:dyDescent="0.35">
      <c r="F813" s="1" t="str">
        <f>CONCATENATE(tblCong[[#This Row],[parishCode]],"-",tblCong[[#This Row],[kCode]])</f>
        <v>D02-S14-P01-K04</v>
      </c>
      <c r="G813" s="1" t="str">
        <f>Distrik!F$6</f>
        <v>D02</v>
      </c>
      <c r="H813" s="1" t="str">
        <f>VLOOKUP(tblCong[[#This Row],[distCode]],tblDistrict[#All],2)</f>
        <v>Jabem</v>
      </c>
      <c r="I813" s="1" t="str">
        <f>Seket!I$26</f>
        <v>S14</v>
      </c>
      <c r="J813" s="1" t="str">
        <f>CONCATENATE(tblCong[[#This Row],[distCode]],"-",tblCong[[#This Row],[sCode]])</f>
        <v>D02-S14</v>
      </c>
      <c r="K813" s="1" t="str">
        <f>VLOOKUP(tblCong[[#This Row],[seketCode]],tblSeket[#All],5,FALSE)</f>
        <v>Jabem</v>
      </c>
      <c r="L813" s="1" t="str">
        <f>Paris!L$173</f>
        <v>P01</v>
      </c>
      <c r="M813" s="1" t="str">
        <f>CONCATENATE(tblCong[[#This Row],[seketCode]],"-",tblCong[[#This Row],[pCode]])</f>
        <v>D02-S14-P01</v>
      </c>
      <c r="N813" s="1" t="str">
        <f>Paris!M$173</f>
        <v>Simbang</v>
      </c>
      <c r="O813" s="1" t="s">
        <v>573</v>
      </c>
      <c r="P813" s="1" t="s">
        <v>1337</v>
      </c>
    </row>
    <row r="814" spans="6:16" x14ac:dyDescent="0.35">
      <c r="F814" s="1" t="str">
        <f>CONCATENATE(tblCong[[#This Row],[parishCode]],"-",tblCong[[#This Row],[kCode]])</f>
        <v>D02-S14-P02-K01</v>
      </c>
      <c r="G814" s="1" t="str">
        <f>Distrik!F$6</f>
        <v>D02</v>
      </c>
      <c r="H814" s="1" t="str">
        <f>VLOOKUP(tblCong[[#This Row],[distCode]],tblDistrict[#All],2)</f>
        <v>Jabem</v>
      </c>
      <c r="I814" s="1" t="str">
        <f>Seket!I$26</f>
        <v>S14</v>
      </c>
      <c r="J814" s="1" t="str">
        <f>CONCATENATE(tblCong[[#This Row],[distCode]],"-",tblCong[[#This Row],[sCode]])</f>
        <v>D02-S14</v>
      </c>
      <c r="K814" s="1" t="str">
        <f>VLOOKUP(tblCong[[#This Row],[seketCode]],tblSeket[#All],5,FALSE)</f>
        <v>Jabem</v>
      </c>
      <c r="L814" s="1" t="str">
        <f>Paris!L$174</f>
        <v>P02</v>
      </c>
      <c r="M814" s="1" t="str">
        <f>CONCATENATE(tblCong[[#This Row],[seketCode]],"-",tblCong[[#This Row],[pCode]])</f>
        <v>D02-S14-P02</v>
      </c>
      <c r="N814" s="1" t="str">
        <f>Paris!M$174</f>
        <v>Gingala</v>
      </c>
      <c r="O814" s="1" t="s">
        <v>567</v>
      </c>
      <c r="P814" s="1" t="s">
        <v>386</v>
      </c>
    </row>
    <row r="815" spans="6:16" x14ac:dyDescent="0.35">
      <c r="F815" s="1" t="str">
        <f>CONCATENATE(tblCong[[#This Row],[parishCode]],"-",tblCong[[#This Row],[kCode]])</f>
        <v>D02-S14-P02-K02</v>
      </c>
      <c r="G815" s="1" t="str">
        <f>Distrik!F$6</f>
        <v>D02</v>
      </c>
      <c r="H815" s="1" t="str">
        <f>VLOOKUP(tblCong[[#This Row],[distCode]],tblDistrict[#All],2)</f>
        <v>Jabem</v>
      </c>
      <c r="I815" s="1" t="str">
        <f>Seket!I$26</f>
        <v>S14</v>
      </c>
      <c r="J815" s="1" t="str">
        <f>CONCATENATE(tblCong[[#This Row],[distCode]],"-",tblCong[[#This Row],[sCode]])</f>
        <v>D02-S14</v>
      </c>
      <c r="K815" s="1" t="str">
        <f>VLOOKUP(tblCong[[#This Row],[seketCode]],tblSeket[#All],5,FALSE)</f>
        <v>Jabem</v>
      </c>
      <c r="L815" s="1" t="str">
        <f>Paris!L$174</f>
        <v>P02</v>
      </c>
      <c r="M815" s="1" t="str">
        <f>CONCATENATE(tblCong[[#This Row],[seketCode]],"-",tblCong[[#This Row],[pCode]])</f>
        <v>D02-S14-P02</v>
      </c>
      <c r="N815" s="1" t="str">
        <f>Paris!M$174</f>
        <v>Gingala</v>
      </c>
      <c r="O815" s="1" t="s">
        <v>569</v>
      </c>
      <c r="P815" s="1" t="s">
        <v>1338</v>
      </c>
    </row>
    <row r="816" spans="6:16" x14ac:dyDescent="0.35">
      <c r="F816" s="1" t="str">
        <f>CONCATENATE(tblCong[[#This Row],[parishCode]],"-",tblCong[[#This Row],[kCode]])</f>
        <v>D02-S14-P03-K01</v>
      </c>
      <c r="G816" s="1" t="str">
        <f>Distrik!F$6</f>
        <v>D02</v>
      </c>
      <c r="H816" s="1" t="str">
        <f>VLOOKUP(tblCong[[#This Row],[distCode]],tblDistrict[#All],2)</f>
        <v>Jabem</v>
      </c>
      <c r="I816" s="1" t="str">
        <f>Seket!I$26</f>
        <v>S14</v>
      </c>
      <c r="J816" s="1" t="str">
        <f>CONCATENATE(tblCong[[#This Row],[distCode]],"-",tblCong[[#This Row],[sCode]])</f>
        <v>D02-S14</v>
      </c>
      <c r="K816" s="1" t="str">
        <f>VLOOKUP(tblCong[[#This Row],[seketCode]],tblSeket[#All],5,FALSE)</f>
        <v>Jabem</v>
      </c>
      <c r="L816" s="1" t="str">
        <f>Paris!L$175</f>
        <v>P03</v>
      </c>
      <c r="M816" s="1" t="str">
        <f>CONCATENATE(tblCong[[#This Row],[seketCode]],"-",tblCong[[#This Row],[pCode]])</f>
        <v>D02-S14-P03</v>
      </c>
      <c r="N816" s="1" t="str">
        <f>Paris!M$175</f>
        <v>Obasiga</v>
      </c>
      <c r="O816" s="1" t="s">
        <v>567</v>
      </c>
      <c r="P816" s="1" t="s">
        <v>1339</v>
      </c>
    </row>
    <row r="817" spans="6:16" x14ac:dyDescent="0.35">
      <c r="F817" s="1" t="str">
        <f>CONCATENATE(tblCong[[#This Row],[parishCode]],"-",tblCong[[#This Row],[kCode]])</f>
        <v>D02-S14-P03-K02</v>
      </c>
      <c r="G817" s="1" t="str">
        <f>Distrik!F$6</f>
        <v>D02</v>
      </c>
      <c r="H817" s="1" t="str">
        <f>VLOOKUP(tblCong[[#This Row],[distCode]],tblDistrict[#All],2)</f>
        <v>Jabem</v>
      </c>
      <c r="I817" s="1" t="str">
        <f>Seket!I$26</f>
        <v>S14</v>
      </c>
      <c r="J817" s="1" t="str">
        <f>CONCATENATE(tblCong[[#This Row],[distCode]],"-",tblCong[[#This Row],[sCode]])</f>
        <v>D02-S14</v>
      </c>
      <c r="K817" s="1" t="str">
        <f>VLOOKUP(tblCong[[#This Row],[seketCode]],tblSeket[#All],5,FALSE)</f>
        <v>Jabem</v>
      </c>
      <c r="L817" s="1" t="str">
        <f>Paris!L$175</f>
        <v>P03</v>
      </c>
      <c r="M817" s="1" t="str">
        <f>CONCATENATE(tblCong[[#This Row],[seketCode]],"-",tblCong[[#This Row],[pCode]])</f>
        <v>D02-S14-P03</v>
      </c>
      <c r="N817" s="1" t="str">
        <f>Paris!M$175</f>
        <v>Obasiga</v>
      </c>
      <c r="O817" s="1" t="s">
        <v>569</v>
      </c>
      <c r="P817" s="1" t="s">
        <v>1340</v>
      </c>
    </row>
    <row r="818" spans="6:16" x14ac:dyDescent="0.35">
      <c r="F818" s="1" t="str">
        <f>CONCATENATE(tblCong[[#This Row],[parishCode]],"-",tblCong[[#This Row],[kCode]])</f>
        <v>D02-S14-P04-K01</v>
      </c>
      <c r="G818" s="1" t="str">
        <f>Distrik!F$6</f>
        <v>D02</v>
      </c>
      <c r="H818" s="1" t="str">
        <f>VLOOKUP(tblCong[[#This Row],[distCode]],tblDistrict[#All],2)</f>
        <v>Jabem</v>
      </c>
      <c r="I818" s="1" t="str">
        <f>Seket!I$26</f>
        <v>S14</v>
      </c>
      <c r="J818" s="1" t="str">
        <f>CONCATENATE(tblCong[[#This Row],[distCode]],"-",tblCong[[#This Row],[sCode]])</f>
        <v>D02-S14</v>
      </c>
      <c r="K818" s="1" t="str">
        <f>VLOOKUP(tblCong[[#This Row],[seketCode]],tblSeket[#All],5,FALSE)</f>
        <v>Jabem</v>
      </c>
      <c r="L818" s="1" t="str">
        <f>Paris!L$176</f>
        <v>P04</v>
      </c>
      <c r="M818" s="1" t="str">
        <f>CONCATENATE(tblCong[[#This Row],[seketCode]],"-",tblCong[[#This Row],[pCode]])</f>
        <v>D02-S14-P04</v>
      </c>
      <c r="N818" s="1" t="str">
        <f>Paris!M$176</f>
        <v>Gaso</v>
      </c>
      <c r="O818" s="1" t="s">
        <v>567</v>
      </c>
      <c r="P818" s="1" t="s">
        <v>1341</v>
      </c>
    </row>
    <row r="819" spans="6:16" x14ac:dyDescent="0.35">
      <c r="F819" s="1" t="str">
        <f>CONCATENATE(tblCong[[#This Row],[parishCode]],"-",tblCong[[#This Row],[kCode]])</f>
        <v>D02-S14-P04-K02</v>
      </c>
      <c r="G819" s="1" t="str">
        <f>Distrik!F$6</f>
        <v>D02</v>
      </c>
      <c r="H819" s="1" t="str">
        <f>VLOOKUP(tblCong[[#This Row],[distCode]],tblDistrict[#All],2)</f>
        <v>Jabem</v>
      </c>
      <c r="I819" s="1" t="str">
        <f>Seket!I$26</f>
        <v>S14</v>
      </c>
      <c r="J819" s="1" t="str">
        <f>CONCATENATE(tblCong[[#This Row],[distCode]],"-",tblCong[[#This Row],[sCode]])</f>
        <v>D02-S14</v>
      </c>
      <c r="K819" s="1" t="str">
        <f>VLOOKUP(tblCong[[#This Row],[seketCode]],tblSeket[#All],5,FALSE)</f>
        <v>Jabem</v>
      </c>
      <c r="L819" s="1" t="str">
        <f>Paris!L$176</f>
        <v>P04</v>
      </c>
      <c r="M819" s="1" t="str">
        <f>CONCATENATE(tblCong[[#This Row],[seketCode]],"-",tblCong[[#This Row],[pCode]])</f>
        <v>D02-S14-P04</v>
      </c>
      <c r="N819" s="1" t="str">
        <f>Paris!M$176</f>
        <v>Gaso</v>
      </c>
      <c r="O819" s="1" t="s">
        <v>569</v>
      </c>
      <c r="P819" s="1" t="s">
        <v>1342</v>
      </c>
    </row>
    <row r="820" spans="6:16" x14ac:dyDescent="0.35">
      <c r="F820" s="1" t="str">
        <f>CONCATENATE(tblCong[[#This Row],[parishCode]],"-",tblCong[[#This Row],[kCode]])</f>
        <v>D02-S14-P05-K01</v>
      </c>
      <c r="G820" s="1" t="str">
        <f>Distrik!F$6</f>
        <v>D02</v>
      </c>
      <c r="H820" s="1" t="str">
        <f>VLOOKUP(tblCong[[#This Row],[distCode]],tblDistrict[#All],2)</f>
        <v>Jabem</v>
      </c>
      <c r="I820" s="1" t="str">
        <f>Seket!I$26</f>
        <v>S14</v>
      </c>
      <c r="J820" s="1" t="str">
        <f>CONCATENATE(tblCong[[#This Row],[distCode]],"-",tblCong[[#This Row],[sCode]])</f>
        <v>D02-S14</v>
      </c>
      <c r="K820" s="1" t="str">
        <f>VLOOKUP(tblCong[[#This Row],[seketCode]],tblSeket[#All],5,FALSE)</f>
        <v>Jabem</v>
      </c>
      <c r="L820" s="1" t="str">
        <f>Paris!L$177</f>
        <v>P05</v>
      </c>
      <c r="M820" s="1" t="str">
        <f>CONCATENATE(tblCong[[#This Row],[seketCode]],"-",tblCong[[#This Row],[pCode]])</f>
        <v>D02-S14-P05</v>
      </c>
      <c r="N820" s="1" t="str">
        <f>Paris!M$177</f>
        <v>Buma</v>
      </c>
      <c r="O820" s="1" t="s">
        <v>567</v>
      </c>
      <c r="P820" s="1" t="s">
        <v>1343</v>
      </c>
    </row>
    <row r="821" spans="6:16" x14ac:dyDescent="0.35">
      <c r="F821" s="1" t="str">
        <f>CONCATENATE(tblCong[[#This Row],[parishCode]],"-",tblCong[[#This Row],[kCode]])</f>
        <v>D02-S14-P05-K02</v>
      </c>
      <c r="G821" s="1" t="str">
        <f>Distrik!F$6</f>
        <v>D02</v>
      </c>
      <c r="H821" s="1" t="str">
        <f>VLOOKUP(tblCong[[#This Row],[distCode]],tblDistrict[#All],2)</f>
        <v>Jabem</v>
      </c>
      <c r="I821" s="1" t="str">
        <f>Seket!I$26</f>
        <v>S14</v>
      </c>
      <c r="J821" s="1" t="str">
        <f>CONCATENATE(tblCong[[#This Row],[distCode]],"-",tblCong[[#This Row],[sCode]])</f>
        <v>D02-S14</v>
      </c>
      <c r="K821" s="1" t="str">
        <f>VLOOKUP(tblCong[[#This Row],[seketCode]],tblSeket[#All],5,FALSE)</f>
        <v>Jabem</v>
      </c>
      <c r="L821" s="1" t="str">
        <f>Paris!L$177</f>
        <v>P05</v>
      </c>
      <c r="M821" s="1" t="str">
        <f>CONCATENATE(tblCong[[#This Row],[seketCode]],"-",tblCong[[#This Row],[pCode]])</f>
        <v>D02-S14-P05</v>
      </c>
      <c r="N821" s="1" t="str">
        <f>Paris!M$177</f>
        <v>Buma</v>
      </c>
      <c r="O821" s="1" t="s">
        <v>569</v>
      </c>
      <c r="P821" s="1" t="s">
        <v>1344</v>
      </c>
    </row>
    <row r="822" spans="6:16" x14ac:dyDescent="0.35">
      <c r="F822" s="1" t="str">
        <f>CONCATENATE(tblCong[[#This Row],[parishCode]],"-",tblCong[[#This Row],[kCode]])</f>
        <v>D02-S14-P06-K01</v>
      </c>
      <c r="G822" s="1" t="str">
        <f>Distrik!F$6</f>
        <v>D02</v>
      </c>
      <c r="H822" s="1" t="str">
        <f>VLOOKUP(tblCong[[#This Row],[distCode]],tblDistrict[#All],2)</f>
        <v>Jabem</v>
      </c>
      <c r="I822" s="1" t="str">
        <f>Seket!I$26</f>
        <v>S14</v>
      </c>
      <c r="J822" s="1" t="str">
        <f>CONCATENATE(tblCong[[#This Row],[distCode]],"-",tblCong[[#This Row],[sCode]])</f>
        <v>D02-S14</v>
      </c>
      <c r="K822" s="1" t="str">
        <f>VLOOKUP(tblCong[[#This Row],[seketCode]],tblSeket[#All],5,FALSE)</f>
        <v>Jabem</v>
      </c>
      <c r="L822" s="1" t="str">
        <f>Paris!L$178</f>
        <v>P06</v>
      </c>
      <c r="M822" s="1" t="str">
        <f>CONCATENATE(tblCong[[#This Row],[seketCode]],"-",tblCong[[#This Row],[pCode]])</f>
        <v>D02-S14-P06</v>
      </c>
      <c r="N822" s="1" t="str">
        <f>Paris!M$178</f>
        <v>Malasiga</v>
      </c>
      <c r="O822" s="1" t="s">
        <v>567</v>
      </c>
      <c r="P822" s="1" t="s">
        <v>390</v>
      </c>
    </row>
    <row r="823" spans="6:16" x14ac:dyDescent="0.35">
      <c r="F823" s="1" t="str">
        <f>CONCATENATE(tblCong[[#This Row],[parishCode]],"-",tblCong[[#This Row],[kCode]])</f>
        <v>D02-S14-P06-K02</v>
      </c>
      <c r="G823" s="1" t="str">
        <f>Distrik!F$6</f>
        <v>D02</v>
      </c>
      <c r="H823" s="1" t="str">
        <f>VLOOKUP(tblCong[[#This Row],[distCode]],tblDistrict[#All],2)</f>
        <v>Jabem</v>
      </c>
      <c r="I823" s="1" t="str">
        <f>Seket!I$26</f>
        <v>S14</v>
      </c>
      <c r="J823" s="1" t="str">
        <f>CONCATENATE(tblCong[[#This Row],[distCode]],"-",tblCong[[#This Row],[sCode]])</f>
        <v>D02-S14</v>
      </c>
      <c r="K823" s="1" t="str">
        <f>VLOOKUP(tblCong[[#This Row],[seketCode]],tblSeket[#All],5,FALSE)</f>
        <v>Jabem</v>
      </c>
      <c r="L823" s="1" t="str">
        <f>Paris!L$178</f>
        <v>P06</v>
      </c>
      <c r="M823" s="1" t="str">
        <f>CONCATENATE(tblCong[[#This Row],[seketCode]],"-",tblCong[[#This Row],[pCode]])</f>
        <v>D02-S14-P06</v>
      </c>
      <c r="N823" s="1" t="str">
        <f>Paris!M$178</f>
        <v>Malasiga</v>
      </c>
      <c r="O823" s="1" t="s">
        <v>569</v>
      </c>
      <c r="P823" s="1" t="s">
        <v>1345</v>
      </c>
    </row>
    <row r="824" spans="6:16" x14ac:dyDescent="0.35">
      <c r="F824" s="1" t="str">
        <f>CONCATENATE(tblCong[[#This Row],[parishCode]],"-",tblCong[[#This Row],[kCode]])</f>
        <v>D02-S14-P06-K03</v>
      </c>
      <c r="G824" s="1" t="str">
        <f>Distrik!F$6</f>
        <v>D02</v>
      </c>
      <c r="H824" s="1" t="str">
        <f>VLOOKUP(tblCong[[#This Row],[distCode]],tblDistrict[#All],2)</f>
        <v>Jabem</v>
      </c>
      <c r="I824" s="1" t="str">
        <f>Seket!I$26</f>
        <v>S14</v>
      </c>
      <c r="J824" s="1" t="str">
        <f>CONCATENATE(tblCong[[#This Row],[distCode]],"-",tblCong[[#This Row],[sCode]])</f>
        <v>D02-S14</v>
      </c>
      <c r="K824" s="1" t="str">
        <f>VLOOKUP(tblCong[[#This Row],[seketCode]],tblSeket[#All],5,FALSE)</f>
        <v>Jabem</v>
      </c>
      <c r="L824" s="1" t="str">
        <f>Paris!L$178</f>
        <v>P06</v>
      </c>
      <c r="M824" s="1" t="str">
        <f>CONCATENATE(tblCong[[#This Row],[seketCode]],"-",tblCong[[#This Row],[pCode]])</f>
        <v>D02-S14-P06</v>
      </c>
      <c r="N824" s="1" t="str">
        <f>Paris!M$178</f>
        <v>Malasiga</v>
      </c>
      <c r="O824" s="1" t="s">
        <v>571</v>
      </c>
      <c r="P824" s="1" t="s">
        <v>1346</v>
      </c>
    </row>
    <row r="825" spans="6:16" x14ac:dyDescent="0.35">
      <c r="F825" s="1" t="str">
        <f>CONCATENATE(tblCong[[#This Row],[parishCode]],"-",tblCong[[#This Row],[kCode]])</f>
        <v>D02-S14-P06-K04</v>
      </c>
      <c r="G825" s="1" t="str">
        <f>Distrik!F$6</f>
        <v>D02</v>
      </c>
      <c r="H825" s="1" t="str">
        <f>VLOOKUP(tblCong[[#This Row],[distCode]],tblDistrict[#All],2)</f>
        <v>Jabem</v>
      </c>
      <c r="I825" s="1" t="str">
        <f>Seket!I$26</f>
        <v>S14</v>
      </c>
      <c r="J825" s="1" t="str">
        <f>CONCATENATE(tblCong[[#This Row],[distCode]],"-",tblCong[[#This Row],[sCode]])</f>
        <v>D02-S14</v>
      </c>
      <c r="K825" s="1" t="str">
        <f>VLOOKUP(tblCong[[#This Row],[seketCode]],tblSeket[#All],5,FALSE)</f>
        <v>Jabem</v>
      </c>
      <c r="L825" s="1" t="str">
        <f>Paris!L$178</f>
        <v>P06</v>
      </c>
      <c r="M825" s="1" t="str">
        <f>CONCATENATE(tblCong[[#This Row],[seketCode]],"-",tblCong[[#This Row],[pCode]])</f>
        <v>D02-S14-P06</v>
      </c>
      <c r="N825" s="1" t="str">
        <f>Paris!M$178</f>
        <v>Malasiga</v>
      </c>
      <c r="O825" s="1" t="s">
        <v>573</v>
      </c>
      <c r="P825" s="1" t="s">
        <v>1347</v>
      </c>
    </row>
    <row r="826" spans="6:16" x14ac:dyDescent="0.35">
      <c r="F826" s="1" t="str">
        <f>CONCATENATE(tblCong[[#This Row],[parishCode]],"-",tblCong[[#This Row],[kCode]])</f>
        <v>D02-S14-P07-K01</v>
      </c>
      <c r="G826" s="1" t="str">
        <f>Distrik!F$6</f>
        <v>D02</v>
      </c>
      <c r="H826" s="1" t="str">
        <f>VLOOKUP(tblCong[[#This Row],[distCode]],tblDistrict[#All],2)</f>
        <v>Jabem</v>
      </c>
      <c r="I826" s="1" t="str">
        <f>Seket!I$26</f>
        <v>S14</v>
      </c>
      <c r="J826" s="1" t="str">
        <f>CONCATENATE(tblCong[[#This Row],[distCode]],"-",tblCong[[#This Row],[sCode]])</f>
        <v>D02-S14</v>
      </c>
      <c r="K826" s="1" t="str">
        <f>VLOOKUP(tblCong[[#This Row],[seketCode]],tblSeket[#All],5,FALSE)</f>
        <v>Jabem</v>
      </c>
      <c r="L826" s="1" t="s">
        <v>216</v>
      </c>
      <c r="M826" s="1" t="str">
        <f>CONCATENATE(tblCong[[#This Row],[seketCode]],"-",tblCong[[#This Row],[pCode]])</f>
        <v>D02-S14-P07</v>
      </c>
      <c r="N826" s="1" t="s">
        <v>1348</v>
      </c>
      <c r="O826" s="1" t="s">
        <v>567</v>
      </c>
      <c r="P826" s="1" t="s">
        <v>1349</v>
      </c>
    </row>
    <row r="827" spans="6:16" x14ac:dyDescent="0.35">
      <c r="F827" s="1" t="str">
        <f>CONCATENATE(tblCong[[#This Row],[parishCode]],"-",tblCong[[#This Row],[kCode]])</f>
        <v>D02-S14-P07-K02</v>
      </c>
      <c r="G827" s="1" t="str">
        <f>Distrik!F$6</f>
        <v>D02</v>
      </c>
      <c r="H827" s="1" t="str">
        <f>VLOOKUP(tblCong[[#This Row],[distCode]],tblDistrict[#All],2)</f>
        <v>Jabem</v>
      </c>
      <c r="I827" s="1" t="str">
        <f>Seket!I$26</f>
        <v>S14</v>
      </c>
      <c r="J827" s="1" t="str">
        <f>CONCATENATE(tblCong[[#This Row],[distCode]],"-",tblCong[[#This Row],[sCode]])</f>
        <v>D02-S14</v>
      </c>
      <c r="K827" s="1" t="str">
        <f>VLOOKUP(tblCong[[#This Row],[seketCode]],tblSeket[#All],5,FALSE)</f>
        <v>Jabem</v>
      </c>
      <c r="L827" s="1" t="s">
        <v>216</v>
      </c>
      <c r="M827" s="1" t="str">
        <f>CONCATENATE(tblCong[[#This Row],[seketCode]],"-",tblCong[[#This Row],[pCode]])</f>
        <v>D02-S14-P07</v>
      </c>
      <c r="N827" s="1" t="s">
        <v>1348</v>
      </c>
      <c r="O827" s="1" t="s">
        <v>569</v>
      </c>
      <c r="P827" s="1" t="s">
        <v>1350</v>
      </c>
    </row>
    <row r="828" spans="6:16" x14ac:dyDescent="0.35">
      <c r="F828" s="1" t="str">
        <f>CONCATENATE(tblCong[[#This Row],[parishCode]],"-",tblCong[[#This Row],[kCode]])</f>
        <v>D02-S14-P07-K03</v>
      </c>
      <c r="G828" s="1" t="str">
        <f>Distrik!F$6</f>
        <v>D02</v>
      </c>
      <c r="H828" s="1" t="str">
        <f>VLOOKUP(tblCong[[#This Row],[distCode]],tblDistrict[#All],2)</f>
        <v>Jabem</v>
      </c>
      <c r="I828" s="1" t="str">
        <f>Seket!I$26</f>
        <v>S14</v>
      </c>
      <c r="J828" s="1" t="str">
        <f>CONCATENATE(tblCong[[#This Row],[distCode]],"-",tblCong[[#This Row],[sCode]])</f>
        <v>D02-S14</v>
      </c>
      <c r="K828" s="1" t="str">
        <f>VLOOKUP(tblCong[[#This Row],[seketCode]],tblSeket[#All],5,FALSE)</f>
        <v>Jabem</v>
      </c>
      <c r="L828" s="1" t="s">
        <v>216</v>
      </c>
      <c r="M828" s="1" t="str">
        <f>CONCATENATE(tblCong[[#This Row],[seketCode]],"-",tblCong[[#This Row],[pCode]])</f>
        <v>D02-S14-P07</v>
      </c>
      <c r="N828" s="1" t="s">
        <v>1348</v>
      </c>
      <c r="O828" s="1" t="s">
        <v>571</v>
      </c>
      <c r="P828" s="1" t="s">
        <v>1351</v>
      </c>
    </row>
    <row r="829" spans="6:16" x14ac:dyDescent="0.35">
      <c r="F829" s="1" t="str">
        <f>CONCATENATE(tblCong[[#This Row],[parishCode]],"-",tblCong[[#This Row],[kCode]])</f>
        <v>D02-S14-P07-K04</v>
      </c>
      <c r="G829" s="1" t="s">
        <v>71</v>
      </c>
      <c r="H829" s="1" t="str">
        <f>VLOOKUP(tblCong[[#This Row],[distCode]],tblDistrict[#All],2)</f>
        <v>Jabem</v>
      </c>
      <c r="I829" s="1" t="s">
        <v>130</v>
      </c>
      <c r="J829" s="1" t="s">
        <v>1352</v>
      </c>
      <c r="K829" s="1" t="str">
        <f>VLOOKUP(tblCong[[#This Row],[seketCode]],tblSeket[#All],5,FALSE)</f>
        <v>Jabem</v>
      </c>
      <c r="L829" s="1" t="s">
        <v>216</v>
      </c>
      <c r="M829" s="1" t="str">
        <f>CONCATENATE(tblCong[[#This Row],[seketCode]],"-",tblCong[[#This Row],[pCode]])</f>
        <v>D02-S14-P07</v>
      </c>
      <c r="N829" s="1" t="s">
        <v>1348</v>
      </c>
      <c r="O829" s="1" t="s">
        <v>573</v>
      </c>
      <c r="P829" s="1" t="s">
        <v>1353</v>
      </c>
    </row>
    <row r="830" spans="6:16" x14ac:dyDescent="0.35">
      <c r="F830" s="1" t="str">
        <f>CONCATENATE(tblCong[[#This Row],[parishCode]],"-",tblCong[[#This Row],[kCode]])</f>
        <v>D03-S01-P01-K01</v>
      </c>
      <c r="G830" s="1" t="str">
        <f>Distrik!F$7</f>
        <v>D03</v>
      </c>
      <c r="H830" s="1" t="str">
        <f>VLOOKUP(tblCong[[#This Row],[distCode]],tblDistrict[#All],2)</f>
        <v>Madang</v>
      </c>
      <c r="I830" s="1" t="str">
        <f>Seket!I$27</f>
        <v>S01</v>
      </c>
      <c r="J830" s="1" t="str">
        <f>CONCATENATE(tblCong[[#This Row],[distCode]],"-",tblCong[[#This Row],[sCode]])</f>
        <v>D03-S01</v>
      </c>
      <c r="K830" s="1" t="str">
        <f>VLOOKUP(tblCong[[#This Row],[seketCode]],tblSeket[#All],5,FALSE)</f>
        <v>Amele</v>
      </c>
      <c r="L830" s="1" t="str">
        <f>Paris!L$179</f>
        <v>P01</v>
      </c>
      <c r="M830" s="1" t="str">
        <f>CONCATENATE(tblCong[[#This Row],[seketCode]],"-",tblCong[[#This Row],[pCode]])</f>
        <v>D03-S01-P01</v>
      </c>
      <c r="N830" s="1" t="str">
        <f>Paris!M$179</f>
        <v>Nobonob</v>
      </c>
      <c r="O830" s="1" t="s">
        <v>567</v>
      </c>
      <c r="P830" s="1" t="s">
        <v>1354</v>
      </c>
    </row>
    <row r="831" spans="6:16" x14ac:dyDescent="0.35">
      <c r="F831" s="1" t="str">
        <f>CONCATENATE(tblCong[[#This Row],[parishCode]],"-",tblCong[[#This Row],[kCode]])</f>
        <v>D03-S01-P01-K02</v>
      </c>
      <c r="G831" s="1" t="str">
        <f>Distrik!F$7</f>
        <v>D03</v>
      </c>
      <c r="H831" s="1" t="str">
        <f>VLOOKUP(tblCong[[#This Row],[distCode]],tblDistrict[#All],2)</f>
        <v>Madang</v>
      </c>
      <c r="I831" s="1" t="str">
        <f>Seket!I$27</f>
        <v>S01</v>
      </c>
      <c r="J831" s="1" t="str">
        <f>CONCATENATE(tblCong[[#This Row],[distCode]],"-",tblCong[[#This Row],[sCode]])</f>
        <v>D03-S01</v>
      </c>
      <c r="K831" s="1" t="str">
        <f>VLOOKUP(tblCong[[#This Row],[seketCode]],tblSeket[#All],5,FALSE)</f>
        <v>Amele</v>
      </c>
      <c r="L831" s="1" t="str">
        <f>Paris!L$179</f>
        <v>P01</v>
      </c>
      <c r="M831" s="1" t="str">
        <f>CONCATENATE(tblCong[[#This Row],[seketCode]],"-",tblCong[[#This Row],[pCode]])</f>
        <v>D03-S01-P01</v>
      </c>
      <c r="N831" s="1" t="str">
        <f>Paris!M$179</f>
        <v>Nobonob</v>
      </c>
      <c r="O831" s="1" t="s">
        <v>569</v>
      </c>
      <c r="P831" s="1" t="s">
        <v>1355</v>
      </c>
    </row>
    <row r="832" spans="6:16" x14ac:dyDescent="0.35">
      <c r="F832" s="1" t="str">
        <f>CONCATENATE(tblCong[[#This Row],[parishCode]],"-",tblCong[[#This Row],[kCode]])</f>
        <v>D03-S01-P01-K03</v>
      </c>
      <c r="G832" s="1" t="str">
        <f>Distrik!F$7</f>
        <v>D03</v>
      </c>
      <c r="H832" s="1" t="str">
        <f>VLOOKUP(tblCong[[#This Row],[distCode]],tblDistrict[#All],2)</f>
        <v>Madang</v>
      </c>
      <c r="I832" s="1" t="str">
        <f>Seket!I$27</f>
        <v>S01</v>
      </c>
      <c r="J832" s="1" t="str">
        <f>CONCATENATE(tblCong[[#This Row],[distCode]],"-",tblCong[[#This Row],[sCode]])</f>
        <v>D03-S01</v>
      </c>
      <c r="K832" s="1" t="str">
        <f>VLOOKUP(tblCong[[#This Row],[seketCode]],tblSeket[#All],5,FALSE)</f>
        <v>Amele</v>
      </c>
      <c r="L832" s="1" t="str">
        <f>Paris!L$179</f>
        <v>P01</v>
      </c>
      <c r="M832" s="1" t="str">
        <f>CONCATENATE(tblCong[[#This Row],[seketCode]],"-",tblCong[[#This Row],[pCode]])</f>
        <v>D03-S01-P01</v>
      </c>
      <c r="N832" s="1" t="str">
        <f>Paris!M$179</f>
        <v>Nobonob</v>
      </c>
      <c r="O832" s="1" t="s">
        <v>571</v>
      </c>
      <c r="P832" s="1" t="s">
        <v>1356</v>
      </c>
    </row>
    <row r="833" spans="6:16" x14ac:dyDescent="0.35">
      <c r="F833" s="1" t="str">
        <f>CONCATENATE(tblCong[[#This Row],[parishCode]],"-",tblCong[[#This Row],[kCode]])</f>
        <v>D03-S01-P01-K04</v>
      </c>
      <c r="G833" s="1" t="str">
        <f>Distrik!F$7</f>
        <v>D03</v>
      </c>
      <c r="H833" s="1" t="str">
        <f>VLOOKUP(tblCong[[#This Row],[distCode]],tblDistrict[#All],2)</f>
        <v>Madang</v>
      </c>
      <c r="I833" s="1" t="str">
        <f>Seket!I$27</f>
        <v>S01</v>
      </c>
      <c r="J833" s="1" t="str">
        <f>CONCATENATE(tblCong[[#This Row],[distCode]],"-",tblCong[[#This Row],[sCode]])</f>
        <v>D03-S01</v>
      </c>
      <c r="K833" s="1" t="str">
        <f>VLOOKUP(tblCong[[#This Row],[seketCode]],tblSeket[#All],5,FALSE)</f>
        <v>Amele</v>
      </c>
      <c r="L833" s="1" t="str">
        <f>Paris!L$179</f>
        <v>P01</v>
      </c>
      <c r="M833" s="1" t="str">
        <f>CONCATENATE(tblCong[[#This Row],[seketCode]],"-",tblCong[[#This Row],[pCode]])</f>
        <v>D03-S01-P01</v>
      </c>
      <c r="N833" s="1" t="str">
        <f>Paris!M$179</f>
        <v>Nobonob</v>
      </c>
      <c r="O833" s="1" t="s">
        <v>573</v>
      </c>
      <c r="P833" s="1" t="s">
        <v>1357</v>
      </c>
    </row>
    <row r="834" spans="6:16" x14ac:dyDescent="0.35">
      <c r="F834" s="1" t="str">
        <f>CONCATENATE(tblCong[[#This Row],[parishCode]],"-",tblCong[[#This Row],[kCode]])</f>
        <v>D03-S01-P02-K01</v>
      </c>
      <c r="G834" s="1" t="str">
        <f>Distrik!F$7</f>
        <v>D03</v>
      </c>
      <c r="H834" s="1" t="str">
        <f>VLOOKUP(tblCong[[#This Row],[distCode]],tblDistrict[#All],2)</f>
        <v>Madang</v>
      </c>
      <c r="I834" s="1" t="str">
        <f>Seket!I$27</f>
        <v>S01</v>
      </c>
      <c r="J834" s="1" t="str">
        <f>CONCATENATE(tblCong[[#This Row],[distCode]],"-",tblCong[[#This Row],[sCode]])</f>
        <v>D03-S01</v>
      </c>
      <c r="K834" s="1" t="str">
        <f>VLOOKUP(tblCong[[#This Row],[seketCode]],tblSeket[#All],5,FALSE)</f>
        <v>Amele</v>
      </c>
      <c r="L834" s="1" t="str">
        <f>Paris!L$180</f>
        <v>P02</v>
      </c>
      <c r="M834" s="1" t="str">
        <f>CONCATENATE(tblCong[[#This Row],[seketCode]],"-",tblCong[[#This Row],[pCode]])</f>
        <v>D03-S01-P02</v>
      </c>
      <c r="N834" s="1" t="str">
        <f>Paris!M$180</f>
        <v>Bel</v>
      </c>
      <c r="O834" s="1" t="s">
        <v>567</v>
      </c>
      <c r="P834" s="1" t="s">
        <v>1358</v>
      </c>
    </row>
    <row r="835" spans="6:16" x14ac:dyDescent="0.35">
      <c r="F835" s="1" t="str">
        <f>CONCATENATE(tblCong[[#This Row],[parishCode]],"-",tblCong[[#This Row],[kCode]])</f>
        <v>D03-S01-P02-K02</v>
      </c>
      <c r="G835" s="1" t="str">
        <f>Distrik!F$7</f>
        <v>D03</v>
      </c>
      <c r="H835" s="1" t="str">
        <f>VLOOKUP(tblCong[[#This Row],[distCode]],tblDistrict[#All],2)</f>
        <v>Madang</v>
      </c>
      <c r="I835" s="1" t="str">
        <f>Seket!I$27</f>
        <v>S01</v>
      </c>
      <c r="J835" s="1" t="str">
        <f>CONCATENATE(tblCong[[#This Row],[distCode]],"-",tblCong[[#This Row],[sCode]])</f>
        <v>D03-S01</v>
      </c>
      <c r="K835" s="1" t="str">
        <f>VLOOKUP(tblCong[[#This Row],[seketCode]],tblSeket[#All],5,FALSE)</f>
        <v>Amele</v>
      </c>
      <c r="L835" s="1" t="str">
        <f>Paris!L$180</f>
        <v>P02</v>
      </c>
      <c r="M835" s="1" t="str">
        <f>CONCATENATE(tblCong[[#This Row],[seketCode]],"-",tblCong[[#This Row],[pCode]])</f>
        <v>D03-S01-P02</v>
      </c>
      <c r="N835" s="1" t="str">
        <f>Paris!M$180</f>
        <v>Bel</v>
      </c>
      <c r="O835" s="1" t="s">
        <v>569</v>
      </c>
      <c r="P835" s="1" t="s">
        <v>1359</v>
      </c>
    </row>
    <row r="836" spans="6:16" x14ac:dyDescent="0.35">
      <c r="F836" s="1" t="str">
        <f>CONCATENATE(tblCong[[#This Row],[parishCode]],"-",tblCong[[#This Row],[kCode]])</f>
        <v>D03-S01-P02-K03</v>
      </c>
      <c r="G836" s="1" t="str">
        <f>Distrik!F$7</f>
        <v>D03</v>
      </c>
      <c r="H836" s="1" t="str">
        <f>VLOOKUP(tblCong[[#This Row],[distCode]],tblDistrict[#All],2)</f>
        <v>Madang</v>
      </c>
      <c r="I836" s="1" t="str">
        <f>Seket!I$27</f>
        <v>S01</v>
      </c>
      <c r="J836" s="1" t="str">
        <f>CONCATENATE(tblCong[[#This Row],[distCode]],"-",tblCong[[#This Row],[sCode]])</f>
        <v>D03-S01</v>
      </c>
      <c r="K836" s="1" t="str">
        <f>VLOOKUP(tblCong[[#This Row],[seketCode]],tblSeket[#All],5,FALSE)</f>
        <v>Amele</v>
      </c>
      <c r="L836" s="1" t="str">
        <f>Paris!L$180</f>
        <v>P02</v>
      </c>
      <c r="M836" s="1" t="str">
        <f>CONCATENATE(tblCong[[#This Row],[seketCode]],"-",tblCong[[#This Row],[pCode]])</f>
        <v>D03-S01-P02</v>
      </c>
      <c r="N836" s="1" t="str">
        <f>Paris!M$180</f>
        <v>Bel</v>
      </c>
      <c r="O836" s="1" t="s">
        <v>571</v>
      </c>
      <c r="P836" s="1" t="s">
        <v>1360</v>
      </c>
    </row>
    <row r="837" spans="6:16" x14ac:dyDescent="0.35">
      <c r="F837" s="1" t="str">
        <f>CONCATENATE(tblCong[[#This Row],[parishCode]],"-",tblCong[[#This Row],[kCode]])</f>
        <v>D03-S01-P02-K04</v>
      </c>
      <c r="G837" s="1" t="str">
        <f>Distrik!F$7</f>
        <v>D03</v>
      </c>
      <c r="H837" s="1" t="str">
        <f>VLOOKUP(tblCong[[#This Row],[distCode]],tblDistrict[#All],2)</f>
        <v>Madang</v>
      </c>
      <c r="I837" s="1" t="str">
        <f>Seket!I$27</f>
        <v>S01</v>
      </c>
      <c r="J837" s="1" t="str">
        <f>CONCATENATE(tblCong[[#This Row],[distCode]],"-",tblCong[[#This Row],[sCode]])</f>
        <v>D03-S01</v>
      </c>
      <c r="K837" s="1" t="str">
        <f>VLOOKUP(tblCong[[#This Row],[seketCode]],tblSeket[#All],5,FALSE)</f>
        <v>Amele</v>
      </c>
      <c r="L837" s="1" t="str">
        <f>Paris!L$180</f>
        <v>P02</v>
      </c>
      <c r="M837" s="1" t="str">
        <f>CONCATENATE(tblCong[[#This Row],[seketCode]],"-",tblCong[[#This Row],[pCode]])</f>
        <v>D03-S01-P02</v>
      </c>
      <c r="N837" s="1" t="str">
        <f>Paris!M$180</f>
        <v>Bel</v>
      </c>
      <c r="O837" s="1" t="s">
        <v>573</v>
      </c>
      <c r="P837" s="1" t="s">
        <v>1361</v>
      </c>
    </row>
    <row r="838" spans="6:16" x14ac:dyDescent="0.35">
      <c r="F838" s="1" t="str">
        <f>CONCATENATE(tblCong[[#This Row],[parishCode]],"-",tblCong[[#This Row],[kCode]])</f>
        <v>D03-S01-P02-K05</v>
      </c>
      <c r="G838" s="1" t="str">
        <f>Distrik!F$7</f>
        <v>D03</v>
      </c>
      <c r="H838" s="1" t="str">
        <f>VLOOKUP(tblCong[[#This Row],[distCode]],tblDistrict[#All],2)</f>
        <v>Madang</v>
      </c>
      <c r="I838" s="1" t="str">
        <f>Seket!I$27</f>
        <v>S01</v>
      </c>
      <c r="J838" s="1" t="str">
        <f>CONCATENATE(tblCong[[#This Row],[distCode]],"-",tblCong[[#This Row],[sCode]])</f>
        <v>D03-S01</v>
      </c>
      <c r="K838" s="1" t="str">
        <f>VLOOKUP(tblCong[[#This Row],[seketCode]],tblSeket[#All],5,FALSE)</f>
        <v>Amele</v>
      </c>
      <c r="L838" s="1" t="str">
        <f>Paris!L$180</f>
        <v>P02</v>
      </c>
      <c r="M838" s="1" t="str">
        <f>CONCATENATE(tblCong[[#This Row],[seketCode]],"-",tblCong[[#This Row],[pCode]])</f>
        <v>D03-S01-P02</v>
      </c>
      <c r="N838" s="1" t="str">
        <f>Paris!M$180</f>
        <v>Bel</v>
      </c>
      <c r="O838" s="1" t="s">
        <v>575</v>
      </c>
      <c r="P838" s="1" t="s">
        <v>1362</v>
      </c>
    </row>
    <row r="839" spans="6:16" x14ac:dyDescent="0.35">
      <c r="F839" s="1" t="str">
        <f>CONCATENATE(tblCong[[#This Row],[parishCode]],"-",tblCong[[#This Row],[kCode]])</f>
        <v>D03-S01-P05-K01</v>
      </c>
      <c r="G839" s="1" t="str">
        <f>Distrik!F$7</f>
        <v>D03</v>
      </c>
      <c r="H839" s="1" t="str">
        <f>VLOOKUP(tblCong[[#This Row],[distCode]],tblDistrict[#All],2)</f>
        <v>Madang</v>
      </c>
      <c r="I839" s="1" t="str">
        <f>Seket!I$27</f>
        <v>S01</v>
      </c>
      <c r="J839" s="1" t="str">
        <f>CONCATENATE(tblCong[[#This Row],[distCode]],"-",tblCong[[#This Row],[sCode]])</f>
        <v>D03-S01</v>
      </c>
      <c r="K839" s="1" t="str">
        <f>VLOOKUP(tblCong[[#This Row],[seketCode]],tblSeket[#All],5,FALSE)</f>
        <v>Amele</v>
      </c>
      <c r="L839" s="1" t="str">
        <f>Paris!L$183</f>
        <v>P05</v>
      </c>
      <c r="M839" s="1" t="str">
        <f>CONCATENATE(tblCong[[#This Row],[seketCode]],"-",tblCong[[#This Row],[pCode]])</f>
        <v>D03-S01-P05</v>
      </c>
      <c r="N839" s="1" t="str">
        <f>Paris!M$183</f>
        <v>Marik</v>
      </c>
      <c r="O839" s="1" t="s">
        <v>567</v>
      </c>
      <c r="P839" s="1" t="s">
        <v>1363</v>
      </c>
    </row>
    <row r="840" spans="6:16" x14ac:dyDescent="0.35">
      <c r="F840" s="1" t="str">
        <f>CONCATENATE(tblCong[[#This Row],[parishCode]],"-",tblCong[[#This Row],[kCode]])</f>
        <v>D03-S01-P05-K02</v>
      </c>
      <c r="G840" s="1" t="str">
        <f>Distrik!F$7</f>
        <v>D03</v>
      </c>
      <c r="H840" s="1" t="str">
        <f>VLOOKUP(tblCong[[#This Row],[distCode]],tblDistrict[#All],2)</f>
        <v>Madang</v>
      </c>
      <c r="I840" s="1" t="str">
        <f>Seket!I$27</f>
        <v>S01</v>
      </c>
      <c r="J840" s="1" t="str">
        <f>CONCATENATE(tblCong[[#This Row],[distCode]],"-",tblCong[[#This Row],[sCode]])</f>
        <v>D03-S01</v>
      </c>
      <c r="K840" s="1" t="str">
        <f>VLOOKUP(tblCong[[#This Row],[seketCode]],tblSeket[#All],5,FALSE)</f>
        <v>Amele</v>
      </c>
      <c r="L840" s="1" t="str">
        <f>Paris!L$183</f>
        <v>P05</v>
      </c>
      <c r="M840" s="1" t="str">
        <f>CONCATENATE(tblCong[[#This Row],[seketCode]],"-",tblCong[[#This Row],[pCode]])</f>
        <v>D03-S01-P05</v>
      </c>
      <c r="N840" s="1" t="str">
        <f>Paris!M$183</f>
        <v>Marik</v>
      </c>
      <c r="O840" s="1" t="s">
        <v>569</v>
      </c>
      <c r="P840" s="1" t="s">
        <v>1364</v>
      </c>
    </row>
    <row r="841" spans="6:16" x14ac:dyDescent="0.35">
      <c r="F841" s="1" t="str">
        <f>CONCATENATE(tblCong[[#This Row],[parishCode]],"-",tblCong[[#This Row],[kCode]])</f>
        <v>D03-S01-P05-K03</v>
      </c>
      <c r="G841" s="1" t="str">
        <f>Distrik!F$7</f>
        <v>D03</v>
      </c>
      <c r="H841" s="1" t="str">
        <f>VLOOKUP(tblCong[[#This Row],[distCode]],tblDistrict[#All],2)</f>
        <v>Madang</v>
      </c>
      <c r="I841" s="1" t="str">
        <f>Seket!I$27</f>
        <v>S01</v>
      </c>
      <c r="J841" s="1" t="str">
        <f>CONCATENATE(tblCong[[#This Row],[distCode]],"-",tblCong[[#This Row],[sCode]])</f>
        <v>D03-S01</v>
      </c>
      <c r="K841" s="1" t="str">
        <f>VLOOKUP(tblCong[[#This Row],[seketCode]],tblSeket[#All],5,FALSE)</f>
        <v>Amele</v>
      </c>
      <c r="L841" s="1" t="str">
        <f>Paris!L$183</f>
        <v>P05</v>
      </c>
      <c r="M841" s="1" t="str">
        <f>CONCATENATE(tblCong[[#This Row],[seketCode]],"-",tblCong[[#This Row],[pCode]])</f>
        <v>D03-S01-P05</v>
      </c>
      <c r="N841" s="1" t="str">
        <f>Paris!M$183</f>
        <v>Marik</v>
      </c>
      <c r="O841" s="1" t="s">
        <v>571</v>
      </c>
      <c r="P841" s="1" t="s">
        <v>1365</v>
      </c>
    </row>
    <row r="842" spans="6:16" x14ac:dyDescent="0.35">
      <c r="F842" s="1" t="str">
        <f>CONCATENATE(tblCong[[#This Row],[parishCode]],"-",tblCong[[#This Row],[kCode]])</f>
        <v>D03-S01-P05-K04</v>
      </c>
      <c r="G842" s="1" t="str">
        <f>Distrik!F$7</f>
        <v>D03</v>
      </c>
      <c r="H842" s="1" t="str">
        <f>VLOOKUP(tblCong[[#This Row],[distCode]],tblDistrict[#All],2)</f>
        <v>Madang</v>
      </c>
      <c r="I842" s="1" t="str">
        <f>Seket!I$27</f>
        <v>S01</v>
      </c>
      <c r="J842" s="1" t="str">
        <f>CONCATENATE(tblCong[[#This Row],[distCode]],"-",tblCong[[#This Row],[sCode]])</f>
        <v>D03-S01</v>
      </c>
      <c r="K842" s="1" t="str">
        <f>VLOOKUP(tblCong[[#This Row],[seketCode]],tblSeket[#All],5,FALSE)</f>
        <v>Amele</v>
      </c>
      <c r="L842" s="1" t="str">
        <f>Paris!L$183</f>
        <v>P05</v>
      </c>
      <c r="M842" s="1" t="str">
        <f>CONCATENATE(tblCong[[#This Row],[seketCode]],"-",tblCong[[#This Row],[pCode]])</f>
        <v>D03-S01-P05</v>
      </c>
      <c r="N842" s="1" t="str">
        <f>Paris!M$183</f>
        <v>Marik</v>
      </c>
      <c r="O842" s="1" t="s">
        <v>573</v>
      </c>
      <c r="P842" s="1" t="s">
        <v>1366</v>
      </c>
    </row>
    <row r="843" spans="6:16" x14ac:dyDescent="0.35">
      <c r="F843" s="1" t="str">
        <f>CONCATENATE(tblCong[[#This Row],[parishCode]],"-",tblCong[[#This Row],[kCode]])</f>
        <v>D03-S01-P05-K05</v>
      </c>
      <c r="G843" s="1" t="str">
        <f>Distrik!F$7</f>
        <v>D03</v>
      </c>
      <c r="H843" s="1" t="str">
        <f>VLOOKUP(tblCong[[#This Row],[distCode]],tblDistrict[#All],2)</f>
        <v>Madang</v>
      </c>
      <c r="I843" s="1" t="str">
        <f>Seket!I$27</f>
        <v>S01</v>
      </c>
      <c r="J843" s="1" t="str">
        <f>CONCATENATE(tblCong[[#This Row],[distCode]],"-",tblCong[[#This Row],[sCode]])</f>
        <v>D03-S01</v>
      </c>
      <c r="K843" s="1" t="str">
        <f>VLOOKUP(tblCong[[#This Row],[seketCode]],tblSeket[#All],5,FALSE)</f>
        <v>Amele</v>
      </c>
      <c r="L843" s="1" t="str">
        <f>Paris!L$183</f>
        <v>P05</v>
      </c>
      <c r="M843" s="1" t="str">
        <f>CONCATENATE(tblCong[[#This Row],[seketCode]],"-",tblCong[[#This Row],[pCode]])</f>
        <v>D03-S01-P05</v>
      </c>
      <c r="N843" s="1" t="str">
        <f>Paris!M$183</f>
        <v>Marik</v>
      </c>
      <c r="O843" s="1" t="s">
        <v>575</v>
      </c>
      <c r="P843" s="1" t="s">
        <v>1367</v>
      </c>
    </row>
    <row r="844" spans="6:16" x14ac:dyDescent="0.35">
      <c r="F844" s="1" t="str">
        <f>CONCATENATE(tblCong[[#This Row],[parishCode]],"-",tblCong[[#This Row],[kCode]])</f>
        <v>D03-S01-P05-K06</v>
      </c>
      <c r="G844" s="1" t="str">
        <f>Distrik!F$7</f>
        <v>D03</v>
      </c>
      <c r="H844" s="1" t="str">
        <f>VLOOKUP(tblCong[[#This Row],[distCode]],tblDistrict[#All],2)</f>
        <v>Madang</v>
      </c>
      <c r="I844" s="1" t="str">
        <f>Seket!I$27</f>
        <v>S01</v>
      </c>
      <c r="J844" s="1" t="str">
        <f>CONCATENATE(tblCong[[#This Row],[distCode]],"-",tblCong[[#This Row],[sCode]])</f>
        <v>D03-S01</v>
      </c>
      <c r="K844" s="1" t="str">
        <f>VLOOKUP(tblCong[[#This Row],[seketCode]],tblSeket[#All],5,FALSE)</f>
        <v>Amele</v>
      </c>
      <c r="L844" s="1" t="str">
        <f>Paris!L$183</f>
        <v>P05</v>
      </c>
      <c r="M844" s="1" t="str">
        <f>CONCATENATE(tblCong[[#This Row],[seketCode]],"-",tblCong[[#This Row],[pCode]])</f>
        <v>D03-S01-P05</v>
      </c>
      <c r="N844" s="1" t="str">
        <f>Paris!M$183</f>
        <v>Marik</v>
      </c>
      <c r="O844" s="1" t="s">
        <v>576</v>
      </c>
      <c r="P844" s="1" t="s">
        <v>1368</v>
      </c>
    </row>
    <row r="845" spans="6:16" x14ac:dyDescent="0.35">
      <c r="F845" s="1" t="str">
        <f>CONCATENATE(tblCong[[#This Row],[parishCode]],"-",tblCong[[#This Row],[kCode]])</f>
        <v>D03-S01-P05-K07</v>
      </c>
      <c r="G845" s="1" t="str">
        <f>Distrik!F$7</f>
        <v>D03</v>
      </c>
      <c r="H845" s="1" t="str">
        <f>VLOOKUP(tblCong[[#This Row],[distCode]],tblDistrict[#All],2)</f>
        <v>Madang</v>
      </c>
      <c r="I845" s="1" t="str">
        <f>Seket!I$27</f>
        <v>S01</v>
      </c>
      <c r="J845" s="1" t="str">
        <f>CONCATENATE(tblCong[[#This Row],[distCode]],"-",tblCong[[#This Row],[sCode]])</f>
        <v>D03-S01</v>
      </c>
      <c r="K845" s="1" t="str">
        <f>VLOOKUP(tblCong[[#This Row],[seketCode]],tblSeket[#All],5,FALSE)</f>
        <v>Amele</v>
      </c>
      <c r="L845" s="1" t="str">
        <f>Paris!L$183</f>
        <v>P05</v>
      </c>
      <c r="M845" s="1" t="str">
        <f>CONCATENATE(tblCong[[#This Row],[seketCode]],"-",tblCong[[#This Row],[pCode]])</f>
        <v>D03-S01-P05</v>
      </c>
      <c r="N845" s="1" t="str">
        <f>Paris!M$183</f>
        <v>Marik</v>
      </c>
      <c r="O845" s="1" t="s">
        <v>578</v>
      </c>
      <c r="P845" s="1" t="s">
        <v>1369</v>
      </c>
    </row>
    <row r="846" spans="6:16" x14ac:dyDescent="0.35">
      <c r="F846" s="1" t="str">
        <f>CONCATENATE(tblCong[[#This Row],[parishCode]],"-",tblCong[[#This Row],[kCode]])</f>
        <v>D03-S01-P06-K01</v>
      </c>
      <c r="G846" s="1" t="str">
        <f>Distrik!F$7</f>
        <v>D03</v>
      </c>
      <c r="H846" s="1" t="str">
        <f>VLOOKUP(tblCong[[#This Row],[distCode]],tblDistrict[#All],2)</f>
        <v>Madang</v>
      </c>
      <c r="I846" s="1" t="str">
        <f>Seket!I$27</f>
        <v>S01</v>
      </c>
      <c r="J846" s="1" t="str">
        <f>CONCATENATE(tblCong[[#This Row],[distCode]],"-",tblCong[[#This Row],[sCode]])</f>
        <v>D03-S01</v>
      </c>
      <c r="K846" s="1" t="str">
        <f>VLOOKUP(tblCong[[#This Row],[seketCode]],tblSeket[#All],5,FALSE)</f>
        <v>Amele</v>
      </c>
      <c r="L846" s="1" t="str">
        <f>Paris!L$184</f>
        <v>P06</v>
      </c>
      <c r="M846" s="1" t="str">
        <f>CONCATENATE(tblCong[[#This Row],[seketCode]],"-",tblCong[[#This Row],[pCode]])</f>
        <v>D03-S01-P06</v>
      </c>
      <c r="N846" s="1" t="str">
        <f>Paris!M$184</f>
        <v>Banub</v>
      </c>
      <c r="O846" s="1" t="s">
        <v>567</v>
      </c>
      <c r="P846" s="1" t="s">
        <v>1370</v>
      </c>
    </row>
    <row r="847" spans="6:16" x14ac:dyDescent="0.35">
      <c r="F847" s="1" t="str">
        <f>CONCATENATE(tblCong[[#This Row],[parishCode]],"-",tblCong[[#This Row],[kCode]])</f>
        <v>D03-S01-P06-K02</v>
      </c>
      <c r="G847" s="1" t="str">
        <f>Distrik!F$7</f>
        <v>D03</v>
      </c>
      <c r="H847" s="1" t="str">
        <f>VLOOKUP(tblCong[[#This Row],[distCode]],tblDistrict[#All],2)</f>
        <v>Madang</v>
      </c>
      <c r="I847" s="1" t="str">
        <f>Seket!I$27</f>
        <v>S01</v>
      </c>
      <c r="J847" s="1" t="str">
        <f>CONCATENATE(tblCong[[#This Row],[distCode]],"-",tblCong[[#This Row],[sCode]])</f>
        <v>D03-S01</v>
      </c>
      <c r="K847" s="1" t="str">
        <f>VLOOKUP(tblCong[[#This Row],[seketCode]],tblSeket[#All],5,FALSE)</f>
        <v>Amele</v>
      </c>
      <c r="L847" s="1" t="str">
        <f>Paris!L$184</f>
        <v>P06</v>
      </c>
      <c r="M847" s="1" t="str">
        <f>CONCATENATE(tblCong[[#This Row],[seketCode]],"-",tblCong[[#This Row],[pCode]])</f>
        <v>D03-S01-P06</v>
      </c>
      <c r="N847" s="1" t="str">
        <f>Paris!M$184</f>
        <v>Banub</v>
      </c>
      <c r="O847" s="1" t="s">
        <v>569</v>
      </c>
      <c r="P847" s="1" t="s">
        <v>1371</v>
      </c>
    </row>
    <row r="848" spans="6:16" x14ac:dyDescent="0.35">
      <c r="F848" s="1" t="str">
        <f>CONCATENATE(tblCong[[#This Row],[parishCode]],"-",tblCong[[#This Row],[kCode]])</f>
        <v>D03-S01-P06-K03</v>
      </c>
      <c r="G848" s="1" t="str">
        <f>Distrik!F$7</f>
        <v>D03</v>
      </c>
      <c r="H848" s="1" t="str">
        <f>VLOOKUP(tblCong[[#This Row],[distCode]],tblDistrict[#All],2)</f>
        <v>Madang</v>
      </c>
      <c r="I848" s="1" t="str">
        <f>Seket!I$27</f>
        <v>S01</v>
      </c>
      <c r="J848" s="1" t="str">
        <f>CONCATENATE(tblCong[[#This Row],[distCode]],"-",tblCong[[#This Row],[sCode]])</f>
        <v>D03-S01</v>
      </c>
      <c r="K848" s="1" t="str">
        <f>VLOOKUP(tblCong[[#This Row],[seketCode]],tblSeket[#All],5,FALSE)</f>
        <v>Amele</v>
      </c>
      <c r="L848" s="1" t="str">
        <f>Paris!L$184</f>
        <v>P06</v>
      </c>
      <c r="M848" s="1" t="str">
        <f>CONCATENATE(tblCong[[#This Row],[seketCode]],"-",tblCong[[#This Row],[pCode]])</f>
        <v>D03-S01-P06</v>
      </c>
      <c r="N848" s="1" t="str">
        <f>Paris!M$184</f>
        <v>Banub</v>
      </c>
      <c r="O848" s="1" t="s">
        <v>571</v>
      </c>
      <c r="P848" s="1" t="s">
        <v>396</v>
      </c>
    </row>
    <row r="849" spans="6:16" x14ac:dyDescent="0.35">
      <c r="F849" s="1" t="str">
        <f>CONCATENATE(tblCong[[#This Row],[parishCode]],"-",tblCong[[#This Row],[kCode]])</f>
        <v>D03-S01-P06-K04</v>
      </c>
      <c r="G849" s="1" t="str">
        <f>Distrik!F$7</f>
        <v>D03</v>
      </c>
      <c r="H849" s="1" t="str">
        <f>VLOOKUP(tblCong[[#This Row],[distCode]],tblDistrict[#All],2)</f>
        <v>Madang</v>
      </c>
      <c r="I849" s="1" t="str">
        <f>Seket!I$27</f>
        <v>S01</v>
      </c>
      <c r="J849" s="1" t="str">
        <f>CONCATENATE(tblCong[[#This Row],[distCode]],"-",tblCong[[#This Row],[sCode]])</f>
        <v>D03-S01</v>
      </c>
      <c r="K849" s="1" t="str">
        <f>VLOOKUP(tblCong[[#This Row],[seketCode]],tblSeket[#All],5,FALSE)</f>
        <v>Amele</v>
      </c>
      <c r="L849" s="1" t="str">
        <f>Paris!L$184</f>
        <v>P06</v>
      </c>
      <c r="M849" s="1" t="str">
        <f>CONCATENATE(tblCong[[#This Row],[seketCode]],"-",tblCong[[#This Row],[pCode]])</f>
        <v>D03-S01-P06</v>
      </c>
      <c r="N849" s="1" t="str">
        <f>Paris!M$184</f>
        <v>Banub</v>
      </c>
      <c r="O849" s="1" t="s">
        <v>573</v>
      </c>
      <c r="P849" s="1" t="s">
        <v>1372</v>
      </c>
    </row>
    <row r="850" spans="6:16" x14ac:dyDescent="0.35">
      <c r="F850" s="1" t="str">
        <f>CONCATENATE(tblCong[[#This Row],[parishCode]],"-",tblCong[[#This Row],[kCode]])</f>
        <v>D03-S01-P06-K05</v>
      </c>
      <c r="G850" s="1" t="str">
        <f>Distrik!F$7</f>
        <v>D03</v>
      </c>
      <c r="H850" s="1" t="str">
        <f>VLOOKUP(tblCong[[#This Row],[distCode]],tblDistrict[#All],2)</f>
        <v>Madang</v>
      </c>
      <c r="I850" s="1" t="str">
        <f>Seket!I$27</f>
        <v>S01</v>
      </c>
      <c r="J850" s="1" t="str">
        <f>CONCATENATE(tblCong[[#This Row],[distCode]],"-",tblCong[[#This Row],[sCode]])</f>
        <v>D03-S01</v>
      </c>
      <c r="K850" s="1" t="str">
        <f>VLOOKUP(tblCong[[#This Row],[seketCode]],tblSeket[#All],5,FALSE)</f>
        <v>Amele</v>
      </c>
      <c r="L850" s="1" t="str">
        <f>Paris!L$184</f>
        <v>P06</v>
      </c>
      <c r="M850" s="1" t="str">
        <f>CONCATENATE(tblCong[[#This Row],[seketCode]],"-",tblCong[[#This Row],[pCode]])</f>
        <v>D03-S01-P06</v>
      </c>
      <c r="N850" s="1" t="str">
        <f>Paris!M$184</f>
        <v>Banub</v>
      </c>
      <c r="O850" s="1" t="s">
        <v>575</v>
      </c>
      <c r="P850" s="1" t="s">
        <v>1373</v>
      </c>
    </row>
    <row r="851" spans="6:16" x14ac:dyDescent="0.35">
      <c r="F851" s="1" t="str">
        <f>CONCATENATE(tblCong[[#This Row],[parishCode]],"-",tblCong[[#This Row],[kCode]])</f>
        <v>D03-S01-P07-K01</v>
      </c>
      <c r="G851" s="1" t="str">
        <f>Distrik!F$7</f>
        <v>D03</v>
      </c>
      <c r="H851" s="1" t="str">
        <f>VLOOKUP(tblCong[[#This Row],[distCode]],tblDistrict[#All],2)</f>
        <v>Madang</v>
      </c>
      <c r="I851" s="1" t="str">
        <f>Seket!I$27</f>
        <v>S01</v>
      </c>
      <c r="J851" s="1" t="str">
        <f>CONCATENATE(tblCong[[#This Row],[distCode]],"-",tblCong[[#This Row],[sCode]])</f>
        <v>D03-S01</v>
      </c>
      <c r="K851" s="1" t="str">
        <f>VLOOKUP(tblCong[[#This Row],[seketCode]],tblSeket[#All],5,FALSE)</f>
        <v>Amele</v>
      </c>
      <c r="L851" s="1" t="str">
        <f>Paris!L$185</f>
        <v>P07</v>
      </c>
      <c r="M851" s="1" t="str">
        <f>CONCATENATE(tblCong[[#This Row],[seketCode]],"-",tblCong[[#This Row],[pCode]])</f>
        <v>D03-S01-P07</v>
      </c>
      <c r="N851" s="1" t="str">
        <f>Paris!M$185</f>
        <v>Amele</v>
      </c>
      <c r="O851" s="1" t="s">
        <v>567</v>
      </c>
      <c r="P851" s="1" t="s">
        <v>1374</v>
      </c>
    </row>
    <row r="852" spans="6:16" x14ac:dyDescent="0.35">
      <c r="F852" s="1" t="str">
        <f>CONCATENATE(tblCong[[#This Row],[parishCode]],"-",tblCong[[#This Row],[kCode]])</f>
        <v>D03-S01-P07-K02</v>
      </c>
      <c r="G852" s="1" t="str">
        <f>Distrik!F$7</f>
        <v>D03</v>
      </c>
      <c r="H852" s="1" t="str">
        <f>VLOOKUP(tblCong[[#This Row],[distCode]],tblDistrict[#All],2)</f>
        <v>Madang</v>
      </c>
      <c r="I852" s="1" t="str">
        <f>Seket!I$27</f>
        <v>S01</v>
      </c>
      <c r="J852" s="1" t="str">
        <f>CONCATENATE(tblCong[[#This Row],[distCode]],"-",tblCong[[#This Row],[sCode]])</f>
        <v>D03-S01</v>
      </c>
      <c r="K852" s="1" t="str">
        <f>VLOOKUP(tblCong[[#This Row],[seketCode]],tblSeket[#All],5,FALSE)</f>
        <v>Amele</v>
      </c>
      <c r="L852" s="1" t="str">
        <f>Paris!L$185</f>
        <v>P07</v>
      </c>
      <c r="M852" s="1" t="str">
        <f>CONCATENATE(tblCong[[#This Row],[seketCode]],"-",tblCong[[#This Row],[pCode]])</f>
        <v>D03-S01-P07</v>
      </c>
      <c r="N852" s="1" t="str">
        <f>Paris!M$185</f>
        <v>Amele</v>
      </c>
      <c r="O852" s="1" t="s">
        <v>569</v>
      </c>
      <c r="P852" s="1" t="s">
        <v>1375</v>
      </c>
    </row>
    <row r="853" spans="6:16" x14ac:dyDescent="0.35">
      <c r="F853" s="1" t="str">
        <f>CONCATENATE(tblCong[[#This Row],[parishCode]],"-",tblCong[[#This Row],[kCode]])</f>
        <v>D03-S01-P07-K03</v>
      </c>
      <c r="G853" s="1" t="str">
        <f>Distrik!F$7</f>
        <v>D03</v>
      </c>
      <c r="H853" s="1" t="str">
        <f>VLOOKUP(tblCong[[#This Row],[distCode]],tblDistrict[#All],2)</f>
        <v>Madang</v>
      </c>
      <c r="I853" s="1" t="str">
        <f>Seket!I$27</f>
        <v>S01</v>
      </c>
      <c r="J853" s="1" t="str">
        <f>CONCATENATE(tblCong[[#This Row],[distCode]],"-",tblCong[[#This Row],[sCode]])</f>
        <v>D03-S01</v>
      </c>
      <c r="K853" s="1" t="str">
        <f>VLOOKUP(tblCong[[#This Row],[seketCode]],tblSeket[#All],5,FALSE)</f>
        <v>Amele</v>
      </c>
      <c r="L853" s="1" t="str">
        <f>Paris!L$185</f>
        <v>P07</v>
      </c>
      <c r="M853" s="1" t="str">
        <f>CONCATENATE(tblCong[[#This Row],[seketCode]],"-",tblCong[[#This Row],[pCode]])</f>
        <v>D03-S01-P07</v>
      </c>
      <c r="N853" s="1" t="str">
        <f>Paris!M$185</f>
        <v>Amele</v>
      </c>
      <c r="O853" s="1" t="s">
        <v>571</v>
      </c>
      <c r="P853" s="1" t="s">
        <v>1376</v>
      </c>
    </row>
    <row r="854" spans="6:16" x14ac:dyDescent="0.35">
      <c r="F854" s="1" t="str">
        <f>CONCATENATE(tblCong[[#This Row],[parishCode]],"-",tblCong[[#This Row],[kCode]])</f>
        <v>D03-S01-P07-K04</v>
      </c>
      <c r="G854" s="1" t="str">
        <f>Distrik!F$7</f>
        <v>D03</v>
      </c>
      <c r="H854" s="1" t="str">
        <f>VLOOKUP(tblCong[[#This Row],[distCode]],tblDistrict[#All],2)</f>
        <v>Madang</v>
      </c>
      <c r="I854" s="1" t="str">
        <f>Seket!I$27</f>
        <v>S01</v>
      </c>
      <c r="J854" s="1" t="str">
        <f>CONCATENATE(tblCong[[#This Row],[distCode]],"-",tblCong[[#This Row],[sCode]])</f>
        <v>D03-S01</v>
      </c>
      <c r="K854" s="1" t="str">
        <f>VLOOKUP(tblCong[[#This Row],[seketCode]],tblSeket[#All],5,FALSE)</f>
        <v>Amele</v>
      </c>
      <c r="L854" s="1" t="str">
        <f>Paris!L$185</f>
        <v>P07</v>
      </c>
      <c r="M854" s="1" t="str">
        <f>CONCATENATE(tblCong[[#This Row],[seketCode]],"-",tblCong[[#This Row],[pCode]])</f>
        <v>D03-S01-P07</v>
      </c>
      <c r="N854" s="1" t="str">
        <f>Paris!M$185</f>
        <v>Amele</v>
      </c>
      <c r="O854" s="1" t="s">
        <v>573</v>
      </c>
      <c r="P854" s="1" t="s">
        <v>1377</v>
      </c>
    </row>
    <row r="855" spans="6:16" x14ac:dyDescent="0.35">
      <c r="F855" s="1" t="str">
        <f>CONCATENATE(tblCong[[#This Row],[parishCode]],"-",tblCong[[#This Row],[kCode]])</f>
        <v>D03-S03-P01-K01</v>
      </c>
      <c r="G855" s="1" t="str">
        <f>Distrik!F$7</f>
        <v>D03</v>
      </c>
      <c r="H855" s="1" t="str">
        <f>VLOOKUP(tblCong[[#This Row],[distCode]],tblDistrict[#All],2)</f>
        <v>Madang</v>
      </c>
      <c r="I855" s="1" t="str">
        <f>Seket!I$29</f>
        <v>S03</v>
      </c>
      <c r="J855" s="1" t="str">
        <f>CONCATENATE(tblCong[[#This Row],[distCode]],"-",tblCong[[#This Row],[sCode]])</f>
        <v>D03-S03</v>
      </c>
      <c r="K855" s="1" t="str">
        <f>VLOOKUP(tblCong[[#This Row],[seketCode]],tblSeket[#All],5,FALSE)</f>
        <v>Biliau</v>
      </c>
      <c r="L855" s="1" t="str">
        <f>Paris!L$186</f>
        <v>P01</v>
      </c>
      <c r="M855" s="1" t="str">
        <f>CONCATENATE(tblCong[[#This Row],[seketCode]],"-",tblCong[[#This Row],[pCode]])</f>
        <v>D03-S03-P01</v>
      </c>
      <c r="N855" s="1" t="str">
        <f>Paris!M$186</f>
        <v>Sangpat</v>
      </c>
      <c r="O855" s="1" t="s">
        <v>567</v>
      </c>
      <c r="P855" s="1" t="s">
        <v>1378</v>
      </c>
    </row>
    <row r="856" spans="6:16" x14ac:dyDescent="0.35">
      <c r="F856" s="1" t="str">
        <f>CONCATENATE(tblCong[[#This Row],[parishCode]],"-",tblCong[[#This Row],[kCode]])</f>
        <v>D03-S03-P01-K02</v>
      </c>
      <c r="G856" s="1" t="str">
        <f>Distrik!F$7</f>
        <v>D03</v>
      </c>
      <c r="H856" s="1" t="str">
        <f>VLOOKUP(tblCong[[#This Row],[distCode]],tblDistrict[#All],2)</f>
        <v>Madang</v>
      </c>
      <c r="I856" s="1" t="str">
        <f>Seket!I$29</f>
        <v>S03</v>
      </c>
      <c r="J856" s="1" t="str">
        <f>CONCATENATE(tblCong[[#This Row],[distCode]],"-",tblCong[[#This Row],[sCode]])</f>
        <v>D03-S03</v>
      </c>
      <c r="K856" s="1" t="str">
        <f>VLOOKUP(tblCong[[#This Row],[seketCode]],tblSeket[#All],5,FALSE)</f>
        <v>Biliau</v>
      </c>
      <c r="L856" s="1" t="str">
        <f>Paris!L$186</f>
        <v>P01</v>
      </c>
      <c r="M856" s="1" t="str">
        <f>CONCATENATE(tblCong[[#This Row],[seketCode]],"-",tblCong[[#This Row],[pCode]])</f>
        <v>D03-S03-P01</v>
      </c>
      <c r="N856" s="1" t="str">
        <f>Paris!M$186</f>
        <v>Sangpat</v>
      </c>
      <c r="O856" s="1" t="s">
        <v>569</v>
      </c>
      <c r="P856" s="1" t="s">
        <v>1379</v>
      </c>
    </row>
    <row r="857" spans="6:16" x14ac:dyDescent="0.35">
      <c r="F857" s="1" t="str">
        <f>CONCATENATE(tblCong[[#This Row],[parishCode]],"-",tblCong[[#This Row],[kCode]])</f>
        <v>D03-S03-P01-K03</v>
      </c>
      <c r="G857" s="1" t="str">
        <f>Distrik!F$7</f>
        <v>D03</v>
      </c>
      <c r="H857" s="1" t="str">
        <f>VLOOKUP(tblCong[[#This Row],[distCode]],tblDistrict[#All],2)</f>
        <v>Madang</v>
      </c>
      <c r="I857" s="1" t="str">
        <f>Seket!I$29</f>
        <v>S03</v>
      </c>
      <c r="J857" s="1" t="str">
        <f>CONCATENATE(tblCong[[#This Row],[distCode]],"-",tblCong[[#This Row],[sCode]])</f>
        <v>D03-S03</v>
      </c>
      <c r="K857" s="1" t="str">
        <f>VLOOKUP(tblCong[[#This Row],[seketCode]],tblSeket[#All],5,FALSE)</f>
        <v>Biliau</v>
      </c>
      <c r="L857" s="1" t="str">
        <f>Paris!L$186</f>
        <v>P01</v>
      </c>
      <c r="M857" s="1" t="str">
        <f>CONCATENATE(tblCong[[#This Row],[seketCode]],"-",tblCong[[#This Row],[pCode]])</f>
        <v>D03-S03-P01</v>
      </c>
      <c r="N857" s="1" t="str">
        <f>Paris!M$186</f>
        <v>Sangpat</v>
      </c>
      <c r="O857" s="1" t="s">
        <v>571</v>
      </c>
      <c r="P857" s="1" t="s">
        <v>1380</v>
      </c>
    </row>
    <row r="858" spans="6:16" x14ac:dyDescent="0.35">
      <c r="F858" s="1" t="str">
        <f>CONCATENATE(tblCong[[#This Row],[parishCode]],"-",tblCong[[#This Row],[kCode]])</f>
        <v>D03-S03-P01-K04</v>
      </c>
      <c r="G858" s="1" t="str">
        <f>Distrik!F$7</f>
        <v>D03</v>
      </c>
      <c r="H858" s="1" t="str">
        <f>VLOOKUP(tblCong[[#This Row],[distCode]],tblDistrict[#All],2)</f>
        <v>Madang</v>
      </c>
      <c r="I858" s="1" t="str">
        <f>Seket!I$29</f>
        <v>S03</v>
      </c>
      <c r="J858" s="1" t="str">
        <f>CONCATENATE(tblCong[[#This Row],[distCode]],"-",tblCong[[#This Row],[sCode]])</f>
        <v>D03-S03</v>
      </c>
      <c r="K858" s="1" t="str">
        <f>VLOOKUP(tblCong[[#This Row],[seketCode]],tblSeket[#All],5,FALSE)</f>
        <v>Biliau</v>
      </c>
      <c r="L858" s="1" t="str">
        <f>Paris!L$186</f>
        <v>P01</v>
      </c>
      <c r="M858" s="1" t="str">
        <f>CONCATENATE(tblCong[[#This Row],[seketCode]],"-",tblCong[[#This Row],[pCode]])</f>
        <v>D03-S03-P01</v>
      </c>
      <c r="N858" s="1" t="str">
        <f>Paris!M$186</f>
        <v>Sangpat</v>
      </c>
      <c r="O858" s="1" t="s">
        <v>573</v>
      </c>
      <c r="P858" s="1" t="s">
        <v>1171</v>
      </c>
    </row>
    <row r="859" spans="6:16" x14ac:dyDescent="0.35">
      <c r="F859" s="1" t="str">
        <f>CONCATENATE(tblCong[[#This Row],[parishCode]],"-",tblCong[[#This Row],[kCode]])</f>
        <v>D03-S03-P01-K05</v>
      </c>
      <c r="G859" s="1" t="str">
        <f>Distrik!F$7</f>
        <v>D03</v>
      </c>
      <c r="H859" s="1" t="str">
        <f>VLOOKUP(tblCong[[#This Row],[distCode]],tblDistrict[#All],2)</f>
        <v>Madang</v>
      </c>
      <c r="I859" s="1" t="str">
        <f>Seket!I$29</f>
        <v>S03</v>
      </c>
      <c r="J859" s="1" t="str">
        <f>CONCATENATE(tblCong[[#This Row],[distCode]],"-",tblCong[[#This Row],[sCode]])</f>
        <v>D03-S03</v>
      </c>
      <c r="K859" s="1" t="str">
        <f>VLOOKUP(tblCong[[#This Row],[seketCode]],tblSeket[#All],5,FALSE)</f>
        <v>Biliau</v>
      </c>
      <c r="L859" s="1" t="str">
        <f>Paris!L$186</f>
        <v>P01</v>
      </c>
      <c r="M859" s="1" t="str">
        <f>CONCATENATE(tblCong[[#This Row],[seketCode]],"-",tblCong[[#This Row],[pCode]])</f>
        <v>D03-S03-P01</v>
      </c>
      <c r="N859" s="1" t="str">
        <f>Paris!M$186</f>
        <v>Sangpat</v>
      </c>
      <c r="O859" s="1" t="s">
        <v>575</v>
      </c>
      <c r="P859" s="1" t="s">
        <v>1381</v>
      </c>
    </row>
    <row r="860" spans="6:16" x14ac:dyDescent="0.35">
      <c r="F860" s="1" t="str">
        <f>CONCATENATE(tblCong[[#This Row],[parishCode]],"-",tblCong[[#This Row],[kCode]])</f>
        <v>D03-S03-P01-K06</v>
      </c>
      <c r="G860" s="1" t="str">
        <f>Distrik!F$7</f>
        <v>D03</v>
      </c>
      <c r="H860" s="1" t="str">
        <f>VLOOKUP(tblCong[[#This Row],[distCode]],tblDistrict[#All],2)</f>
        <v>Madang</v>
      </c>
      <c r="I860" s="1" t="str">
        <f>Seket!I$29</f>
        <v>S03</v>
      </c>
      <c r="J860" s="1" t="str">
        <f>CONCATENATE(tblCong[[#This Row],[distCode]],"-",tblCong[[#This Row],[sCode]])</f>
        <v>D03-S03</v>
      </c>
      <c r="K860" s="1" t="str">
        <f>VLOOKUP(tblCong[[#This Row],[seketCode]],tblSeket[#All],5,FALSE)</f>
        <v>Biliau</v>
      </c>
      <c r="L860" s="1" t="str">
        <f>Paris!L$186</f>
        <v>P01</v>
      </c>
      <c r="M860" s="1" t="str">
        <f>CONCATENATE(tblCong[[#This Row],[seketCode]],"-",tblCong[[#This Row],[pCode]])</f>
        <v>D03-S03-P01</v>
      </c>
      <c r="N860" s="1" t="str">
        <f>Paris!M$186</f>
        <v>Sangpat</v>
      </c>
      <c r="O860" s="1" t="s">
        <v>576</v>
      </c>
      <c r="P860" s="1" t="s">
        <v>1382</v>
      </c>
    </row>
    <row r="861" spans="6:16" x14ac:dyDescent="0.35">
      <c r="F861" s="1" t="str">
        <f>CONCATENATE(tblCong[[#This Row],[parishCode]],"-",tblCong[[#This Row],[kCode]])</f>
        <v>D03-S03-P01-K07</v>
      </c>
      <c r="G861" s="1" t="str">
        <f>Distrik!F$7</f>
        <v>D03</v>
      </c>
      <c r="H861" s="1" t="str">
        <f>VLOOKUP(tblCong[[#This Row],[distCode]],tblDistrict[#All],2)</f>
        <v>Madang</v>
      </c>
      <c r="I861" s="1" t="str">
        <f>Seket!I$29</f>
        <v>S03</v>
      </c>
      <c r="J861" s="1" t="str">
        <f>CONCATENATE(tblCong[[#This Row],[distCode]],"-",tblCong[[#This Row],[sCode]])</f>
        <v>D03-S03</v>
      </c>
      <c r="K861" s="1" t="str">
        <f>VLOOKUP(tblCong[[#This Row],[seketCode]],tblSeket[#All],5,FALSE)</f>
        <v>Biliau</v>
      </c>
      <c r="L861" s="1" t="str">
        <f>Paris!L$186</f>
        <v>P01</v>
      </c>
      <c r="M861" s="1" t="str">
        <f>CONCATENATE(tblCong[[#This Row],[seketCode]],"-",tblCong[[#This Row],[pCode]])</f>
        <v>D03-S03-P01</v>
      </c>
      <c r="N861" s="1" t="str">
        <f>Paris!M$186</f>
        <v>Sangpat</v>
      </c>
      <c r="O861" s="1" t="s">
        <v>578</v>
      </c>
      <c r="P861" s="1" t="s">
        <v>1383</v>
      </c>
    </row>
    <row r="862" spans="6:16" x14ac:dyDescent="0.35">
      <c r="F862" s="1" t="str">
        <f>CONCATENATE(tblCong[[#This Row],[parishCode]],"-",tblCong[[#This Row],[kCode]])</f>
        <v>D03-S04-P01-K01</v>
      </c>
      <c r="G862" s="1" t="str">
        <f>Distrik!F$7</f>
        <v>D03</v>
      </c>
      <c r="H862" s="1" t="str">
        <f>VLOOKUP(tblCong[[#This Row],[distCode]],tblDistrict[#All],2)</f>
        <v>Madang</v>
      </c>
      <c r="I862" s="1" t="str">
        <f>Seket!I$30</f>
        <v>S04</v>
      </c>
      <c r="J862" s="1" t="str">
        <f>CONCATENATE(tblCong[[#This Row],[distCode]],"-",tblCong[[#This Row],[sCode]])</f>
        <v>D03-S04</v>
      </c>
      <c r="K862" s="1" t="str">
        <f>VLOOKUP(tblCong[[#This Row],[seketCode]],tblSeket[#All],5,FALSE)</f>
        <v>Begesin</v>
      </c>
      <c r="L862" s="1" t="str">
        <f>Paris!L$194</f>
        <v>P01</v>
      </c>
      <c r="M862" s="1" t="str">
        <f>CONCATENATE(tblCong[[#This Row],[seketCode]],"-",tblCong[[#This Row],[pCode]])</f>
        <v>D03-S04-P01</v>
      </c>
      <c r="N862" s="1" t="str">
        <f>Paris!M$194</f>
        <v>Kein</v>
      </c>
      <c r="O862" s="1" t="s">
        <v>567</v>
      </c>
      <c r="P862" s="1" t="s">
        <v>1384</v>
      </c>
    </row>
    <row r="863" spans="6:16" x14ac:dyDescent="0.35">
      <c r="F863" s="1" t="str">
        <f>CONCATENATE(tblCong[[#This Row],[parishCode]],"-",tblCong[[#This Row],[kCode]])</f>
        <v>D03-S04-P01-K02</v>
      </c>
      <c r="G863" s="1" t="str">
        <f>Distrik!F$7</f>
        <v>D03</v>
      </c>
      <c r="H863" s="1" t="str">
        <f>VLOOKUP(tblCong[[#This Row],[distCode]],tblDistrict[#All],2)</f>
        <v>Madang</v>
      </c>
      <c r="I863" s="1" t="str">
        <f>Seket!I$30</f>
        <v>S04</v>
      </c>
      <c r="J863" s="1" t="str">
        <f>CONCATENATE(tblCong[[#This Row],[distCode]],"-",tblCong[[#This Row],[sCode]])</f>
        <v>D03-S04</v>
      </c>
      <c r="K863" s="1" t="str">
        <f>VLOOKUP(tblCong[[#This Row],[seketCode]],tblSeket[#All],5,FALSE)</f>
        <v>Begesin</v>
      </c>
      <c r="L863" s="1" t="str">
        <f>Paris!L$194</f>
        <v>P01</v>
      </c>
      <c r="M863" s="1" t="str">
        <f>CONCATENATE(tblCong[[#This Row],[seketCode]],"-",tblCong[[#This Row],[pCode]])</f>
        <v>D03-S04-P01</v>
      </c>
      <c r="N863" s="1" t="str">
        <f>Paris!M$194</f>
        <v>Kein</v>
      </c>
      <c r="O863" s="1" t="s">
        <v>569</v>
      </c>
      <c r="P863" s="1" t="s">
        <v>1385</v>
      </c>
    </row>
    <row r="864" spans="6:16" x14ac:dyDescent="0.35">
      <c r="F864" s="1" t="str">
        <f>CONCATENATE(tblCong[[#This Row],[parishCode]],"-",tblCong[[#This Row],[kCode]])</f>
        <v>D03-S04-P01-K03</v>
      </c>
      <c r="G864" s="1" t="str">
        <f>Distrik!F$7</f>
        <v>D03</v>
      </c>
      <c r="H864" s="1" t="str">
        <f>VLOOKUP(tblCong[[#This Row],[distCode]],tblDistrict[#All],2)</f>
        <v>Madang</v>
      </c>
      <c r="I864" s="1" t="str">
        <f>Seket!I$30</f>
        <v>S04</v>
      </c>
      <c r="J864" s="1" t="str">
        <f>CONCATENATE(tblCong[[#This Row],[distCode]],"-",tblCong[[#This Row],[sCode]])</f>
        <v>D03-S04</v>
      </c>
      <c r="K864" s="1" t="str">
        <f>VLOOKUP(tblCong[[#This Row],[seketCode]],tblSeket[#All],5,FALSE)</f>
        <v>Begesin</v>
      </c>
      <c r="L864" s="1" t="str">
        <f>Paris!L$194</f>
        <v>P01</v>
      </c>
      <c r="M864" s="1" t="str">
        <f>CONCATENATE(tblCong[[#This Row],[seketCode]],"-",tblCong[[#This Row],[pCode]])</f>
        <v>D03-S04-P01</v>
      </c>
      <c r="N864" s="1" t="str">
        <f>Paris!M$194</f>
        <v>Kein</v>
      </c>
      <c r="O864" s="1" t="s">
        <v>571</v>
      </c>
      <c r="P864" s="1" t="s">
        <v>1386</v>
      </c>
    </row>
    <row r="865" spans="6:16" x14ac:dyDescent="0.35">
      <c r="F865" s="1" t="str">
        <f>CONCATENATE(tblCong[[#This Row],[parishCode]],"-",tblCong[[#This Row],[kCode]])</f>
        <v>D03-S04-P01-K04</v>
      </c>
      <c r="G865" s="1" t="str">
        <f>Distrik!F$7</f>
        <v>D03</v>
      </c>
      <c r="H865" s="1" t="str">
        <f>VLOOKUP(tblCong[[#This Row],[distCode]],tblDistrict[#All],2)</f>
        <v>Madang</v>
      </c>
      <c r="I865" s="1" t="str">
        <f>Seket!I$30</f>
        <v>S04</v>
      </c>
      <c r="J865" s="1" t="str">
        <f>CONCATENATE(tblCong[[#This Row],[distCode]],"-",tblCong[[#This Row],[sCode]])</f>
        <v>D03-S04</v>
      </c>
      <c r="K865" s="1" t="str">
        <f>VLOOKUP(tblCong[[#This Row],[seketCode]],tblSeket[#All],5,FALSE)</f>
        <v>Begesin</v>
      </c>
      <c r="L865" s="1" t="str">
        <f>Paris!L$194</f>
        <v>P01</v>
      </c>
      <c r="M865" s="1" t="str">
        <f>CONCATENATE(tblCong[[#This Row],[seketCode]],"-",tblCong[[#This Row],[pCode]])</f>
        <v>D03-S04-P01</v>
      </c>
      <c r="N865" s="1" t="str">
        <f>Paris!M$194</f>
        <v>Kein</v>
      </c>
      <c r="O865" s="1" t="s">
        <v>573</v>
      </c>
      <c r="P865" s="1" t="s">
        <v>1387</v>
      </c>
    </row>
    <row r="866" spans="6:16" x14ac:dyDescent="0.35">
      <c r="F866" s="1" t="str">
        <f>CONCATENATE(tblCong[[#This Row],[parishCode]],"-",tblCong[[#This Row],[kCode]])</f>
        <v>D03-S05-P01-K01</v>
      </c>
      <c r="G866" s="1" t="str">
        <f>Distrik!F$7</f>
        <v>D03</v>
      </c>
      <c r="H866" s="1" t="str">
        <f>VLOOKUP(tblCong[[#This Row],[distCode]],tblDistrict[#All],2)</f>
        <v>Madang</v>
      </c>
      <c r="I866" s="1" t="str">
        <f>Seket!I$31</f>
        <v>S05</v>
      </c>
      <c r="J866" s="1" t="str">
        <f>CONCATENATE(tblCong[[#This Row],[distCode]],"-",tblCong[[#This Row],[sCode]])</f>
        <v>D03-S05</v>
      </c>
      <c r="K866" s="1" t="str">
        <f>VLOOKUP(tblCong[[#This Row],[seketCode]],tblSeket[#All],5,FALSE)</f>
        <v>Kabak</v>
      </c>
      <c r="L866" s="1" t="str">
        <f>Paris!L$199</f>
        <v>P01</v>
      </c>
      <c r="M866" s="1" t="str">
        <f>CONCATENATE(tblCong[[#This Row],[seketCode]],"-",tblCong[[#This Row],[pCode]])</f>
        <v>D03-S05-P01</v>
      </c>
      <c r="N866" s="1" t="str">
        <f>Paris!M$199</f>
        <v>Badibug</v>
      </c>
      <c r="O866" s="1" t="s">
        <v>567</v>
      </c>
      <c r="P866" s="1" t="s">
        <v>1388</v>
      </c>
    </row>
    <row r="867" spans="6:16" x14ac:dyDescent="0.35">
      <c r="F867" s="1" t="str">
        <f>CONCATENATE(tblCong[[#This Row],[parishCode]],"-",tblCong[[#This Row],[kCode]])</f>
        <v>D03-S05-P01-K02</v>
      </c>
      <c r="G867" s="1" t="str">
        <f>Distrik!F$7</f>
        <v>D03</v>
      </c>
      <c r="H867" s="1" t="str">
        <f>VLOOKUP(tblCong[[#This Row],[distCode]],tblDistrict[#All],2)</f>
        <v>Madang</v>
      </c>
      <c r="I867" s="1" t="str">
        <f>Seket!I$31</f>
        <v>S05</v>
      </c>
      <c r="J867" s="1" t="str">
        <f>CONCATENATE(tblCong[[#This Row],[distCode]],"-",tblCong[[#This Row],[sCode]])</f>
        <v>D03-S05</v>
      </c>
      <c r="K867" s="1" t="str">
        <f>VLOOKUP(tblCong[[#This Row],[seketCode]],tblSeket[#All],5,FALSE)</f>
        <v>Kabak</v>
      </c>
      <c r="L867" s="1" t="str">
        <f>Paris!L$199</f>
        <v>P01</v>
      </c>
      <c r="M867" s="1" t="str">
        <f>CONCATENATE(tblCong[[#This Row],[seketCode]],"-",tblCong[[#This Row],[pCode]])</f>
        <v>D03-S05-P01</v>
      </c>
      <c r="N867" s="1" t="str">
        <f>Paris!M$199</f>
        <v>Badibug</v>
      </c>
      <c r="O867" s="1" t="s">
        <v>569</v>
      </c>
      <c r="P867" s="1" t="s">
        <v>1389</v>
      </c>
    </row>
    <row r="868" spans="6:16" x14ac:dyDescent="0.35">
      <c r="F868" s="1" t="str">
        <f>CONCATENATE(tblCong[[#This Row],[parishCode]],"-",tblCong[[#This Row],[kCode]])</f>
        <v>D03-S05-P01-K03</v>
      </c>
      <c r="G868" s="1" t="str">
        <f>Distrik!F$7</f>
        <v>D03</v>
      </c>
      <c r="H868" s="1" t="str">
        <f>VLOOKUP(tblCong[[#This Row],[distCode]],tblDistrict[#All],2)</f>
        <v>Madang</v>
      </c>
      <c r="I868" s="1" t="str">
        <f>Seket!I$31</f>
        <v>S05</v>
      </c>
      <c r="J868" s="1" t="str">
        <f>CONCATENATE(tblCong[[#This Row],[distCode]],"-",tblCong[[#This Row],[sCode]])</f>
        <v>D03-S05</v>
      </c>
      <c r="K868" s="1" t="str">
        <f>VLOOKUP(tblCong[[#This Row],[seketCode]],tblSeket[#All],5,FALSE)</f>
        <v>Kabak</v>
      </c>
      <c r="L868" s="1" t="str">
        <f>Paris!L$199</f>
        <v>P01</v>
      </c>
      <c r="M868" s="1" t="str">
        <f>CONCATENATE(tblCong[[#This Row],[seketCode]],"-",tblCong[[#This Row],[pCode]])</f>
        <v>D03-S05-P01</v>
      </c>
      <c r="N868" s="1" t="str">
        <f>Paris!M$199</f>
        <v>Badibug</v>
      </c>
      <c r="O868" s="1" t="s">
        <v>571</v>
      </c>
      <c r="P868" s="1" t="s">
        <v>1390</v>
      </c>
    </row>
    <row r="869" spans="6:16" x14ac:dyDescent="0.35">
      <c r="F869" s="1" t="str">
        <f>CONCATENATE(tblCong[[#This Row],[parishCode]],"-",tblCong[[#This Row],[kCode]])</f>
        <v>D03-S05-P02-K01</v>
      </c>
      <c r="G869" s="1" t="str">
        <f>Distrik!F$7</f>
        <v>D03</v>
      </c>
      <c r="H869" s="1" t="str">
        <f>VLOOKUP(tblCong[[#This Row],[distCode]],tblDistrict[#All],2)</f>
        <v>Madang</v>
      </c>
      <c r="I869" s="1" t="str">
        <f>Seket!I$31</f>
        <v>S05</v>
      </c>
      <c r="J869" s="1" t="str">
        <f>CONCATENATE(tblCong[[#This Row],[distCode]],"-",tblCong[[#This Row],[sCode]])</f>
        <v>D03-S05</v>
      </c>
      <c r="K869" s="1" t="str">
        <f>VLOOKUP(tblCong[[#This Row],[seketCode]],tblSeket[#All],5,FALSE)</f>
        <v>Kabak</v>
      </c>
      <c r="L869" s="1" t="str">
        <f>Paris!L$200</f>
        <v>P02</v>
      </c>
      <c r="M869" s="1" t="str">
        <f>CONCATENATE(tblCong[[#This Row],[seketCode]],"-",tblCong[[#This Row],[pCode]])</f>
        <v>D03-S05-P02</v>
      </c>
      <c r="N869" s="1" t="str">
        <f>Paris!M$200</f>
        <v>Bunabun</v>
      </c>
      <c r="O869" s="1" t="s">
        <v>567</v>
      </c>
      <c r="P869" s="1" t="s">
        <v>1391</v>
      </c>
    </row>
    <row r="870" spans="6:16" x14ac:dyDescent="0.35">
      <c r="F870" s="1" t="str">
        <f>CONCATENATE(tblCong[[#This Row],[parishCode]],"-",tblCong[[#This Row],[kCode]])</f>
        <v>D03-S05-P02-K02</v>
      </c>
      <c r="G870" s="1" t="str">
        <f>Distrik!F$7</f>
        <v>D03</v>
      </c>
      <c r="H870" s="1" t="str">
        <f>VLOOKUP(tblCong[[#This Row],[distCode]],tblDistrict[#All],2)</f>
        <v>Madang</v>
      </c>
      <c r="I870" s="1" t="str">
        <f>Seket!I$31</f>
        <v>S05</v>
      </c>
      <c r="J870" s="1" t="str">
        <f>CONCATENATE(tblCong[[#This Row],[distCode]],"-",tblCong[[#This Row],[sCode]])</f>
        <v>D03-S05</v>
      </c>
      <c r="K870" s="1" t="str">
        <f>VLOOKUP(tblCong[[#This Row],[seketCode]],tblSeket[#All],5,FALSE)</f>
        <v>Kabak</v>
      </c>
      <c r="L870" s="1" t="str">
        <f>Paris!L$200</f>
        <v>P02</v>
      </c>
      <c r="M870" s="1" t="str">
        <f>CONCATENATE(tblCong[[#This Row],[seketCode]],"-",tblCong[[#This Row],[pCode]])</f>
        <v>D03-S05-P02</v>
      </c>
      <c r="N870" s="1" t="str">
        <f>Paris!M$200</f>
        <v>Bunabun</v>
      </c>
      <c r="O870" s="1" t="s">
        <v>569</v>
      </c>
      <c r="P870" s="1" t="s">
        <v>411</v>
      </c>
    </row>
    <row r="871" spans="6:16" x14ac:dyDescent="0.35">
      <c r="F871" s="1" t="str">
        <f>CONCATENATE(tblCong[[#This Row],[parishCode]],"-",tblCong[[#This Row],[kCode]])</f>
        <v>D03-S05-P02-K03</v>
      </c>
      <c r="G871" s="1" t="str">
        <f>Distrik!F$7</f>
        <v>D03</v>
      </c>
      <c r="H871" s="1" t="str">
        <f>VLOOKUP(tblCong[[#This Row],[distCode]],tblDistrict[#All],2)</f>
        <v>Madang</v>
      </c>
      <c r="I871" s="1" t="str">
        <f>Seket!I$31</f>
        <v>S05</v>
      </c>
      <c r="J871" s="1" t="str">
        <f>CONCATENATE(tblCong[[#This Row],[distCode]],"-",tblCong[[#This Row],[sCode]])</f>
        <v>D03-S05</v>
      </c>
      <c r="K871" s="1" t="str">
        <f>VLOOKUP(tblCong[[#This Row],[seketCode]],tblSeket[#All],5,FALSE)</f>
        <v>Kabak</v>
      </c>
      <c r="L871" s="1" t="str">
        <f>Paris!L$200</f>
        <v>P02</v>
      </c>
      <c r="M871" s="1" t="str">
        <f>CONCATENATE(tblCong[[#This Row],[seketCode]],"-",tblCong[[#This Row],[pCode]])</f>
        <v>D03-S05-P02</v>
      </c>
      <c r="N871" s="1" t="str">
        <f>Paris!M$200</f>
        <v>Bunabun</v>
      </c>
      <c r="O871" s="1" t="s">
        <v>571</v>
      </c>
      <c r="P871" s="1" t="s">
        <v>1392</v>
      </c>
    </row>
    <row r="872" spans="6:16" x14ac:dyDescent="0.35">
      <c r="F872" s="1" t="str">
        <f>CONCATENATE(tblCong[[#This Row],[parishCode]],"-",tblCong[[#This Row],[kCode]])</f>
        <v>D03-S05-P02-K04</v>
      </c>
      <c r="G872" s="1" t="str">
        <f>Distrik!F$7</f>
        <v>D03</v>
      </c>
      <c r="H872" s="1" t="str">
        <f>VLOOKUP(tblCong[[#This Row],[distCode]],tblDistrict[#All],2)</f>
        <v>Madang</v>
      </c>
      <c r="I872" s="1" t="str">
        <f>Seket!I$31</f>
        <v>S05</v>
      </c>
      <c r="J872" s="1" t="str">
        <f>CONCATENATE(tblCong[[#This Row],[distCode]],"-",tblCong[[#This Row],[sCode]])</f>
        <v>D03-S05</v>
      </c>
      <c r="K872" s="1" t="str">
        <f>VLOOKUP(tblCong[[#This Row],[seketCode]],tblSeket[#All],5,FALSE)</f>
        <v>Kabak</v>
      </c>
      <c r="L872" s="1" t="str">
        <f>Paris!L$200</f>
        <v>P02</v>
      </c>
      <c r="M872" s="1" t="str">
        <f>CONCATENATE(tblCong[[#This Row],[seketCode]],"-",tblCong[[#This Row],[pCode]])</f>
        <v>D03-S05-P02</v>
      </c>
      <c r="N872" s="1" t="str">
        <f>Paris!M$200</f>
        <v>Bunabun</v>
      </c>
      <c r="O872" s="1" t="s">
        <v>573</v>
      </c>
      <c r="P872" s="1" t="s">
        <v>1393</v>
      </c>
    </row>
    <row r="873" spans="6:16" x14ac:dyDescent="0.35">
      <c r="F873" s="1" t="str">
        <f>CONCATENATE(tblCong[[#This Row],[parishCode]],"-",tblCong[[#This Row],[kCode]])</f>
        <v>D03-S05-P03-K01</v>
      </c>
      <c r="G873" s="1" t="str">
        <f>Distrik!F$7</f>
        <v>D03</v>
      </c>
      <c r="H873" s="1" t="str">
        <f>VLOOKUP(tblCong[[#This Row],[distCode]],tblDistrict[#All],2)</f>
        <v>Madang</v>
      </c>
      <c r="I873" s="1" t="str">
        <f>Seket!I$31</f>
        <v>S05</v>
      </c>
      <c r="J873" s="1" t="str">
        <f>CONCATENATE(tblCong[[#This Row],[distCode]],"-",tblCong[[#This Row],[sCode]])</f>
        <v>D03-S05</v>
      </c>
      <c r="K873" s="1" t="str">
        <f>VLOOKUP(tblCong[[#This Row],[seketCode]],tblSeket[#All],5,FALSE)</f>
        <v>Kabak</v>
      </c>
      <c r="L873" s="1" t="str">
        <f>Paris!L$201</f>
        <v>P03</v>
      </c>
      <c r="M873" s="1" t="str">
        <f>CONCATENATE(tblCong[[#This Row],[seketCode]],"-",tblCong[[#This Row],[pCode]])</f>
        <v>D03-S05-P03</v>
      </c>
      <c r="N873" s="1" t="str">
        <f>Paris!M$201</f>
        <v>Nami</v>
      </c>
      <c r="O873" s="1" t="s">
        <v>567</v>
      </c>
      <c r="P873" s="1" t="s">
        <v>1394</v>
      </c>
    </row>
    <row r="874" spans="6:16" x14ac:dyDescent="0.35">
      <c r="F874" s="1" t="str">
        <f>CONCATENATE(tblCong[[#This Row],[parishCode]],"-",tblCong[[#This Row],[kCode]])</f>
        <v>D03-S05-P03-K02</v>
      </c>
      <c r="G874" s="1" t="str">
        <f>Distrik!F$7</f>
        <v>D03</v>
      </c>
      <c r="H874" s="1" t="str">
        <f>VLOOKUP(tblCong[[#This Row],[distCode]],tblDistrict[#All],2)</f>
        <v>Madang</v>
      </c>
      <c r="I874" s="1" t="str">
        <f>Seket!I$31</f>
        <v>S05</v>
      </c>
      <c r="J874" s="1" t="str">
        <f>CONCATENATE(tblCong[[#This Row],[distCode]],"-",tblCong[[#This Row],[sCode]])</f>
        <v>D03-S05</v>
      </c>
      <c r="K874" s="1" t="str">
        <f>VLOOKUP(tblCong[[#This Row],[seketCode]],tblSeket[#All],5,FALSE)</f>
        <v>Kabak</v>
      </c>
      <c r="L874" s="1" t="str">
        <f>Paris!L$201</f>
        <v>P03</v>
      </c>
      <c r="M874" s="1" t="str">
        <f>CONCATENATE(tblCong[[#This Row],[seketCode]],"-",tblCong[[#This Row],[pCode]])</f>
        <v>D03-S05-P03</v>
      </c>
      <c r="N874" s="1" t="str">
        <f>Paris!M$201</f>
        <v>Nami</v>
      </c>
      <c r="O874" s="1" t="s">
        <v>569</v>
      </c>
      <c r="P874" s="1" t="s">
        <v>1395</v>
      </c>
    </row>
    <row r="875" spans="6:16" x14ac:dyDescent="0.35">
      <c r="F875" s="1" t="str">
        <f>CONCATENATE(tblCong[[#This Row],[parishCode]],"-",tblCong[[#This Row],[kCode]])</f>
        <v>D03-S05-P03-K03</v>
      </c>
      <c r="G875" s="1" t="str">
        <f>Distrik!F$7</f>
        <v>D03</v>
      </c>
      <c r="H875" s="1" t="str">
        <f>VLOOKUP(tblCong[[#This Row],[distCode]],tblDistrict[#All],2)</f>
        <v>Madang</v>
      </c>
      <c r="I875" s="1" t="str">
        <f>Seket!I$31</f>
        <v>S05</v>
      </c>
      <c r="J875" s="1" t="str">
        <f>CONCATENATE(tblCong[[#This Row],[distCode]],"-",tblCong[[#This Row],[sCode]])</f>
        <v>D03-S05</v>
      </c>
      <c r="K875" s="1" t="str">
        <f>VLOOKUP(tblCong[[#This Row],[seketCode]],tblSeket[#All],5,FALSE)</f>
        <v>Kabak</v>
      </c>
      <c r="L875" s="1" t="str">
        <f>Paris!L$201</f>
        <v>P03</v>
      </c>
      <c r="M875" s="1" t="str">
        <f>CONCATENATE(tblCong[[#This Row],[seketCode]],"-",tblCong[[#This Row],[pCode]])</f>
        <v>D03-S05-P03</v>
      </c>
      <c r="N875" s="1" t="str">
        <f>Paris!M$201</f>
        <v>Nami</v>
      </c>
      <c r="O875" s="1" t="s">
        <v>571</v>
      </c>
      <c r="P875" s="1" t="s">
        <v>1396</v>
      </c>
    </row>
    <row r="876" spans="6:16" x14ac:dyDescent="0.35">
      <c r="F876" s="1" t="str">
        <f>CONCATENATE(tblCong[[#This Row],[parishCode]],"-",tblCong[[#This Row],[kCode]])</f>
        <v>D03-S05-P03-K04</v>
      </c>
      <c r="G876" s="1" t="str">
        <f>Distrik!F$7</f>
        <v>D03</v>
      </c>
      <c r="H876" s="1" t="str">
        <f>VLOOKUP(tblCong[[#This Row],[distCode]],tblDistrict[#All],2)</f>
        <v>Madang</v>
      </c>
      <c r="I876" s="1" t="str">
        <f>Seket!I$31</f>
        <v>S05</v>
      </c>
      <c r="J876" s="1" t="str">
        <f>CONCATENATE(tblCong[[#This Row],[distCode]],"-",tblCong[[#This Row],[sCode]])</f>
        <v>D03-S05</v>
      </c>
      <c r="K876" s="1" t="str">
        <f>VLOOKUP(tblCong[[#This Row],[seketCode]],tblSeket[#All],5,FALSE)</f>
        <v>Kabak</v>
      </c>
      <c r="L876" s="1" t="str">
        <f>Paris!L$201</f>
        <v>P03</v>
      </c>
      <c r="M876" s="1" t="str">
        <f>CONCATENATE(tblCong[[#This Row],[seketCode]],"-",tblCong[[#This Row],[pCode]])</f>
        <v>D03-S05-P03</v>
      </c>
      <c r="N876" s="1" t="str">
        <f>Paris!M$201</f>
        <v>Nami</v>
      </c>
      <c r="O876" s="1" t="s">
        <v>573</v>
      </c>
      <c r="P876" s="1" t="s">
        <v>1397</v>
      </c>
    </row>
    <row r="877" spans="6:16" x14ac:dyDescent="0.35">
      <c r="F877" s="1" t="str">
        <f>CONCATENATE(tblCong[[#This Row],[parishCode]],"-",tblCong[[#This Row],[kCode]])</f>
        <v>D03-S05-P03-K05</v>
      </c>
      <c r="G877" s="1" t="str">
        <f>Distrik!F$7</f>
        <v>D03</v>
      </c>
      <c r="H877" s="1" t="str">
        <f>VLOOKUP(tblCong[[#This Row],[distCode]],tblDistrict[#All],2)</f>
        <v>Madang</v>
      </c>
      <c r="I877" s="1" t="str">
        <f>Seket!I$31</f>
        <v>S05</v>
      </c>
      <c r="J877" s="1" t="str">
        <f>CONCATENATE(tblCong[[#This Row],[distCode]],"-",tblCong[[#This Row],[sCode]])</f>
        <v>D03-S05</v>
      </c>
      <c r="K877" s="1" t="str">
        <f>VLOOKUP(tblCong[[#This Row],[seketCode]],tblSeket[#All],5,FALSE)</f>
        <v>Kabak</v>
      </c>
      <c r="L877" s="1" t="str">
        <f>Paris!L$201</f>
        <v>P03</v>
      </c>
      <c r="M877" s="1" t="str">
        <f>CONCATENATE(tblCong[[#This Row],[seketCode]],"-",tblCong[[#This Row],[pCode]])</f>
        <v>D03-S05-P03</v>
      </c>
      <c r="N877" s="1" t="str">
        <f>Paris!M$201</f>
        <v>Nami</v>
      </c>
      <c r="O877" s="1" t="s">
        <v>575</v>
      </c>
      <c r="P877" s="1" t="s">
        <v>1398</v>
      </c>
    </row>
    <row r="878" spans="6:16" x14ac:dyDescent="0.35">
      <c r="F878" s="1" t="str">
        <f>CONCATENATE(tblCong[[#This Row],[parishCode]],"-",tblCong[[#This Row],[kCode]])</f>
        <v>D03-S05-P03-K06</v>
      </c>
      <c r="G878" s="1" t="str">
        <f>Distrik!F$7</f>
        <v>D03</v>
      </c>
      <c r="H878" s="1" t="str">
        <f>VLOOKUP(tblCong[[#This Row],[distCode]],tblDistrict[#All],2)</f>
        <v>Madang</v>
      </c>
      <c r="I878" s="1" t="str">
        <f>Seket!I$31</f>
        <v>S05</v>
      </c>
      <c r="J878" s="1" t="str">
        <f>CONCATENATE(tblCong[[#This Row],[distCode]],"-",tblCong[[#This Row],[sCode]])</f>
        <v>D03-S05</v>
      </c>
      <c r="K878" s="1" t="str">
        <f>VLOOKUP(tblCong[[#This Row],[seketCode]],tblSeket[#All],5,FALSE)</f>
        <v>Kabak</v>
      </c>
      <c r="L878" s="1" t="str">
        <f>Paris!L$201</f>
        <v>P03</v>
      </c>
      <c r="M878" s="1" t="str">
        <f>CONCATENATE(tblCong[[#This Row],[seketCode]],"-",tblCong[[#This Row],[pCode]])</f>
        <v>D03-S05-P03</v>
      </c>
      <c r="N878" s="1" t="str">
        <f>Paris!M$201</f>
        <v>Nami</v>
      </c>
      <c r="O878" s="1" t="s">
        <v>576</v>
      </c>
      <c r="P878" s="1" t="s">
        <v>1399</v>
      </c>
    </row>
    <row r="879" spans="6:16" x14ac:dyDescent="0.35">
      <c r="F879" s="1" t="str">
        <f>CONCATENATE(tblCong[[#This Row],[parishCode]],"-",tblCong[[#This Row],[kCode]])</f>
        <v>D03-S06-P02-K01</v>
      </c>
      <c r="G879" s="1" t="str">
        <f>Distrik!F$7</f>
        <v>D03</v>
      </c>
      <c r="H879" s="1" t="str">
        <f>VLOOKUP(tblCong[[#This Row],[distCode]],tblDistrict[#All],2)</f>
        <v>Madang</v>
      </c>
      <c r="I879" s="1" t="str">
        <f>Seket!I$32</f>
        <v>S06</v>
      </c>
      <c r="J879" s="1" t="str">
        <f>CONCATENATE(tblCong[[#This Row],[distCode]],"-",tblCong[[#This Row],[sCode]])</f>
        <v>D03-S06</v>
      </c>
      <c r="K879" s="1" t="str">
        <f>VLOOKUP(tblCong[[#This Row],[seketCode]],tblSeket[#All],5,FALSE)</f>
        <v>Ranara</v>
      </c>
      <c r="L879" s="1" t="str">
        <f>Paris!L$203</f>
        <v>P02</v>
      </c>
      <c r="M879" s="1" t="str">
        <f>CONCATENATE(tblCong[[#This Row],[seketCode]],"-",tblCong[[#This Row],[pCode]])</f>
        <v>D03-S06-P02</v>
      </c>
      <c r="N879" s="1" t="str">
        <f>Paris!M$203</f>
        <v>Rau 2</v>
      </c>
      <c r="O879" s="1" t="s">
        <v>567</v>
      </c>
      <c r="P879" s="1" t="s">
        <v>1400</v>
      </c>
    </row>
    <row r="880" spans="6:16" x14ac:dyDescent="0.35">
      <c r="F880" s="1" t="str">
        <f>CONCATENATE(tblCong[[#This Row],[parishCode]],"-",tblCong[[#This Row],[kCode]])</f>
        <v>D03-S06-P02-K02</v>
      </c>
      <c r="G880" s="1" t="str">
        <f>Distrik!F$7</f>
        <v>D03</v>
      </c>
      <c r="H880" s="1" t="str">
        <f>VLOOKUP(tblCong[[#This Row],[distCode]],tblDistrict[#All],2)</f>
        <v>Madang</v>
      </c>
      <c r="I880" s="1" t="str">
        <f>Seket!I$32</f>
        <v>S06</v>
      </c>
      <c r="J880" s="1" t="str">
        <f>CONCATENATE(tblCong[[#This Row],[distCode]],"-",tblCong[[#This Row],[sCode]])</f>
        <v>D03-S06</v>
      </c>
      <c r="K880" s="1" t="str">
        <f>VLOOKUP(tblCong[[#This Row],[seketCode]],tblSeket[#All],5,FALSE)</f>
        <v>Ranara</v>
      </c>
      <c r="L880" s="1" t="str">
        <f>Paris!L$203</f>
        <v>P02</v>
      </c>
      <c r="M880" s="1" t="str">
        <f>CONCATENATE(tblCong[[#This Row],[seketCode]],"-",tblCong[[#This Row],[pCode]])</f>
        <v>D03-S06-P02</v>
      </c>
      <c r="N880" s="1" t="str">
        <f>Paris!M$203</f>
        <v>Rau 2</v>
      </c>
      <c r="O880" s="1" t="s">
        <v>569</v>
      </c>
      <c r="P880" s="1" t="s">
        <v>1401</v>
      </c>
    </row>
    <row r="881" spans="6:16" x14ac:dyDescent="0.35">
      <c r="F881" s="1" t="str">
        <f>CONCATENATE(tblCong[[#This Row],[parishCode]],"-",tblCong[[#This Row],[kCode]])</f>
        <v>D03-S06-P02-K03</v>
      </c>
      <c r="G881" s="1" t="str">
        <f>Distrik!F$7</f>
        <v>D03</v>
      </c>
      <c r="H881" s="1" t="str">
        <f>VLOOKUP(tblCong[[#This Row],[distCode]],tblDistrict[#All],2)</f>
        <v>Madang</v>
      </c>
      <c r="I881" s="1" t="str">
        <f>Seket!I$32</f>
        <v>S06</v>
      </c>
      <c r="J881" s="1" t="str">
        <f>CONCATENATE(tblCong[[#This Row],[distCode]],"-",tblCong[[#This Row],[sCode]])</f>
        <v>D03-S06</v>
      </c>
      <c r="K881" s="1" t="str">
        <f>VLOOKUP(tblCong[[#This Row],[seketCode]],tblSeket[#All],5,FALSE)</f>
        <v>Ranara</v>
      </c>
      <c r="L881" s="1" t="str">
        <f>Paris!L$203</f>
        <v>P02</v>
      </c>
      <c r="M881" s="1" t="str">
        <f>CONCATENATE(tblCong[[#This Row],[seketCode]],"-",tblCong[[#This Row],[pCode]])</f>
        <v>D03-S06-P02</v>
      </c>
      <c r="N881" s="1" t="str">
        <f>Paris!M$203</f>
        <v>Rau 2</v>
      </c>
      <c r="O881" s="1" t="s">
        <v>571</v>
      </c>
      <c r="P881" s="1" t="s">
        <v>1402</v>
      </c>
    </row>
    <row r="882" spans="6:16" x14ac:dyDescent="0.35">
      <c r="F882" s="1" t="str">
        <f>CONCATENATE(tblCong[[#This Row],[parishCode]],"-",tblCong[[#This Row],[kCode]])</f>
        <v>D03-S06-P02-K04</v>
      </c>
      <c r="G882" s="1" t="str">
        <f>Distrik!F$7</f>
        <v>D03</v>
      </c>
      <c r="H882" s="1" t="str">
        <f>VLOOKUP(tblCong[[#This Row],[distCode]],tblDistrict[#All],2)</f>
        <v>Madang</v>
      </c>
      <c r="I882" s="1" t="str">
        <f>Seket!I$32</f>
        <v>S06</v>
      </c>
      <c r="J882" s="1" t="str">
        <f>CONCATENATE(tblCong[[#This Row],[distCode]],"-",tblCong[[#This Row],[sCode]])</f>
        <v>D03-S06</v>
      </c>
      <c r="K882" s="1" t="str">
        <f>VLOOKUP(tblCong[[#This Row],[seketCode]],tblSeket[#All],5,FALSE)</f>
        <v>Ranara</v>
      </c>
      <c r="L882" s="1" t="str">
        <f>Paris!L$203</f>
        <v>P02</v>
      </c>
      <c r="M882" s="1" t="str">
        <f>CONCATENATE(tblCong[[#This Row],[seketCode]],"-",tblCong[[#This Row],[pCode]])</f>
        <v>D03-S06-P02</v>
      </c>
      <c r="N882" s="1" t="str">
        <f>Paris!M$203</f>
        <v>Rau 2</v>
      </c>
      <c r="O882" s="1" t="s">
        <v>573</v>
      </c>
      <c r="P882" s="1" t="s">
        <v>1403</v>
      </c>
    </row>
    <row r="883" spans="6:16" x14ac:dyDescent="0.35">
      <c r="F883" s="1" t="str">
        <f>CONCATENATE(tblCong[[#This Row],[parishCode]],"-",tblCong[[#This Row],[kCode]])</f>
        <v>D03-S06-P02-K05</v>
      </c>
      <c r="G883" s="1" t="str">
        <f>Distrik!F$7</f>
        <v>D03</v>
      </c>
      <c r="H883" s="1" t="str">
        <f>VLOOKUP(tblCong[[#This Row],[distCode]],tblDistrict[#All],2)</f>
        <v>Madang</v>
      </c>
      <c r="I883" s="1" t="str">
        <f>Seket!I$32</f>
        <v>S06</v>
      </c>
      <c r="J883" s="1" t="str">
        <f>CONCATENATE(tblCong[[#This Row],[distCode]],"-",tblCong[[#This Row],[sCode]])</f>
        <v>D03-S06</v>
      </c>
      <c r="K883" s="1" t="str">
        <f>VLOOKUP(tblCong[[#This Row],[seketCode]],tblSeket[#All],5,FALSE)</f>
        <v>Ranara</v>
      </c>
      <c r="L883" s="1" t="str">
        <f>Paris!L$203</f>
        <v>P02</v>
      </c>
      <c r="M883" s="1" t="str">
        <f>CONCATENATE(tblCong[[#This Row],[seketCode]],"-",tblCong[[#This Row],[pCode]])</f>
        <v>D03-S06-P02</v>
      </c>
      <c r="N883" s="1" t="str">
        <f>Paris!M$203</f>
        <v>Rau 2</v>
      </c>
      <c r="O883" s="1" t="s">
        <v>575</v>
      </c>
      <c r="P883" s="1" t="s">
        <v>1404</v>
      </c>
    </row>
    <row r="884" spans="6:16" x14ac:dyDescent="0.35">
      <c r="F884" s="1" t="str">
        <f>CONCATENATE(tblCong[[#This Row],[parishCode]],"-",tblCong[[#This Row],[kCode]])</f>
        <v>D03-S06-P02-K06</v>
      </c>
      <c r="G884" s="1" t="str">
        <f>Distrik!F$7</f>
        <v>D03</v>
      </c>
      <c r="H884" s="1" t="str">
        <f>VLOOKUP(tblCong[[#This Row],[distCode]],tblDistrict[#All],2)</f>
        <v>Madang</v>
      </c>
      <c r="I884" s="1" t="str">
        <f>Seket!I$32</f>
        <v>S06</v>
      </c>
      <c r="J884" s="1" t="str">
        <f>CONCATENATE(tblCong[[#This Row],[distCode]],"-",tblCong[[#This Row],[sCode]])</f>
        <v>D03-S06</v>
      </c>
      <c r="K884" s="1" t="str">
        <f>VLOOKUP(tblCong[[#This Row],[seketCode]],tblSeket[#All],5,FALSE)</f>
        <v>Ranara</v>
      </c>
      <c r="L884" s="1" t="str">
        <f>Paris!L$203</f>
        <v>P02</v>
      </c>
      <c r="M884" s="1" t="str">
        <f>CONCATENATE(tblCong[[#This Row],[seketCode]],"-",tblCong[[#This Row],[pCode]])</f>
        <v>D03-S06-P02</v>
      </c>
      <c r="N884" s="1" t="str">
        <f>Paris!M$203</f>
        <v>Rau 2</v>
      </c>
      <c r="O884" s="1" t="s">
        <v>576</v>
      </c>
      <c r="P884" s="1" t="s">
        <v>1405</v>
      </c>
    </row>
    <row r="885" spans="6:16" x14ac:dyDescent="0.35">
      <c r="F885" s="1" t="str">
        <f>CONCATENATE(tblCong[[#This Row],[parishCode]],"-",tblCong[[#This Row],[kCode]])</f>
        <v>D03-S06-P02-K07</v>
      </c>
      <c r="G885" s="1" t="str">
        <f>Distrik!F$7</f>
        <v>D03</v>
      </c>
      <c r="H885" s="1" t="str">
        <f>VLOOKUP(tblCong[[#This Row],[distCode]],tblDistrict[#All],2)</f>
        <v>Madang</v>
      </c>
      <c r="I885" s="1" t="str">
        <f>Seket!I$32</f>
        <v>S06</v>
      </c>
      <c r="J885" s="1" t="str">
        <f>CONCATENATE(tblCong[[#This Row],[distCode]],"-",tblCong[[#This Row],[sCode]])</f>
        <v>D03-S06</v>
      </c>
      <c r="K885" s="1" t="str">
        <f>VLOOKUP(tblCong[[#This Row],[seketCode]],tblSeket[#All],5,FALSE)</f>
        <v>Ranara</v>
      </c>
      <c r="L885" s="1" t="str">
        <f>Paris!L$203</f>
        <v>P02</v>
      </c>
      <c r="M885" s="1" t="str">
        <f>CONCATENATE(tblCong[[#This Row],[seketCode]],"-",tblCong[[#This Row],[pCode]])</f>
        <v>D03-S06-P02</v>
      </c>
      <c r="N885" s="1" t="str">
        <f>Paris!M$203</f>
        <v>Rau 2</v>
      </c>
      <c r="O885" s="1" t="s">
        <v>578</v>
      </c>
      <c r="P885" s="1" t="s">
        <v>1406</v>
      </c>
    </row>
    <row r="886" spans="6:16" x14ac:dyDescent="0.35">
      <c r="F886" s="1" t="str">
        <f>CONCATENATE(tblCong[[#This Row],[parishCode]],"-",tblCong[[#This Row],[kCode]])</f>
        <v>D03-S06-P02-K08</v>
      </c>
      <c r="G886" s="1" t="str">
        <f>Distrik!F$7</f>
        <v>D03</v>
      </c>
      <c r="H886" s="1" t="str">
        <f>VLOOKUP(tblCong[[#This Row],[distCode]],tblDistrict[#All],2)</f>
        <v>Madang</v>
      </c>
      <c r="I886" s="1" t="str">
        <f>Seket!I$32</f>
        <v>S06</v>
      </c>
      <c r="J886" s="1" t="str">
        <f>CONCATENATE(tblCong[[#This Row],[distCode]],"-",tblCong[[#This Row],[sCode]])</f>
        <v>D03-S06</v>
      </c>
      <c r="K886" s="1" t="str">
        <f>VLOOKUP(tblCong[[#This Row],[seketCode]],tblSeket[#All],5,FALSE)</f>
        <v>Ranara</v>
      </c>
      <c r="L886" s="1" t="str">
        <f>Paris!L$203</f>
        <v>P02</v>
      </c>
      <c r="M886" s="1" t="str">
        <f>CONCATENATE(tblCong[[#This Row],[seketCode]],"-",tblCong[[#This Row],[pCode]])</f>
        <v>D03-S06-P02</v>
      </c>
      <c r="N886" s="1" t="str">
        <f>Paris!M$203</f>
        <v>Rau 2</v>
      </c>
      <c r="O886" s="1" t="s">
        <v>651</v>
      </c>
      <c r="P886" s="1" t="s">
        <v>1407</v>
      </c>
    </row>
    <row r="887" spans="6:16" x14ac:dyDescent="0.35">
      <c r="F887" s="1" t="str">
        <f>CONCATENATE(tblCong[[#This Row],[parishCode]],"-",tblCong[[#This Row],[kCode]])</f>
        <v>D03-S06-P02-K09</v>
      </c>
      <c r="G887" s="1" t="str">
        <f>Distrik!F$7</f>
        <v>D03</v>
      </c>
      <c r="H887" s="1" t="str">
        <f>VLOOKUP(tblCong[[#This Row],[distCode]],tblDistrict[#All],2)</f>
        <v>Madang</v>
      </c>
      <c r="I887" s="1" t="str">
        <f>Seket!I$32</f>
        <v>S06</v>
      </c>
      <c r="J887" s="1" t="str">
        <f>CONCATENATE(tblCong[[#This Row],[distCode]],"-",tblCong[[#This Row],[sCode]])</f>
        <v>D03-S06</v>
      </c>
      <c r="K887" s="1" t="str">
        <f>VLOOKUP(tblCong[[#This Row],[seketCode]],tblSeket[#All],5,FALSE)</f>
        <v>Ranara</v>
      </c>
      <c r="L887" s="1" t="str">
        <f>Paris!L$203</f>
        <v>P02</v>
      </c>
      <c r="M887" s="1" t="str">
        <f>CONCATENATE(tblCong[[#This Row],[seketCode]],"-",tblCong[[#This Row],[pCode]])</f>
        <v>D03-S06-P02</v>
      </c>
      <c r="N887" s="1" t="str">
        <f>Paris!M$203</f>
        <v>Rau 2</v>
      </c>
      <c r="O887" s="1" t="s">
        <v>653</v>
      </c>
      <c r="P887" s="1" t="s">
        <v>1408</v>
      </c>
    </row>
    <row r="888" spans="6:16" x14ac:dyDescent="0.35">
      <c r="F888" s="1" t="str">
        <f>CONCATENATE(tblCong[[#This Row],[parishCode]],"-",tblCong[[#This Row],[kCode]])</f>
        <v>D03-S07--K01</v>
      </c>
      <c r="G888" s="1" t="str">
        <f>Distrik!F$7</f>
        <v>D03</v>
      </c>
      <c r="H888" s="1" t="str">
        <f>VLOOKUP(tblCong[[#This Row],[distCode]],tblDistrict[#All],2)</f>
        <v>Madang</v>
      </c>
      <c r="I888" s="1" t="str">
        <f>Seket!I$33</f>
        <v>S07</v>
      </c>
      <c r="J888" s="1" t="str">
        <f>CONCATENATE(tblCong[[#This Row],[distCode]],"-",tblCong[[#This Row],[sCode]])</f>
        <v>D03-S07</v>
      </c>
      <c r="K888" s="1" t="str">
        <f>VLOOKUP(tblCong[[#This Row],[seketCode]],tblSeket[#All],5,FALSE)</f>
        <v>Madang Taun</v>
      </c>
      <c r="M888" s="1" t="str">
        <f>CONCATENATE(tblCong[[#This Row],[seketCode]],"-",tblCong[[#This Row],[pCode]])</f>
        <v>D03-S07-</v>
      </c>
      <c r="N888" s="1" t="s">
        <v>1409</v>
      </c>
      <c r="O888" s="1" t="s">
        <v>567</v>
      </c>
      <c r="P888" s="1" t="s">
        <v>88</v>
      </c>
    </row>
    <row r="889" spans="6:16" x14ac:dyDescent="0.35">
      <c r="F889" s="1" t="str">
        <f>CONCATENATE(tblCong[[#This Row],[parishCode]],"-",tblCong[[#This Row],[kCode]])</f>
        <v>D03-S07--K02</v>
      </c>
      <c r="G889" s="1" t="str">
        <f>Distrik!F$7</f>
        <v>D03</v>
      </c>
      <c r="H889" s="1" t="str">
        <f>VLOOKUP(tblCong[[#This Row],[distCode]],tblDistrict[#All],2)</f>
        <v>Madang</v>
      </c>
      <c r="I889" s="1" t="str">
        <f>Seket!I$33</f>
        <v>S07</v>
      </c>
      <c r="J889" s="1" t="str">
        <f>CONCATENATE(tblCong[[#This Row],[distCode]],"-",tblCong[[#This Row],[sCode]])</f>
        <v>D03-S07</v>
      </c>
      <c r="K889" s="1" t="str">
        <f>VLOOKUP(tblCong[[#This Row],[seketCode]],tblSeket[#All],5,FALSE)</f>
        <v>Madang Taun</v>
      </c>
      <c r="M889" s="1" t="str">
        <f>CONCATENATE(tblCong[[#This Row],[seketCode]],"-",tblCong[[#This Row],[pCode]])</f>
        <v>D03-S07-</v>
      </c>
      <c r="N889" s="1" t="s">
        <v>1409</v>
      </c>
      <c r="O889" s="1" t="s">
        <v>569</v>
      </c>
      <c r="P889" s="1" t="s">
        <v>1410</v>
      </c>
    </row>
    <row r="890" spans="6:16" x14ac:dyDescent="0.35">
      <c r="F890" s="1" t="str">
        <f>CONCATENATE(tblCong[[#This Row],[parishCode]],"-",tblCong[[#This Row],[kCode]])</f>
        <v>D03-S07--K03</v>
      </c>
      <c r="G890" s="1" t="str">
        <f>Distrik!F$7</f>
        <v>D03</v>
      </c>
      <c r="H890" s="1" t="str">
        <f>VLOOKUP(tblCong[[#This Row],[distCode]],tblDistrict[#All],2)</f>
        <v>Madang</v>
      </c>
      <c r="I890" s="1" t="str">
        <f>Seket!I$33</f>
        <v>S07</v>
      </c>
      <c r="J890" s="1" t="str">
        <f>CONCATENATE(tblCong[[#This Row],[distCode]],"-",tblCong[[#This Row],[sCode]])</f>
        <v>D03-S07</v>
      </c>
      <c r="K890" s="1" t="str">
        <f>VLOOKUP(tblCong[[#This Row],[seketCode]],tblSeket[#All],5,FALSE)</f>
        <v>Madang Taun</v>
      </c>
      <c r="M890" s="1" t="str">
        <f>CONCATENATE(tblCong[[#This Row],[seketCode]],"-",tblCong[[#This Row],[pCode]])</f>
        <v>D03-S07-</v>
      </c>
      <c r="N890" s="1" t="s">
        <v>1409</v>
      </c>
      <c r="O890" s="1" t="s">
        <v>571</v>
      </c>
      <c r="P890" s="1" t="s">
        <v>1411</v>
      </c>
    </row>
    <row r="891" spans="6:16" x14ac:dyDescent="0.35">
      <c r="F891" s="1" t="str">
        <f>CONCATENATE(tblCong[[#This Row],[parishCode]],"-",tblCong[[#This Row],[kCode]])</f>
        <v>D03-S07--K04</v>
      </c>
      <c r="G891" s="1" t="str">
        <f>Distrik!F$7</f>
        <v>D03</v>
      </c>
      <c r="H891" s="1" t="str">
        <f>VLOOKUP(tblCong[[#This Row],[distCode]],tblDistrict[#All],2)</f>
        <v>Madang</v>
      </c>
      <c r="I891" s="1" t="str">
        <f>Seket!I$33</f>
        <v>S07</v>
      </c>
      <c r="J891" s="1" t="str">
        <f>CONCATENATE(tblCong[[#This Row],[distCode]],"-",tblCong[[#This Row],[sCode]])</f>
        <v>D03-S07</v>
      </c>
      <c r="K891" s="1" t="str">
        <f>VLOOKUP(tblCong[[#This Row],[seketCode]],tblSeket[#All],5,FALSE)</f>
        <v>Madang Taun</v>
      </c>
      <c r="M891" s="1" t="str">
        <f>CONCATENATE(tblCong[[#This Row],[seketCode]],"-",tblCong[[#This Row],[pCode]])</f>
        <v>D03-S07-</v>
      </c>
      <c r="N891" s="1" t="s">
        <v>1409</v>
      </c>
      <c r="O891" s="1" t="s">
        <v>573</v>
      </c>
      <c r="P891" s="1" t="s">
        <v>1412</v>
      </c>
    </row>
    <row r="892" spans="6:16" x14ac:dyDescent="0.35">
      <c r="F892" s="1" t="str">
        <f>CONCATENATE(tblCong[[#This Row],[parishCode]],"-",tblCong[[#This Row],[kCode]])</f>
        <v>D03-S07--K05</v>
      </c>
      <c r="G892" s="1" t="str">
        <f>Distrik!F$7</f>
        <v>D03</v>
      </c>
      <c r="H892" s="1" t="str">
        <f>VLOOKUP(tblCong[[#This Row],[distCode]],tblDistrict[#All],2)</f>
        <v>Madang</v>
      </c>
      <c r="I892" s="1" t="str">
        <f>Seket!I$33</f>
        <v>S07</v>
      </c>
      <c r="J892" s="1" t="str">
        <f>CONCATENATE(tblCong[[#This Row],[distCode]],"-",tblCong[[#This Row],[sCode]])</f>
        <v>D03-S07</v>
      </c>
      <c r="K892" s="1" t="str">
        <f>VLOOKUP(tblCong[[#This Row],[seketCode]],tblSeket[#All],5,FALSE)</f>
        <v>Madang Taun</v>
      </c>
      <c r="M892" s="1" t="str">
        <f>CONCATENATE(tblCong[[#This Row],[seketCode]],"-",tblCong[[#This Row],[pCode]])</f>
        <v>D03-S07-</v>
      </c>
      <c r="N892" s="1" t="s">
        <v>1409</v>
      </c>
      <c r="O892" s="1" t="s">
        <v>575</v>
      </c>
      <c r="P892" s="1" t="s">
        <v>549</v>
      </c>
    </row>
    <row r="893" spans="6:16" x14ac:dyDescent="0.35">
      <c r="F893" s="1" t="str">
        <f>CONCATENATE(tblCong[[#This Row],[parishCode]],"-",tblCong[[#This Row],[kCode]])</f>
        <v>D03-S07--K06</v>
      </c>
      <c r="G893" s="1" t="str">
        <f>Distrik!F$7</f>
        <v>D03</v>
      </c>
      <c r="H893" s="1" t="str">
        <f>VLOOKUP(tblCong[[#This Row],[distCode]],tblDistrict[#All],2)</f>
        <v>Madang</v>
      </c>
      <c r="I893" s="1" t="str">
        <f>Seket!I$33</f>
        <v>S07</v>
      </c>
      <c r="J893" s="1" t="str">
        <f>CONCATENATE(tblCong[[#This Row],[distCode]],"-",tblCong[[#This Row],[sCode]])</f>
        <v>D03-S07</v>
      </c>
      <c r="K893" s="1" t="str">
        <f>VLOOKUP(tblCong[[#This Row],[seketCode]],tblSeket[#All],5,FALSE)</f>
        <v>Madang Taun</v>
      </c>
      <c r="M893" s="1" t="str">
        <f>CONCATENATE(tblCong[[#This Row],[seketCode]],"-",tblCong[[#This Row],[pCode]])</f>
        <v>D03-S07-</v>
      </c>
      <c r="N893" s="1" t="s">
        <v>1409</v>
      </c>
      <c r="O893" s="1" t="s">
        <v>576</v>
      </c>
      <c r="P893" s="1" t="s">
        <v>1413</v>
      </c>
    </row>
    <row r="894" spans="6:16" x14ac:dyDescent="0.35">
      <c r="F894" s="1" t="str">
        <f>CONCATENATE(tblCong[[#This Row],[parishCode]],"-",tblCong[[#This Row],[kCode]])</f>
        <v>D03-S07--K07</v>
      </c>
      <c r="G894" s="1" t="str">
        <f>Distrik!F$7</f>
        <v>D03</v>
      </c>
      <c r="H894" s="1" t="str">
        <f>VLOOKUP(tblCong[[#This Row],[distCode]],tblDistrict[#All],2)</f>
        <v>Madang</v>
      </c>
      <c r="I894" s="1" t="str">
        <f>Seket!I$33</f>
        <v>S07</v>
      </c>
      <c r="J894" s="1" t="str">
        <f>CONCATENATE(tblCong[[#This Row],[distCode]],"-",tblCong[[#This Row],[sCode]])</f>
        <v>D03-S07</v>
      </c>
      <c r="K894" s="1" t="str">
        <f>VLOOKUP(tblCong[[#This Row],[seketCode]],tblSeket[#All],5,FALSE)</f>
        <v>Madang Taun</v>
      </c>
      <c r="M894" s="1" t="str">
        <f>CONCATENATE(tblCong[[#This Row],[seketCode]],"-",tblCong[[#This Row],[pCode]])</f>
        <v>D03-S07-</v>
      </c>
      <c r="N894" s="1" t="s">
        <v>1409</v>
      </c>
      <c r="O894" s="1" t="s">
        <v>578</v>
      </c>
      <c r="P894" s="1" t="s">
        <v>1414</v>
      </c>
    </row>
    <row r="895" spans="6:16" x14ac:dyDescent="0.35">
      <c r="F895" s="1" t="str">
        <f>CONCATENATE(tblCong[[#This Row],[parishCode]],"-",tblCong[[#This Row],[kCode]])</f>
        <v>D03-S07--K08</v>
      </c>
      <c r="G895" s="1" t="str">
        <f>Distrik!F$7</f>
        <v>D03</v>
      </c>
      <c r="H895" s="1" t="str">
        <f>VLOOKUP(tblCong[[#This Row],[distCode]],tblDistrict[#All],2)</f>
        <v>Madang</v>
      </c>
      <c r="I895" s="1" t="str">
        <f>Seket!I$33</f>
        <v>S07</v>
      </c>
      <c r="J895" s="1" t="str">
        <f>CONCATENATE(tblCong[[#This Row],[distCode]],"-",tblCong[[#This Row],[sCode]])</f>
        <v>D03-S07</v>
      </c>
      <c r="K895" s="1" t="str">
        <f>VLOOKUP(tblCong[[#This Row],[seketCode]],tblSeket[#All],5,FALSE)</f>
        <v>Madang Taun</v>
      </c>
      <c r="M895" s="1" t="str">
        <f>CONCATENATE(tblCong[[#This Row],[seketCode]],"-",tblCong[[#This Row],[pCode]])</f>
        <v>D03-S07-</v>
      </c>
      <c r="N895" s="1" t="s">
        <v>1409</v>
      </c>
      <c r="O895" s="1" t="s">
        <v>651</v>
      </c>
      <c r="P895" s="1" t="s">
        <v>1415</v>
      </c>
    </row>
    <row r="896" spans="6:16" x14ac:dyDescent="0.35">
      <c r="F896" s="1" t="str">
        <f>CONCATENATE(tblCong[[#This Row],[parishCode]],"-",tblCong[[#This Row],[kCode]])</f>
        <v>D03-S08-P06-K01</v>
      </c>
      <c r="G896" s="1" t="str">
        <f>Distrik!F$7</f>
        <v>D03</v>
      </c>
      <c r="H896" s="1" t="str">
        <f>VLOOKUP(tblCong[[#This Row],[distCode]],tblDistrict[#All],2)</f>
        <v>Madang</v>
      </c>
      <c r="I896" s="1" t="str">
        <f>Seket!I$34</f>
        <v>S08</v>
      </c>
      <c r="J896" s="1" t="str">
        <f>CONCATENATE(tblCong[[#This Row],[distCode]],"-",tblCong[[#This Row],[sCode]])</f>
        <v>D03-S08</v>
      </c>
      <c r="K896" s="1" t="str">
        <f>VLOOKUP(tblCong[[#This Row],[seketCode]],tblSeket[#All],5,FALSE)</f>
        <v>Wanuma</v>
      </c>
      <c r="L896" s="1" t="str">
        <f>Paris!L$211</f>
        <v>P06</v>
      </c>
      <c r="M896" s="1" t="str">
        <f>CONCATENATE(tblCong[[#This Row],[seketCode]],"-",tblCong[[#This Row],[pCode]])</f>
        <v>D03-S08-P06</v>
      </c>
      <c r="N896" s="1" t="str">
        <f>Paris!M$211</f>
        <v>Aigul</v>
      </c>
      <c r="O896" s="1" t="s">
        <v>567</v>
      </c>
      <c r="P896" s="1" t="s">
        <v>1416</v>
      </c>
    </row>
    <row r="897" spans="6:16" x14ac:dyDescent="0.35">
      <c r="F897" s="1" t="str">
        <f>CONCATENATE(tblCong[[#This Row],[parishCode]],"-",tblCong[[#This Row],[kCode]])</f>
        <v>D03-S08-P06-K02</v>
      </c>
      <c r="G897" s="1" t="str">
        <f>Distrik!F$7</f>
        <v>D03</v>
      </c>
      <c r="H897" s="1" t="str">
        <f>VLOOKUP(tblCong[[#This Row],[distCode]],tblDistrict[#All],2)</f>
        <v>Madang</v>
      </c>
      <c r="I897" s="1" t="str">
        <f>Seket!I$34</f>
        <v>S08</v>
      </c>
      <c r="J897" s="1" t="str">
        <f>CONCATENATE(tblCong[[#This Row],[distCode]],"-",tblCong[[#This Row],[sCode]])</f>
        <v>D03-S08</v>
      </c>
      <c r="K897" s="1" t="str">
        <f>VLOOKUP(tblCong[[#This Row],[seketCode]],tblSeket[#All],5,FALSE)</f>
        <v>Wanuma</v>
      </c>
      <c r="L897" s="1" t="str">
        <f>Paris!L$211</f>
        <v>P06</v>
      </c>
      <c r="M897" s="1" t="str">
        <f>CONCATENATE(tblCong[[#This Row],[seketCode]],"-",tblCong[[#This Row],[pCode]])</f>
        <v>D03-S08-P06</v>
      </c>
      <c r="N897" s="1" t="str">
        <f>Paris!M$211</f>
        <v>Aigul</v>
      </c>
      <c r="O897" s="1" t="s">
        <v>569</v>
      </c>
      <c r="P897" s="1" t="s">
        <v>1417</v>
      </c>
    </row>
    <row r="898" spans="6:16" x14ac:dyDescent="0.35">
      <c r="F898" s="1" t="str">
        <f>CONCATENATE(tblCong[[#This Row],[parishCode]],"-",tblCong[[#This Row],[kCode]])</f>
        <v>D03-S08-P06-K03</v>
      </c>
      <c r="G898" s="1" t="str">
        <f>Distrik!F$7</f>
        <v>D03</v>
      </c>
      <c r="H898" s="1" t="str">
        <f>VLOOKUP(tblCong[[#This Row],[distCode]],tblDistrict[#All],2)</f>
        <v>Madang</v>
      </c>
      <c r="I898" s="1" t="str">
        <f>Seket!I$34</f>
        <v>S08</v>
      </c>
      <c r="J898" s="1" t="str">
        <f>CONCATENATE(tblCong[[#This Row],[distCode]],"-",tblCong[[#This Row],[sCode]])</f>
        <v>D03-S08</v>
      </c>
      <c r="K898" s="1" t="str">
        <f>VLOOKUP(tblCong[[#This Row],[seketCode]],tblSeket[#All],5,FALSE)</f>
        <v>Wanuma</v>
      </c>
      <c r="L898" s="1" t="str">
        <f>Paris!L$211</f>
        <v>P06</v>
      </c>
      <c r="M898" s="1" t="str">
        <f>CONCATENATE(tblCong[[#This Row],[seketCode]],"-",tblCong[[#This Row],[pCode]])</f>
        <v>D03-S08-P06</v>
      </c>
      <c r="N898" s="1" t="str">
        <f>Paris!M$211</f>
        <v>Aigul</v>
      </c>
      <c r="O898" s="1" t="s">
        <v>571</v>
      </c>
      <c r="P898" s="1" t="s">
        <v>1418</v>
      </c>
    </row>
    <row r="899" spans="6:16" x14ac:dyDescent="0.35">
      <c r="F899" s="1" t="str">
        <f>CONCATENATE(tblCong[[#This Row],[parishCode]],"-",tblCong[[#This Row],[kCode]])</f>
        <v>D03-S08-P06-K04</v>
      </c>
      <c r="G899" s="1" t="str">
        <f>Distrik!F$7</f>
        <v>D03</v>
      </c>
      <c r="H899" s="1" t="str">
        <f>VLOOKUP(tblCong[[#This Row],[distCode]],tblDistrict[#All],2)</f>
        <v>Madang</v>
      </c>
      <c r="I899" s="1" t="str">
        <f>Seket!I$34</f>
        <v>S08</v>
      </c>
      <c r="J899" s="1" t="str">
        <f>CONCATENATE(tblCong[[#This Row],[distCode]],"-",tblCong[[#This Row],[sCode]])</f>
        <v>D03-S08</v>
      </c>
      <c r="K899" s="1" t="str">
        <f>VLOOKUP(tblCong[[#This Row],[seketCode]],tblSeket[#All],5,FALSE)</f>
        <v>Wanuma</v>
      </c>
      <c r="L899" s="1" t="str">
        <f>Paris!L$211</f>
        <v>P06</v>
      </c>
      <c r="M899" s="1" t="str">
        <f>CONCATENATE(tblCong[[#This Row],[seketCode]],"-",tblCong[[#This Row],[pCode]])</f>
        <v>D03-S08-P06</v>
      </c>
      <c r="N899" s="1" t="s">
        <v>1419</v>
      </c>
      <c r="O899" s="1" t="s">
        <v>573</v>
      </c>
      <c r="P899" s="1" t="s">
        <v>1420</v>
      </c>
    </row>
    <row r="900" spans="6:16" x14ac:dyDescent="0.35">
      <c r="F900" s="1" t="str">
        <f>CONCATENATE(tblCong[[#This Row],[parishCode]],"-",tblCong[[#This Row],[kCode]])</f>
        <v>D04-S01-P01-K01</v>
      </c>
      <c r="G900" s="1" t="str">
        <f>Distrik!F$8</f>
        <v>D04</v>
      </c>
      <c r="H900" s="1" t="str">
        <f>VLOOKUP(tblCong[[#This Row],[distCode]],tblDistrict[#All],2)</f>
        <v>Karkar</v>
      </c>
      <c r="I900" s="1" t="str">
        <f>Seket!I$35</f>
        <v>S01</v>
      </c>
      <c r="J900" s="1" t="str">
        <f>CONCATENATE(tblCong[[#This Row],[distCode]],"-",tblCong[[#This Row],[sCode]])</f>
        <v>D04-S01</v>
      </c>
      <c r="K900" s="1" t="str">
        <f>VLOOKUP(tblCong[[#This Row],[seketCode]],tblSeket[#All],5,FALSE)</f>
        <v>Samoan</v>
      </c>
      <c r="L900" s="1" t="str">
        <f>Paris!L$213</f>
        <v>P01</v>
      </c>
      <c r="M900" s="1" t="str">
        <f>CONCATENATE(tblCong[[#This Row],[seketCode]],"-",tblCong[[#This Row],[pCode]])</f>
        <v>D04-S01-P01</v>
      </c>
      <c r="N900" s="1" t="s">
        <v>1419</v>
      </c>
      <c r="O900" s="1" t="s">
        <v>567</v>
      </c>
      <c r="P900" s="1" t="s">
        <v>1421</v>
      </c>
    </row>
    <row r="901" spans="6:16" x14ac:dyDescent="0.35">
      <c r="F901" s="1" t="str">
        <f>CONCATENATE(tblCong[[#This Row],[parishCode]],"-",tblCong[[#This Row],[kCode]])</f>
        <v>D04-S01-P01-K02</v>
      </c>
      <c r="G901" s="1" t="str">
        <f>Distrik!F$8</f>
        <v>D04</v>
      </c>
      <c r="H901" s="1" t="str">
        <f>VLOOKUP(tblCong[[#This Row],[distCode]],tblDistrict[#All],2)</f>
        <v>Karkar</v>
      </c>
      <c r="I901" s="1" t="str">
        <f>Seket!I$35</f>
        <v>S01</v>
      </c>
      <c r="J901" s="1" t="str">
        <f>CONCATENATE(tblCong[[#This Row],[distCode]],"-",tblCong[[#This Row],[sCode]])</f>
        <v>D04-S01</v>
      </c>
      <c r="K901" s="1" t="str">
        <f>VLOOKUP(tblCong[[#This Row],[seketCode]],tblSeket[#All],5,FALSE)</f>
        <v>Samoan</v>
      </c>
      <c r="L901" s="1" t="str">
        <f>Paris!L$213</f>
        <v>P01</v>
      </c>
      <c r="M901" s="1" t="str">
        <f>CONCATENATE(tblCong[[#This Row],[seketCode]],"-",tblCong[[#This Row],[pCode]])</f>
        <v>D04-S01-P01</v>
      </c>
      <c r="N901" s="1" t="s">
        <v>1419</v>
      </c>
      <c r="O901" s="1" t="s">
        <v>569</v>
      </c>
      <c r="P901" s="1" t="s">
        <v>1422</v>
      </c>
    </row>
    <row r="902" spans="6:16" x14ac:dyDescent="0.35">
      <c r="F902" s="1" t="str">
        <f>CONCATENATE(tblCong[[#This Row],[parishCode]],"-",tblCong[[#This Row],[kCode]])</f>
        <v>D04-S01-P01-K03</v>
      </c>
      <c r="G902" s="1" t="str">
        <f>Distrik!F$8</f>
        <v>D04</v>
      </c>
      <c r="H902" s="1" t="str">
        <f>VLOOKUP(tblCong[[#This Row],[distCode]],tblDistrict[#All],2)</f>
        <v>Karkar</v>
      </c>
      <c r="I902" s="1" t="str">
        <f>Seket!I$35</f>
        <v>S01</v>
      </c>
      <c r="J902" s="1" t="str">
        <f>CONCATENATE(tblCong[[#This Row],[distCode]],"-",tblCong[[#This Row],[sCode]])</f>
        <v>D04-S01</v>
      </c>
      <c r="K902" s="1" t="str">
        <f>VLOOKUP(tblCong[[#This Row],[seketCode]],tblSeket[#All],5,FALSE)</f>
        <v>Samoan</v>
      </c>
      <c r="L902" s="1" t="str">
        <f>Paris!L$213</f>
        <v>P01</v>
      </c>
      <c r="M902" s="1" t="str">
        <f>CONCATENATE(tblCong[[#This Row],[seketCode]],"-",tblCong[[#This Row],[pCode]])</f>
        <v>D04-S01-P01</v>
      </c>
      <c r="N902" s="1" t="s">
        <v>1419</v>
      </c>
      <c r="O902" s="1" t="s">
        <v>571</v>
      </c>
      <c r="P902" s="1" t="s">
        <v>1423</v>
      </c>
    </row>
    <row r="903" spans="6:16" x14ac:dyDescent="0.35">
      <c r="F903" s="1" t="str">
        <f>CONCATENATE(tblCong[[#This Row],[parishCode]],"-",tblCong[[#This Row],[kCode]])</f>
        <v>D04-S01-P01-K04</v>
      </c>
      <c r="G903" s="1" t="str">
        <f>Distrik!F$8</f>
        <v>D04</v>
      </c>
      <c r="H903" s="1" t="str">
        <f>VLOOKUP(tblCong[[#This Row],[distCode]],tblDistrict[#All],2)</f>
        <v>Karkar</v>
      </c>
      <c r="I903" s="1" t="str">
        <f>Seket!I$35</f>
        <v>S01</v>
      </c>
      <c r="J903" s="1" t="str">
        <f>CONCATENATE(tblCong[[#This Row],[distCode]],"-",tblCong[[#This Row],[sCode]])</f>
        <v>D04-S01</v>
      </c>
      <c r="K903" s="1" t="str">
        <f>VLOOKUP(tblCong[[#This Row],[seketCode]],tblSeket[#All],5,FALSE)</f>
        <v>Samoan</v>
      </c>
      <c r="L903" s="1" t="str">
        <f>Paris!L$213</f>
        <v>P01</v>
      </c>
      <c r="M903" s="1" t="str">
        <f>CONCATENATE(tblCong[[#This Row],[seketCode]],"-",tblCong[[#This Row],[pCode]])</f>
        <v>D04-S01-P01</v>
      </c>
      <c r="N903" s="1" t="s">
        <v>1419</v>
      </c>
      <c r="O903" s="1" t="s">
        <v>573</v>
      </c>
      <c r="P903" s="1" t="s">
        <v>1424</v>
      </c>
    </row>
    <row r="904" spans="6:16" x14ac:dyDescent="0.35">
      <c r="F904" s="1" t="str">
        <f>CONCATENATE(tblCong[[#This Row],[parishCode]],"-",tblCong[[#This Row],[kCode]])</f>
        <v>D04-S01-P01-K05</v>
      </c>
      <c r="G904" s="1" t="str">
        <f>Distrik!F$8</f>
        <v>D04</v>
      </c>
      <c r="H904" s="1" t="str">
        <f>VLOOKUP(tblCong[[#This Row],[distCode]],tblDistrict[#All],2)</f>
        <v>Karkar</v>
      </c>
      <c r="I904" s="1" t="str">
        <f>Seket!I$35</f>
        <v>S01</v>
      </c>
      <c r="J904" s="1" t="str">
        <f>CONCATENATE(tblCong[[#This Row],[distCode]],"-",tblCong[[#This Row],[sCode]])</f>
        <v>D04-S01</v>
      </c>
      <c r="K904" s="1" t="str">
        <f>VLOOKUP(tblCong[[#This Row],[seketCode]],tblSeket[#All],5,FALSE)</f>
        <v>Samoan</v>
      </c>
      <c r="L904" s="1" t="str">
        <f>Paris!L$213</f>
        <v>P01</v>
      </c>
      <c r="M904" s="1" t="str">
        <f>CONCATENATE(tblCong[[#This Row],[seketCode]],"-",tblCong[[#This Row],[pCode]])</f>
        <v>D04-S01-P01</v>
      </c>
      <c r="N904" s="1" t="s">
        <v>1419</v>
      </c>
      <c r="O904" s="1" t="s">
        <v>575</v>
      </c>
      <c r="P904" s="1" t="s">
        <v>1425</v>
      </c>
    </row>
    <row r="905" spans="6:16" x14ac:dyDescent="0.35">
      <c r="F905" s="1" t="str">
        <f>CONCATENATE(tblCong[[#This Row],[parishCode]],"-",tblCong[[#This Row],[kCode]])</f>
        <v>D04-S01-P02-K01</v>
      </c>
      <c r="G905" s="1" t="str">
        <f>Distrik!F$8</f>
        <v>D04</v>
      </c>
      <c r="H905" s="1" t="str">
        <f>VLOOKUP(tblCong[[#This Row],[distCode]],tblDistrict[#All],2)</f>
        <v>Karkar</v>
      </c>
      <c r="I905" s="1" t="str">
        <f>Seket!I$35</f>
        <v>S01</v>
      </c>
      <c r="J905" s="1" t="str">
        <f>CONCATENATE(tblCong[[#This Row],[distCode]],"-",tblCong[[#This Row],[sCode]])</f>
        <v>D04-S01</v>
      </c>
      <c r="K905" s="1" t="str">
        <f>VLOOKUP(tblCong[[#This Row],[seketCode]],tblSeket[#All],5,FALSE)</f>
        <v>Samoan</v>
      </c>
      <c r="L905" s="1" t="str">
        <f>Paris!L$214</f>
        <v>P02</v>
      </c>
      <c r="M905" s="1" t="str">
        <f>CONCATENATE(tblCong[[#This Row],[seketCode]],"-",tblCong[[#This Row],[pCode]])</f>
        <v>D04-S01-P02</v>
      </c>
      <c r="N905" s="1" t="str">
        <f>Paris!M$214</f>
        <v>Malagu</v>
      </c>
      <c r="O905" s="1" t="s">
        <v>567</v>
      </c>
      <c r="P905" s="1" t="s">
        <v>1426</v>
      </c>
    </row>
    <row r="906" spans="6:16" x14ac:dyDescent="0.35">
      <c r="F906" s="1" t="str">
        <f>CONCATENATE(tblCong[[#This Row],[parishCode]],"-",tblCong[[#This Row],[kCode]])</f>
        <v>D04-S01-P02-K02</v>
      </c>
      <c r="G906" s="1" t="str">
        <f>Distrik!F$8</f>
        <v>D04</v>
      </c>
      <c r="H906" s="1" t="str">
        <f>VLOOKUP(tblCong[[#This Row],[distCode]],tblDistrict[#All],2)</f>
        <v>Karkar</v>
      </c>
      <c r="I906" s="1" t="str">
        <f>Seket!I$35</f>
        <v>S01</v>
      </c>
      <c r="J906" s="1" t="str">
        <f>CONCATENATE(tblCong[[#This Row],[distCode]],"-",tblCong[[#This Row],[sCode]])</f>
        <v>D04-S01</v>
      </c>
      <c r="K906" s="1" t="str">
        <f>VLOOKUP(tblCong[[#This Row],[seketCode]],tblSeket[#All],5,FALSE)</f>
        <v>Samoan</v>
      </c>
      <c r="L906" s="1" t="str">
        <f>Paris!L$214</f>
        <v>P02</v>
      </c>
      <c r="M906" s="1" t="str">
        <f>CONCATENATE(tblCong[[#This Row],[seketCode]],"-",tblCong[[#This Row],[pCode]])</f>
        <v>D04-S01-P02</v>
      </c>
      <c r="N906" s="1" t="str">
        <f>Paris!M$214</f>
        <v>Malagu</v>
      </c>
      <c r="O906" s="1" t="s">
        <v>569</v>
      </c>
      <c r="P906" s="1" t="s">
        <v>1427</v>
      </c>
    </row>
    <row r="907" spans="6:16" x14ac:dyDescent="0.35">
      <c r="F907" s="1" t="str">
        <f>CONCATENATE(tblCong[[#This Row],[parishCode]],"-",tblCong[[#This Row],[kCode]])</f>
        <v>D04-S01-P02-K03</v>
      </c>
      <c r="G907" s="1" t="str">
        <f>Distrik!F$8</f>
        <v>D04</v>
      </c>
      <c r="H907" s="1" t="str">
        <f>VLOOKUP(tblCong[[#This Row],[distCode]],tblDistrict[#All],2)</f>
        <v>Karkar</v>
      </c>
      <c r="I907" s="1" t="str">
        <f>Seket!I$35</f>
        <v>S01</v>
      </c>
      <c r="J907" s="1" t="str">
        <f>CONCATENATE(tblCong[[#This Row],[distCode]],"-",tblCong[[#This Row],[sCode]])</f>
        <v>D04-S01</v>
      </c>
      <c r="K907" s="1" t="str">
        <f>VLOOKUP(tblCong[[#This Row],[seketCode]],tblSeket[#All],5,FALSE)</f>
        <v>Samoan</v>
      </c>
      <c r="L907" s="1" t="str">
        <f>Paris!L$214</f>
        <v>P02</v>
      </c>
      <c r="M907" s="1" t="str">
        <f>CONCATENATE(tblCong[[#This Row],[seketCode]],"-",tblCong[[#This Row],[pCode]])</f>
        <v>D04-S01-P02</v>
      </c>
      <c r="N907" s="1" t="str">
        <f>Paris!M$214</f>
        <v>Malagu</v>
      </c>
      <c r="O907" s="1" t="s">
        <v>571</v>
      </c>
      <c r="P907" s="1" t="s">
        <v>577</v>
      </c>
    </row>
    <row r="908" spans="6:16" x14ac:dyDescent="0.35">
      <c r="F908" s="1" t="str">
        <f>CONCATENATE(tblCong[[#This Row],[parishCode]],"-",tblCong[[#This Row],[kCode]])</f>
        <v>D04-S01-P03-K01</v>
      </c>
      <c r="G908" s="1" t="str">
        <f>Distrik!F$8</f>
        <v>D04</v>
      </c>
      <c r="H908" s="1" t="str">
        <f>VLOOKUP(tblCong[[#This Row],[distCode]],tblDistrict[#All],2)</f>
        <v>Karkar</v>
      </c>
      <c r="I908" s="1" t="str">
        <f>Seket!I$35</f>
        <v>S01</v>
      </c>
      <c r="J908" s="1" t="str">
        <f>CONCATENATE(tblCong[[#This Row],[distCode]],"-",tblCong[[#This Row],[sCode]])</f>
        <v>D04-S01</v>
      </c>
      <c r="K908" s="1" t="str">
        <f>VLOOKUP(tblCong[[#This Row],[seketCode]],tblSeket[#All],5,FALSE)</f>
        <v>Samoan</v>
      </c>
      <c r="L908" s="1" t="str">
        <f>Paris!L$215</f>
        <v>P03</v>
      </c>
      <c r="M908" s="1" t="str">
        <f>CONCATENATE(tblCong[[#This Row],[seketCode]],"-",tblCong[[#This Row],[pCode]])</f>
        <v>D04-S01-P03</v>
      </c>
      <c r="N908" s="1" t="str">
        <f>Paris!M$215</f>
        <v>Narer</v>
      </c>
      <c r="O908" s="1" t="s">
        <v>567</v>
      </c>
      <c r="P908" s="1" t="s">
        <v>1428</v>
      </c>
    </row>
    <row r="909" spans="6:16" x14ac:dyDescent="0.35">
      <c r="F909" s="1" t="str">
        <f>CONCATENATE(tblCong[[#This Row],[parishCode]],"-",tblCong[[#This Row],[kCode]])</f>
        <v>D04-S01-P03-K02</v>
      </c>
      <c r="G909" s="1" t="str">
        <f>Distrik!F$8</f>
        <v>D04</v>
      </c>
      <c r="H909" s="1" t="str">
        <f>VLOOKUP(tblCong[[#This Row],[distCode]],tblDistrict[#All],2)</f>
        <v>Karkar</v>
      </c>
      <c r="I909" s="1" t="str">
        <f>Seket!I$35</f>
        <v>S01</v>
      </c>
      <c r="J909" s="1" t="str">
        <f>CONCATENATE(tblCong[[#This Row],[distCode]],"-",tblCong[[#This Row],[sCode]])</f>
        <v>D04-S01</v>
      </c>
      <c r="K909" s="1" t="str">
        <f>VLOOKUP(tblCong[[#This Row],[seketCode]],tblSeket[#All],5,FALSE)</f>
        <v>Samoan</v>
      </c>
      <c r="L909" s="1" t="str">
        <f>Paris!L$215</f>
        <v>P03</v>
      </c>
      <c r="M909" s="1" t="str">
        <f>CONCATENATE(tblCong[[#This Row],[seketCode]],"-",tblCong[[#This Row],[pCode]])</f>
        <v>D04-S01-P03</v>
      </c>
      <c r="N909" s="1" t="str">
        <f>Paris!M$215</f>
        <v>Narer</v>
      </c>
      <c r="O909" s="1" t="s">
        <v>569</v>
      </c>
      <c r="P909" s="1" t="s">
        <v>1429</v>
      </c>
    </row>
    <row r="910" spans="6:16" x14ac:dyDescent="0.35">
      <c r="F910" s="1" t="str">
        <f>CONCATENATE(tblCong[[#This Row],[parishCode]],"-",tblCong[[#This Row],[kCode]])</f>
        <v>D04-S01-P04-K01</v>
      </c>
      <c r="G910" s="1" t="str">
        <f>Distrik!F$8</f>
        <v>D04</v>
      </c>
      <c r="H910" s="1" t="str">
        <f>VLOOKUP(tblCong[[#This Row],[distCode]],tblDistrict[#All],2)</f>
        <v>Karkar</v>
      </c>
      <c r="I910" s="1" t="str">
        <f>Seket!I$35</f>
        <v>S01</v>
      </c>
      <c r="J910" s="1" t="str">
        <f>CONCATENATE(tblCong[[#This Row],[distCode]],"-",tblCong[[#This Row],[sCode]])</f>
        <v>D04-S01</v>
      </c>
      <c r="K910" s="1" t="str">
        <f>VLOOKUP(tblCong[[#This Row],[seketCode]],tblSeket[#All],5,FALSE)</f>
        <v>Samoan</v>
      </c>
      <c r="L910" s="1" t="str">
        <f>Paris!L$216</f>
        <v>P04</v>
      </c>
      <c r="M910" s="1" t="str">
        <f>CONCATENATE(tblCong[[#This Row],[seketCode]],"-",tblCong[[#This Row],[pCode]])</f>
        <v>D04-S01-P04</v>
      </c>
      <c r="N910" s="1" t="str">
        <f>Paris!M$216</f>
        <v>Kiti</v>
      </c>
      <c r="O910" s="1" t="s">
        <v>567</v>
      </c>
      <c r="P910" s="1" t="s">
        <v>1430</v>
      </c>
    </row>
    <row r="911" spans="6:16" x14ac:dyDescent="0.35">
      <c r="F911" s="1" t="str">
        <f>CONCATENATE(tblCong[[#This Row],[parishCode]],"-",tblCong[[#This Row],[kCode]])</f>
        <v>D04-S01-P04-K02</v>
      </c>
      <c r="G911" s="1" t="str">
        <f>Distrik!F$8</f>
        <v>D04</v>
      </c>
      <c r="H911" s="1" t="str">
        <f>VLOOKUP(tblCong[[#This Row],[distCode]],tblDistrict[#All],2)</f>
        <v>Karkar</v>
      </c>
      <c r="I911" s="1" t="str">
        <f>Seket!I$35</f>
        <v>S01</v>
      </c>
      <c r="J911" s="1" t="str">
        <f>CONCATENATE(tblCong[[#This Row],[distCode]],"-",tblCong[[#This Row],[sCode]])</f>
        <v>D04-S01</v>
      </c>
      <c r="K911" s="1" t="str">
        <f>VLOOKUP(tblCong[[#This Row],[seketCode]],tblSeket[#All],5,FALSE)</f>
        <v>Samoan</v>
      </c>
      <c r="L911" s="1" t="str">
        <f>Paris!L$216</f>
        <v>P04</v>
      </c>
      <c r="M911" s="1" t="str">
        <f>CONCATENATE(tblCong[[#This Row],[seketCode]],"-",tblCong[[#This Row],[pCode]])</f>
        <v>D04-S01-P04</v>
      </c>
      <c r="N911" s="1" t="str">
        <f>Paris!M$216</f>
        <v>Kiti</v>
      </c>
      <c r="O911" s="1" t="s">
        <v>569</v>
      </c>
      <c r="P911" s="1" t="s">
        <v>1431</v>
      </c>
    </row>
    <row r="912" spans="6:16" x14ac:dyDescent="0.35">
      <c r="F912" s="1" t="str">
        <f>CONCATENATE(tblCong[[#This Row],[parishCode]],"-",tblCong[[#This Row],[kCode]])</f>
        <v>D04-S01-P04-K03</v>
      </c>
      <c r="G912" s="1" t="str">
        <f>Distrik!F$8</f>
        <v>D04</v>
      </c>
      <c r="H912" s="1" t="str">
        <f>VLOOKUP(tblCong[[#This Row],[distCode]],tblDistrict[#All],2)</f>
        <v>Karkar</v>
      </c>
      <c r="I912" s="1" t="str">
        <f>Seket!I$35</f>
        <v>S01</v>
      </c>
      <c r="J912" s="1" t="str">
        <f>CONCATENATE(tblCong[[#This Row],[distCode]],"-",tblCong[[#This Row],[sCode]])</f>
        <v>D04-S01</v>
      </c>
      <c r="K912" s="1" t="str">
        <f>VLOOKUP(tblCong[[#This Row],[seketCode]],tblSeket[#All],5,FALSE)</f>
        <v>Samoan</v>
      </c>
      <c r="L912" s="1" t="str">
        <f>Paris!L$216</f>
        <v>P04</v>
      </c>
      <c r="M912" s="1" t="str">
        <f>CONCATENATE(tblCong[[#This Row],[seketCode]],"-",tblCong[[#This Row],[pCode]])</f>
        <v>D04-S01-P04</v>
      </c>
      <c r="N912" s="1" t="str">
        <f>Paris!M$216</f>
        <v>Kiti</v>
      </c>
      <c r="O912" s="1" t="s">
        <v>571</v>
      </c>
      <c r="P912" s="1" t="s">
        <v>1432</v>
      </c>
    </row>
    <row r="913" spans="6:16" x14ac:dyDescent="0.35">
      <c r="F913" s="1" t="str">
        <f>CONCATENATE(tblCong[[#This Row],[parishCode]],"-",tblCong[[#This Row],[kCode]])</f>
        <v>D04-S01-P04-K04</v>
      </c>
      <c r="G913" s="1" t="str">
        <f>Distrik!F$8</f>
        <v>D04</v>
      </c>
      <c r="H913" s="1" t="str">
        <f>VLOOKUP(tblCong[[#This Row],[distCode]],tblDistrict[#All],2)</f>
        <v>Karkar</v>
      </c>
      <c r="I913" s="1" t="str">
        <f>Seket!I$35</f>
        <v>S01</v>
      </c>
      <c r="J913" s="1" t="str">
        <f>CONCATENATE(tblCong[[#This Row],[distCode]],"-",tblCong[[#This Row],[sCode]])</f>
        <v>D04-S01</v>
      </c>
      <c r="K913" s="1" t="str">
        <f>VLOOKUP(tblCong[[#This Row],[seketCode]],tblSeket[#All],5,FALSE)</f>
        <v>Samoan</v>
      </c>
      <c r="L913" s="1" t="str">
        <f>Paris!L$216</f>
        <v>P04</v>
      </c>
      <c r="M913" s="1" t="str">
        <f>CONCATENATE(tblCong[[#This Row],[seketCode]],"-",tblCong[[#This Row],[pCode]])</f>
        <v>D04-S01-P04</v>
      </c>
      <c r="N913" s="1" t="str">
        <f>Paris!M$216</f>
        <v>Kiti</v>
      </c>
      <c r="O913" s="1" t="s">
        <v>573</v>
      </c>
      <c r="P913" s="1" t="s">
        <v>1433</v>
      </c>
    </row>
    <row r="914" spans="6:16" x14ac:dyDescent="0.35">
      <c r="F914" s="1" t="str">
        <f>CONCATENATE(tblCong[[#This Row],[parishCode]],"-",tblCong[[#This Row],[kCode]])</f>
        <v>D04-S01-P05-K01</v>
      </c>
      <c r="G914" s="1" t="str">
        <f>Distrik!F$8</f>
        <v>D04</v>
      </c>
      <c r="H914" s="1" t="str">
        <f>VLOOKUP(tblCong[[#This Row],[distCode]],tblDistrict[#All],2)</f>
        <v>Karkar</v>
      </c>
      <c r="I914" s="1" t="str">
        <f>Seket!I$35</f>
        <v>S01</v>
      </c>
      <c r="J914" s="1" t="str">
        <f>CONCATENATE(tblCong[[#This Row],[distCode]],"-",tblCong[[#This Row],[sCode]])</f>
        <v>D04-S01</v>
      </c>
      <c r="K914" s="1" t="str">
        <f>VLOOKUP(tblCong[[#This Row],[seketCode]],tblSeket[#All],5,FALSE)</f>
        <v>Samoan</v>
      </c>
      <c r="L914" s="1" t="str">
        <f>Paris!L$217</f>
        <v>P05</v>
      </c>
      <c r="M914" s="1" t="str">
        <f>CONCATENATE(tblCong[[#This Row],[seketCode]],"-",tblCong[[#This Row],[pCode]])</f>
        <v>D04-S01-P05</v>
      </c>
      <c r="N914" s="1" t="str">
        <f>Paris!M$217</f>
        <v>Miak</v>
      </c>
      <c r="O914" s="1" t="s">
        <v>567</v>
      </c>
      <c r="P914" s="1" t="s">
        <v>1434</v>
      </c>
    </row>
    <row r="915" spans="6:16" x14ac:dyDescent="0.35">
      <c r="F915" s="1" t="str">
        <f>CONCATENATE(tblCong[[#This Row],[parishCode]],"-",tblCong[[#This Row],[kCode]])</f>
        <v>D04-S01-P05-K02</v>
      </c>
      <c r="G915" s="1" t="str">
        <f>Distrik!F$8</f>
        <v>D04</v>
      </c>
      <c r="H915" s="1" t="str">
        <f>VLOOKUP(tblCong[[#This Row],[distCode]],tblDistrict[#All],2)</f>
        <v>Karkar</v>
      </c>
      <c r="I915" s="1" t="str">
        <f>Seket!I$35</f>
        <v>S01</v>
      </c>
      <c r="J915" s="1" t="str">
        <f>CONCATENATE(tblCong[[#This Row],[distCode]],"-",tblCong[[#This Row],[sCode]])</f>
        <v>D04-S01</v>
      </c>
      <c r="K915" s="1" t="str">
        <f>VLOOKUP(tblCong[[#This Row],[seketCode]],tblSeket[#All],5,FALSE)</f>
        <v>Samoan</v>
      </c>
      <c r="L915" s="1" t="str">
        <f>Paris!L$217</f>
        <v>P05</v>
      </c>
      <c r="M915" s="1" t="str">
        <f>CONCATENATE(tblCong[[#This Row],[seketCode]],"-",tblCong[[#This Row],[pCode]])</f>
        <v>D04-S01-P05</v>
      </c>
      <c r="N915" s="1" t="str">
        <f>Paris!M$217</f>
        <v>Miak</v>
      </c>
      <c r="O915" s="1" t="s">
        <v>569</v>
      </c>
      <c r="P915" s="1" t="s">
        <v>1435</v>
      </c>
    </row>
    <row r="916" spans="6:16" x14ac:dyDescent="0.35">
      <c r="F916" s="1" t="str">
        <f>CONCATENATE(tblCong[[#This Row],[parishCode]],"-",tblCong[[#This Row],[kCode]])</f>
        <v>D04-S01-P06-K01</v>
      </c>
      <c r="G916" s="1" t="str">
        <f>Distrik!F$8</f>
        <v>D04</v>
      </c>
      <c r="H916" s="1" t="str">
        <f>VLOOKUP(tblCong[[#This Row],[distCode]],tblDistrict[#All],2)</f>
        <v>Karkar</v>
      </c>
      <c r="I916" s="1" t="str">
        <f>Seket!I$35</f>
        <v>S01</v>
      </c>
      <c r="J916" s="1" t="str">
        <f>CONCATENATE(tblCong[[#This Row],[distCode]],"-",tblCong[[#This Row],[sCode]])</f>
        <v>D04-S01</v>
      </c>
      <c r="K916" s="1" t="str">
        <f>VLOOKUP(tblCong[[#This Row],[seketCode]],tblSeket[#All],5,FALSE)</f>
        <v>Samoan</v>
      </c>
      <c r="L916" s="1" t="str">
        <f>Paris!L$218</f>
        <v>P06</v>
      </c>
      <c r="M916" s="1" t="str">
        <f>CONCATENATE(tblCong[[#This Row],[seketCode]],"-",tblCong[[#This Row],[pCode]])</f>
        <v>D04-S01-P06</v>
      </c>
      <c r="N916" s="1" t="str">
        <f>Paris!M$218</f>
        <v>Makitu</v>
      </c>
      <c r="O916" s="1" t="s">
        <v>567</v>
      </c>
      <c r="P916" s="1" t="s">
        <v>1436</v>
      </c>
    </row>
    <row r="917" spans="6:16" x14ac:dyDescent="0.35">
      <c r="F917" s="1" t="str">
        <f>CONCATENATE(tblCong[[#This Row],[parishCode]],"-",tblCong[[#This Row],[kCode]])</f>
        <v>D04-S01-P06-K02</v>
      </c>
      <c r="G917" s="1" t="str">
        <f>Distrik!F$8</f>
        <v>D04</v>
      </c>
      <c r="H917" s="1" t="str">
        <f>VLOOKUP(tblCong[[#This Row],[distCode]],tblDistrict[#All],2)</f>
        <v>Karkar</v>
      </c>
      <c r="I917" s="1" t="str">
        <f>Seket!I$35</f>
        <v>S01</v>
      </c>
      <c r="J917" s="1" t="str">
        <f>CONCATENATE(tblCong[[#This Row],[distCode]],"-",tblCong[[#This Row],[sCode]])</f>
        <v>D04-S01</v>
      </c>
      <c r="K917" s="1" t="str">
        <f>VLOOKUP(tblCong[[#This Row],[seketCode]],tblSeket[#All],5,FALSE)</f>
        <v>Samoan</v>
      </c>
      <c r="L917" s="1" t="str">
        <f>Paris!L$218</f>
        <v>P06</v>
      </c>
      <c r="M917" s="1" t="str">
        <f>CONCATENATE(tblCong[[#This Row],[seketCode]],"-",tblCong[[#This Row],[pCode]])</f>
        <v>D04-S01-P06</v>
      </c>
      <c r="N917" s="1" t="str">
        <f>Paris!M$218</f>
        <v>Makitu</v>
      </c>
      <c r="O917" s="1" t="s">
        <v>569</v>
      </c>
      <c r="P917" s="1" t="s">
        <v>1437</v>
      </c>
    </row>
    <row r="918" spans="6:16" x14ac:dyDescent="0.35">
      <c r="F918" s="1" t="str">
        <f>CONCATENATE(tblCong[[#This Row],[parishCode]],"-",tblCong[[#This Row],[kCode]])</f>
        <v>D04-S01-P06-K03</v>
      </c>
      <c r="G918" s="1" t="str">
        <f>Distrik!F$8</f>
        <v>D04</v>
      </c>
      <c r="H918" s="1" t="str">
        <f>VLOOKUP(tblCong[[#This Row],[distCode]],tblDistrict[#All],2)</f>
        <v>Karkar</v>
      </c>
      <c r="I918" s="1" t="str">
        <f>Seket!I$35</f>
        <v>S01</v>
      </c>
      <c r="J918" s="1" t="str">
        <f>CONCATENATE(tblCong[[#This Row],[distCode]],"-",tblCong[[#This Row],[sCode]])</f>
        <v>D04-S01</v>
      </c>
      <c r="K918" s="1" t="str">
        <f>VLOOKUP(tblCong[[#This Row],[seketCode]],tblSeket[#All],5,FALSE)</f>
        <v>Samoan</v>
      </c>
      <c r="L918" s="1" t="str">
        <f>Paris!L$218</f>
        <v>P06</v>
      </c>
      <c r="M918" s="1" t="str">
        <f>CONCATENATE(tblCong[[#This Row],[seketCode]],"-",tblCong[[#This Row],[pCode]])</f>
        <v>D04-S01-P06</v>
      </c>
      <c r="N918" s="1" t="str">
        <f>Paris!M$218</f>
        <v>Makitu</v>
      </c>
      <c r="O918" s="1" t="s">
        <v>571</v>
      </c>
      <c r="P918" s="1" t="s">
        <v>1438</v>
      </c>
    </row>
    <row r="919" spans="6:16" x14ac:dyDescent="0.35">
      <c r="F919" s="1" t="str">
        <f>CONCATENATE(tblCong[[#This Row],[parishCode]],"-",tblCong[[#This Row],[kCode]])</f>
        <v>D04-S01-P06-K04</v>
      </c>
      <c r="G919" s="1" t="str">
        <f>Distrik!F$8</f>
        <v>D04</v>
      </c>
      <c r="H919" s="1" t="str">
        <f>VLOOKUP(tblCong[[#This Row],[distCode]],tblDistrict[#All],2)</f>
        <v>Karkar</v>
      </c>
      <c r="I919" s="1" t="str">
        <f>Seket!I$35</f>
        <v>S01</v>
      </c>
      <c r="J919" s="1" t="str">
        <f>CONCATENATE(tblCong[[#This Row],[distCode]],"-",tblCong[[#This Row],[sCode]])</f>
        <v>D04-S01</v>
      </c>
      <c r="K919" s="1" t="str">
        <f>VLOOKUP(tblCong[[#This Row],[seketCode]],tblSeket[#All],5,FALSE)</f>
        <v>Samoan</v>
      </c>
      <c r="L919" s="1" t="str">
        <f>Paris!L$218</f>
        <v>P06</v>
      </c>
      <c r="M919" s="1" t="str">
        <f>CONCATENATE(tblCong[[#This Row],[seketCode]],"-",tblCong[[#This Row],[pCode]])</f>
        <v>D04-S01-P06</v>
      </c>
      <c r="N919" s="1" t="str">
        <f>Paris!M$218</f>
        <v>Makitu</v>
      </c>
      <c r="O919" s="1" t="s">
        <v>573</v>
      </c>
      <c r="P919" s="1" t="s">
        <v>1439</v>
      </c>
    </row>
    <row r="920" spans="6:16" x14ac:dyDescent="0.35">
      <c r="F920" s="1" t="str">
        <f>CONCATENATE(tblCong[[#This Row],[parishCode]],"-",tblCong[[#This Row],[kCode]])</f>
        <v>D04-S01-P06-K05</v>
      </c>
      <c r="G920" s="1" t="str">
        <f>Distrik!F$8</f>
        <v>D04</v>
      </c>
      <c r="H920" s="1" t="str">
        <f>VLOOKUP(tblCong[[#This Row],[distCode]],tblDistrict[#All],2)</f>
        <v>Karkar</v>
      </c>
      <c r="I920" s="1" t="str">
        <f>Seket!I$35</f>
        <v>S01</v>
      </c>
      <c r="J920" s="1" t="str">
        <f>CONCATENATE(tblCong[[#This Row],[distCode]],"-",tblCong[[#This Row],[sCode]])</f>
        <v>D04-S01</v>
      </c>
      <c r="K920" s="1" t="str">
        <f>VLOOKUP(tblCong[[#This Row],[seketCode]],tblSeket[#All],5,FALSE)</f>
        <v>Samoan</v>
      </c>
      <c r="L920" s="1" t="str">
        <f>Paris!L$218</f>
        <v>P06</v>
      </c>
      <c r="M920" s="1" t="str">
        <f>CONCATENATE(tblCong[[#This Row],[seketCode]],"-",tblCong[[#This Row],[pCode]])</f>
        <v>D04-S01-P06</v>
      </c>
      <c r="N920" s="1" t="str">
        <f>Paris!M$218</f>
        <v>Makitu</v>
      </c>
      <c r="O920" s="1" t="s">
        <v>575</v>
      </c>
      <c r="P920" s="1" t="s">
        <v>1440</v>
      </c>
    </row>
    <row r="921" spans="6:16" x14ac:dyDescent="0.35">
      <c r="F921" s="1" t="str">
        <f>CONCATENATE(tblCong[[#This Row],[parishCode]],"-",tblCong[[#This Row],[kCode]])</f>
        <v>D04-S02-P01-K01</v>
      </c>
      <c r="G921" s="1" t="str">
        <f>Distrik!F$8</f>
        <v>D04</v>
      </c>
      <c r="H921" s="1" t="str">
        <f>VLOOKUP(tblCong[[#This Row],[distCode]],tblDistrict[#All],2)</f>
        <v>Karkar</v>
      </c>
      <c r="I921" s="1" t="str">
        <f>Seket!I$36</f>
        <v>S02</v>
      </c>
      <c r="J921" s="1" t="str">
        <f>CONCATENATE(tblCong[[#This Row],[distCode]],"-",tblCong[[#This Row],[sCode]])</f>
        <v>D04-S02</v>
      </c>
      <c r="K921" s="1" t="str">
        <f>VLOOKUP(tblCong[[#This Row],[seketCode]],tblSeket[#All],5,FALSE)</f>
        <v>Bumsol</v>
      </c>
      <c r="L921" s="1" t="str">
        <f>Paris!L$219</f>
        <v>P01</v>
      </c>
      <c r="M921" s="1" t="str">
        <f>CONCATENATE(tblCong[[#This Row],[seketCode]],"-",tblCong[[#This Row],[pCode]])</f>
        <v>D04-S02-P01</v>
      </c>
      <c r="N921" s="1" t="str">
        <f>Paris!M$219</f>
        <v>Hiru</v>
      </c>
      <c r="O921" s="1" t="s">
        <v>567</v>
      </c>
      <c r="P921" s="1" t="s">
        <v>1441</v>
      </c>
    </row>
    <row r="922" spans="6:16" x14ac:dyDescent="0.35">
      <c r="F922" s="1" t="str">
        <f>CONCATENATE(tblCong[[#This Row],[parishCode]],"-",tblCong[[#This Row],[kCode]])</f>
        <v>D04-S02-P02-K01</v>
      </c>
      <c r="G922" s="1" t="str">
        <f>Distrik!F$8</f>
        <v>D04</v>
      </c>
      <c r="H922" s="1" t="str">
        <f>VLOOKUP(tblCong[[#This Row],[distCode]],tblDistrict[#All],2)</f>
        <v>Karkar</v>
      </c>
      <c r="I922" s="1" t="str">
        <f>Seket!I$36</f>
        <v>S02</v>
      </c>
      <c r="J922" s="1" t="str">
        <f>CONCATENATE(tblCong[[#This Row],[distCode]],"-",tblCong[[#This Row],[sCode]])</f>
        <v>D04-S02</v>
      </c>
      <c r="K922" s="1" t="str">
        <f>VLOOKUP(tblCong[[#This Row],[seketCode]],tblSeket[#All],5,FALSE)</f>
        <v>Bumsol</v>
      </c>
      <c r="L922" s="1" t="str">
        <f>Paris!L$220</f>
        <v>P02</v>
      </c>
      <c r="M922" s="1" t="str">
        <f>CONCATENATE(tblCong[[#This Row],[seketCode]],"-",tblCong[[#This Row],[pCode]])</f>
        <v>D04-S02-P02</v>
      </c>
      <c r="N922" s="1" t="str">
        <f>Paris!M$220</f>
        <v>Titiri</v>
      </c>
      <c r="O922" s="1" t="s">
        <v>567</v>
      </c>
      <c r="P922" s="1" t="s">
        <v>1442</v>
      </c>
    </row>
    <row r="923" spans="6:16" x14ac:dyDescent="0.35">
      <c r="F923" s="1" t="str">
        <f>CONCATENATE(tblCong[[#This Row],[parishCode]],"-",tblCong[[#This Row],[kCode]])</f>
        <v>D04-S02-P03-K01</v>
      </c>
      <c r="G923" s="1" t="str">
        <f>Distrik!F$8</f>
        <v>D04</v>
      </c>
      <c r="H923" s="1" t="str">
        <f>VLOOKUP(tblCong[[#This Row],[distCode]],tblDistrict[#All],2)</f>
        <v>Karkar</v>
      </c>
      <c r="I923" s="1" t="str">
        <f>Seket!I$36</f>
        <v>S02</v>
      </c>
      <c r="J923" s="1" t="str">
        <f>CONCATENATE(tblCong[[#This Row],[distCode]],"-",tblCong[[#This Row],[sCode]])</f>
        <v>D04-S02</v>
      </c>
      <c r="K923" s="1" t="str">
        <f>VLOOKUP(tblCong[[#This Row],[seketCode]],tblSeket[#All],5,FALSE)</f>
        <v>Bumsol</v>
      </c>
      <c r="L923" s="1" t="str">
        <f>Paris!L$221</f>
        <v>P03</v>
      </c>
      <c r="M923" s="1" t="str">
        <f>CONCATENATE(tblCong[[#This Row],[seketCode]],"-",tblCong[[#This Row],[pCode]])</f>
        <v>D04-S02-P03</v>
      </c>
      <c r="N923" s="1" t="str">
        <f>Paris!M$221</f>
        <v>Yakam</v>
      </c>
      <c r="O923" s="1" t="s">
        <v>567</v>
      </c>
      <c r="P923" s="1" t="s">
        <v>1443</v>
      </c>
    </row>
    <row r="924" spans="6:16" x14ac:dyDescent="0.35">
      <c r="F924" s="1" t="str">
        <f>CONCATENATE(tblCong[[#This Row],[parishCode]],"-",tblCong[[#This Row],[kCode]])</f>
        <v>D04-S02-P03-K02</v>
      </c>
      <c r="G924" s="1" t="str">
        <f>Distrik!F$8</f>
        <v>D04</v>
      </c>
      <c r="H924" s="1" t="str">
        <f>VLOOKUP(tblCong[[#This Row],[distCode]],tblDistrict[#All],2)</f>
        <v>Karkar</v>
      </c>
      <c r="I924" s="1" t="str">
        <f>Seket!I$36</f>
        <v>S02</v>
      </c>
      <c r="J924" s="1" t="str">
        <f>CONCATENATE(tblCong[[#This Row],[distCode]],"-",tblCong[[#This Row],[sCode]])</f>
        <v>D04-S02</v>
      </c>
      <c r="K924" s="1" t="str">
        <f>VLOOKUP(tblCong[[#This Row],[seketCode]],tblSeket[#All],5,FALSE)</f>
        <v>Bumsol</v>
      </c>
      <c r="L924" s="1" t="str">
        <f>Paris!L$221</f>
        <v>P03</v>
      </c>
      <c r="M924" s="1" t="str">
        <f>CONCATENATE(tblCong[[#This Row],[seketCode]],"-",tblCong[[#This Row],[pCode]])</f>
        <v>D04-S02-P03</v>
      </c>
      <c r="N924" s="1" t="str">
        <f>Paris!M$221</f>
        <v>Yakam</v>
      </c>
      <c r="O924" s="1" t="s">
        <v>569</v>
      </c>
      <c r="P924" s="1" t="s">
        <v>1444</v>
      </c>
    </row>
    <row r="925" spans="6:16" x14ac:dyDescent="0.35">
      <c r="F925" s="1" t="str">
        <f>CONCATENATE(tblCong[[#This Row],[parishCode]],"-",tblCong[[#This Row],[kCode]])</f>
        <v>D04-S02-P04-K01</v>
      </c>
      <c r="G925" s="1" t="str">
        <f>Distrik!F$8</f>
        <v>D04</v>
      </c>
      <c r="H925" s="1" t="str">
        <f>VLOOKUP(tblCong[[#This Row],[distCode]],tblDistrict[#All],2)</f>
        <v>Karkar</v>
      </c>
      <c r="I925" s="1" t="str">
        <f>Seket!I$36</f>
        <v>S02</v>
      </c>
      <c r="J925" s="1" t="str">
        <f>CONCATENATE(tblCong[[#This Row],[distCode]],"-",tblCong[[#This Row],[sCode]])</f>
        <v>D04-S02</v>
      </c>
      <c r="K925" s="1" t="str">
        <f>VLOOKUP(tblCong[[#This Row],[seketCode]],tblSeket[#All],5,FALSE)</f>
        <v>Bumsol</v>
      </c>
      <c r="L925" s="1" t="str">
        <f>Paris!L$222</f>
        <v>P04</v>
      </c>
      <c r="M925" s="1" t="str">
        <f>CONCATENATE(tblCong[[#This Row],[seketCode]],"-",tblCong[[#This Row],[pCode]])</f>
        <v>D04-S02-P04</v>
      </c>
      <c r="N925" s="1" t="str">
        <f>Paris!M$222</f>
        <v>Heba</v>
      </c>
      <c r="O925" s="1" t="s">
        <v>567</v>
      </c>
      <c r="P925" s="1" t="s">
        <v>1445</v>
      </c>
    </row>
    <row r="926" spans="6:16" x14ac:dyDescent="0.35">
      <c r="F926" s="1" t="str">
        <f>CONCATENATE(tblCong[[#This Row],[parishCode]],"-",tblCong[[#This Row],[kCode]])</f>
        <v>D04-S02-P05-K01</v>
      </c>
      <c r="G926" s="1" t="str">
        <f>Distrik!F$8</f>
        <v>D04</v>
      </c>
      <c r="H926" s="1" t="str">
        <f>VLOOKUP(tblCong[[#This Row],[distCode]],tblDistrict[#All],2)</f>
        <v>Karkar</v>
      </c>
      <c r="I926" s="1" t="str">
        <f>Seket!I$36</f>
        <v>S02</v>
      </c>
      <c r="J926" s="1" t="str">
        <f>CONCATENATE(tblCong[[#This Row],[distCode]],"-",tblCong[[#This Row],[sCode]])</f>
        <v>D04-S02</v>
      </c>
      <c r="K926" s="1" t="str">
        <f>VLOOKUP(tblCong[[#This Row],[seketCode]],tblSeket[#All],5,FALSE)</f>
        <v>Bumsol</v>
      </c>
      <c r="L926" s="1" t="str">
        <f>Paris!L$223</f>
        <v>P05</v>
      </c>
      <c r="M926" s="1" t="str">
        <f>CONCATENATE(tblCong[[#This Row],[seketCode]],"-",tblCong[[#This Row],[pCode]])</f>
        <v>D04-S02-P05</v>
      </c>
      <c r="N926" s="1" t="str">
        <f>Paris!M$223</f>
        <v>Miro</v>
      </c>
      <c r="O926" s="1" t="s">
        <v>567</v>
      </c>
      <c r="P926" s="1" t="s">
        <v>1446</v>
      </c>
    </row>
    <row r="927" spans="6:16" x14ac:dyDescent="0.35">
      <c r="F927" s="1" t="str">
        <f>CONCATENATE(tblCong[[#This Row],[parishCode]],"-",tblCong[[#This Row],[kCode]])</f>
        <v>D04-S02-P06-K01</v>
      </c>
      <c r="G927" s="1" t="str">
        <f>Distrik!F$8</f>
        <v>D04</v>
      </c>
      <c r="H927" s="1" t="str">
        <f>VLOOKUP(tblCong[[#This Row],[distCode]],tblDistrict[#All],2)</f>
        <v>Karkar</v>
      </c>
      <c r="I927" s="1" t="str">
        <f>Seket!I$36</f>
        <v>S02</v>
      </c>
      <c r="J927" s="1" t="str">
        <f>CONCATENATE(tblCong[[#This Row],[distCode]],"-",tblCong[[#This Row],[sCode]])</f>
        <v>D04-S02</v>
      </c>
      <c r="K927" s="1" t="str">
        <f>VLOOKUP(tblCong[[#This Row],[seketCode]],tblSeket[#All],5,FALSE)</f>
        <v>Bumsol</v>
      </c>
      <c r="L927" s="1" t="str">
        <f>Paris!L$224</f>
        <v>P06</v>
      </c>
      <c r="M927" s="1" t="str">
        <f>CONCATENATE(tblCong[[#This Row],[seketCode]],"-",tblCong[[#This Row],[pCode]])</f>
        <v>D04-S02-P06</v>
      </c>
      <c r="N927" s="1" t="str">
        <f>Paris!M$224</f>
        <v>Mamak</v>
      </c>
      <c r="O927" s="1" t="s">
        <v>567</v>
      </c>
      <c r="P927" s="1" t="s">
        <v>1447</v>
      </c>
    </row>
    <row r="928" spans="6:16" x14ac:dyDescent="0.35">
      <c r="F928" s="1" t="str">
        <f>CONCATENATE(tblCong[[#This Row],[parishCode]],"-",tblCong[[#This Row],[kCode]])</f>
        <v>D04-S02-P06-K02</v>
      </c>
      <c r="G928" s="1" t="str">
        <f>Distrik!F$8</f>
        <v>D04</v>
      </c>
      <c r="H928" s="1" t="str">
        <f>VLOOKUP(tblCong[[#This Row],[distCode]],tblDistrict[#All],2)</f>
        <v>Karkar</v>
      </c>
      <c r="I928" s="1" t="str">
        <f>Seket!I$36</f>
        <v>S02</v>
      </c>
      <c r="J928" s="1" t="str">
        <f>CONCATENATE(tblCong[[#This Row],[distCode]],"-",tblCong[[#This Row],[sCode]])</f>
        <v>D04-S02</v>
      </c>
      <c r="K928" s="1" t="str">
        <f>VLOOKUP(tblCong[[#This Row],[seketCode]],tblSeket[#All],5,FALSE)</f>
        <v>Bumsol</v>
      </c>
      <c r="L928" s="1" t="str">
        <f>Paris!L$224</f>
        <v>P06</v>
      </c>
      <c r="M928" s="1" t="str">
        <f>CONCATENATE(tblCong[[#This Row],[seketCode]],"-",tblCong[[#This Row],[pCode]])</f>
        <v>D04-S02-P06</v>
      </c>
      <c r="N928" s="1" t="str">
        <f>Paris!M$224</f>
        <v>Mamak</v>
      </c>
      <c r="O928" s="1" t="s">
        <v>569</v>
      </c>
      <c r="P928" s="1" t="s">
        <v>1448</v>
      </c>
    </row>
    <row r="929" spans="6:16" x14ac:dyDescent="0.35">
      <c r="F929" s="1" t="str">
        <f>CONCATENATE(tblCong[[#This Row],[parishCode]],"-",tblCong[[#This Row],[kCode]])</f>
        <v>D04-S02-P07-K01</v>
      </c>
      <c r="G929" s="1" t="str">
        <f>Distrik!F$8</f>
        <v>D04</v>
      </c>
      <c r="H929" s="1" t="str">
        <f>VLOOKUP(tblCong[[#This Row],[distCode]],tblDistrict[#All],2)</f>
        <v>Karkar</v>
      </c>
      <c r="I929" s="1" t="str">
        <f>Seket!I$36</f>
        <v>S02</v>
      </c>
      <c r="J929" s="1" t="str">
        <f>CONCATENATE(tblCong[[#This Row],[distCode]],"-",tblCong[[#This Row],[sCode]])</f>
        <v>D04-S02</v>
      </c>
      <c r="K929" s="1" t="str">
        <f>VLOOKUP(tblCong[[#This Row],[seketCode]],tblSeket[#All],5,FALSE)</f>
        <v>Bumsol</v>
      </c>
      <c r="L929" s="1" t="str">
        <f>Paris!L$225</f>
        <v>P07</v>
      </c>
      <c r="M929" s="1" t="str">
        <f>CONCATENATE(tblCong[[#This Row],[seketCode]],"-",tblCong[[#This Row],[pCode]])</f>
        <v>D04-S02-P07</v>
      </c>
      <c r="N929" s="1" t="str">
        <f>Paris!M$225</f>
        <v>Sabubu</v>
      </c>
      <c r="O929" s="1" t="s">
        <v>567</v>
      </c>
      <c r="P929" s="1" t="s">
        <v>1449</v>
      </c>
    </row>
    <row r="930" spans="6:16" x14ac:dyDescent="0.35">
      <c r="F930" s="1" t="str">
        <f>CONCATENATE(tblCong[[#This Row],[parishCode]],"-",tblCong[[#This Row],[kCode]])</f>
        <v>D04-S02-P08-K01</v>
      </c>
      <c r="G930" s="1" t="str">
        <f>Distrik!F$8</f>
        <v>D04</v>
      </c>
      <c r="H930" s="1" t="str">
        <f>VLOOKUP(tblCong[[#This Row],[distCode]],tblDistrict[#All],2)</f>
        <v>Karkar</v>
      </c>
      <c r="I930" s="1" t="str">
        <f>Seket!I$36</f>
        <v>S02</v>
      </c>
      <c r="J930" s="1" t="str">
        <f>CONCATENATE(tblCong[[#This Row],[distCode]],"-",tblCong[[#This Row],[sCode]])</f>
        <v>D04-S02</v>
      </c>
      <c r="K930" s="1" t="str">
        <f>VLOOKUP(tblCong[[#This Row],[seketCode]],tblSeket[#All],5,FALSE)</f>
        <v>Bumsol</v>
      </c>
      <c r="L930" s="1" t="str">
        <f>Paris!L$226</f>
        <v>P08</v>
      </c>
      <c r="M930" s="1" t="str">
        <f>CONCATENATE(tblCong[[#This Row],[seketCode]],"-",tblCong[[#This Row],[pCode]])</f>
        <v>D04-S02-P08</v>
      </c>
      <c r="N930" s="1" t="str">
        <f>Paris!M$226</f>
        <v>Bua</v>
      </c>
      <c r="O930" s="1" t="s">
        <v>567</v>
      </c>
      <c r="P930" s="1" t="s">
        <v>1450</v>
      </c>
    </row>
    <row r="931" spans="6:16" x14ac:dyDescent="0.35">
      <c r="F931" s="1" t="str">
        <f>CONCATENATE(tblCong[[#This Row],[parishCode]],"-",tblCong[[#This Row],[kCode]])</f>
        <v>D04-S02--K01</v>
      </c>
      <c r="G931" s="1" t="str">
        <f>Distrik!F$8</f>
        <v>D04</v>
      </c>
      <c r="H931" s="1" t="str">
        <f>VLOOKUP(tblCong[[#This Row],[distCode]],tblDistrict[#All],2)</f>
        <v>Karkar</v>
      </c>
      <c r="I931" s="1" t="str">
        <f>Seket!I$36</f>
        <v>S02</v>
      </c>
      <c r="J931" s="1" t="str">
        <f>CONCATENATE(tblCong[[#This Row],[distCode]],"-",tblCong[[#This Row],[sCode]])</f>
        <v>D04-S02</v>
      </c>
      <c r="K931" s="1" t="str">
        <f>VLOOKUP(tblCong[[#This Row],[seketCode]],tblSeket[#All],5,FALSE)</f>
        <v>Bumsol</v>
      </c>
      <c r="M931" s="1" t="str">
        <f>CONCATENATE(tblCong[[#This Row],[seketCode]],"-",tblCong[[#This Row],[pCode]])</f>
        <v>D04-S02-</v>
      </c>
      <c r="O931" s="1" t="s">
        <v>567</v>
      </c>
      <c r="P931" s="1" t="s">
        <v>1451</v>
      </c>
    </row>
    <row r="932" spans="6:16" x14ac:dyDescent="0.35">
      <c r="F932" s="1" t="str">
        <f>CONCATENATE(tblCong[[#This Row],[parishCode]],"-",tblCong[[#This Row],[kCode]])</f>
        <v>D04-S03-P01-K01</v>
      </c>
      <c r="G932" s="1" t="str">
        <f>Distrik!F$8</f>
        <v>D04</v>
      </c>
      <c r="H932" s="1" t="str">
        <f>VLOOKUP(tblCong[[#This Row],[distCode]],tblDistrict[#All],2)</f>
        <v>Karkar</v>
      </c>
      <c r="I932" s="1" t="str">
        <f>Seket!I$37</f>
        <v>S03</v>
      </c>
      <c r="J932" s="1" t="str">
        <f>CONCATENATE(tblCong[[#This Row],[distCode]],"-",tblCong[[#This Row],[sCode]])</f>
        <v>D04-S03</v>
      </c>
      <c r="K932" s="1" t="str">
        <f>VLOOKUP(tblCong[[#This Row],[seketCode]],tblSeket[#All],5,FALSE)</f>
        <v>Kulubob</v>
      </c>
      <c r="L932" s="1" t="str">
        <f>Paris!L$227</f>
        <v>P01</v>
      </c>
      <c r="M932" s="1" t="str">
        <f>CONCATENATE(tblCong[[#This Row],[seketCode]],"-",tblCong[[#This Row],[pCode]])</f>
        <v>D04-S03-P01</v>
      </c>
      <c r="N932" s="1" t="str">
        <f>Paris!M$227</f>
        <v>Labuk</v>
      </c>
      <c r="O932" s="1" t="s">
        <v>567</v>
      </c>
      <c r="P932" s="1" t="s">
        <v>1452</v>
      </c>
    </row>
    <row r="933" spans="6:16" x14ac:dyDescent="0.35">
      <c r="F933" s="1" t="str">
        <f>CONCATENATE(tblCong[[#This Row],[parishCode]],"-",tblCong[[#This Row],[kCode]])</f>
        <v>D04-S03-P01-K02</v>
      </c>
      <c r="G933" s="1" t="str">
        <f>Distrik!F$8</f>
        <v>D04</v>
      </c>
      <c r="H933" s="1" t="str">
        <f>VLOOKUP(tblCong[[#This Row],[distCode]],tblDistrict[#All],2)</f>
        <v>Karkar</v>
      </c>
      <c r="I933" s="1" t="str">
        <f>Seket!I$37</f>
        <v>S03</v>
      </c>
      <c r="J933" s="1" t="str">
        <f>CONCATENATE(tblCong[[#This Row],[distCode]],"-",tblCong[[#This Row],[sCode]])</f>
        <v>D04-S03</v>
      </c>
      <c r="K933" s="1" t="str">
        <f>VLOOKUP(tblCong[[#This Row],[seketCode]],tblSeket[#All],5,FALSE)</f>
        <v>Kulubob</v>
      </c>
      <c r="L933" s="1" t="str">
        <f>Paris!L$227</f>
        <v>P01</v>
      </c>
      <c r="M933" s="1" t="str">
        <f>CONCATENATE(tblCong[[#This Row],[seketCode]],"-",tblCong[[#This Row],[pCode]])</f>
        <v>D04-S03-P01</v>
      </c>
      <c r="N933" s="1" t="str">
        <f>Paris!M$227</f>
        <v>Labuk</v>
      </c>
      <c r="O933" s="1" t="s">
        <v>569</v>
      </c>
      <c r="P933" s="1" t="s">
        <v>1453</v>
      </c>
    </row>
    <row r="934" spans="6:16" x14ac:dyDescent="0.35">
      <c r="F934" s="1" t="str">
        <f>CONCATENATE(tblCong[[#This Row],[parishCode]],"-",tblCong[[#This Row],[kCode]])</f>
        <v>D04-S03-P01-K03</v>
      </c>
      <c r="G934" s="1" t="str">
        <f>Distrik!F$8</f>
        <v>D04</v>
      </c>
      <c r="H934" s="1" t="str">
        <f>VLOOKUP(tblCong[[#This Row],[distCode]],tblDistrict[#All],2)</f>
        <v>Karkar</v>
      </c>
      <c r="I934" s="1" t="str">
        <f>Seket!I$37</f>
        <v>S03</v>
      </c>
      <c r="J934" s="1" t="str">
        <f>CONCATENATE(tblCong[[#This Row],[distCode]],"-",tblCong[[#This Row],[sCode]])</f>
        <v>D04-S03</v>
      </c>
      <c r="K934" s="1" t="str">
        <f>VLOOKUP(tblCong[[#This Row],[seketCode]],tblSeket[#All],5,FALSE)</f>
        <v>Kulubob</v>
      </c>
      <c r="L934" s="1" t="str">
        <f>Paris!L$227</f>
        <v>P01</v>
      </c>
      <c r="M934" s="1" t="str">
        <f>CONCATENATE(tblCong[[#This Row],[seketCode]],"-",tblCong[[#This Row],[pCode]])</f>
        <v>D04-S03-P01</v>
      </c>
      <c r="N934" s="1" t="str">
        <f>Paris!M$227</f>
        <v>Labuk</v>
      </c>
      <c r="O934" s="1" t="s">
        <v>571</v>
      </c>
      <c r="P934" s="1" t="s">
        <v>1454</v>
      </c>
    </row>
    <row r="935" spans="6:16" x14ac:dyDescent="0.35">
      <c r="F935" s="1" t="str">
        <f>CONCATENATE(tblCong[[#This Row],[parishCode]],"-",tblCong[[#This Row],[kCode]])</f>
        <v>D04-S03-P02-K01</v>
      </c>
      <c r="G935" s="1" t="str">
        <f>Distrik!F$8</f>
        <v>D04</v>
      </c>
      <c r="H935" s="1" t="str">
        <f>VLOOKUP(tblCong[[#This Row],[distCode]],tblDistrict[#All],2)</f>
        <v>Karkar</v>
      </c>
      <c r="I935" s="1" t="str">
        <f>Seket!I$37</f>
        <v>S03</v>
      </c>
      <c r="J935" s="1" t="str">
        <f>CONCATENATE(tblCong[[#This Row],[distCode]],"-",tblCong[[#This Row],[sCode]])</f>
        <v>D04-S03</v>
      </c>
      <c r="K935" s="1" t="str">
        <f>VLOOKUP(tblCong[[#This Row],[seketCode]],tblSeket[#All],5,FALSE)</f>
        <v>Kulubob</v>
      </c>
      <c r="L935" s="1" t="str">
        <f>Paris!L$228</f>
        <v>P02</v>
      </c>
      <c r="M935" s="1" t="str">
        <f>CONCATENATE(tblCong[[#This Row],[seketCode]],"-",tblCong[[#This Row],[pCode]])</f>
        <v>D04-S03-P02</v>
      </c>
      <c r="N935" s="1" t="str">
        <f>Paris!M$228</f>
        <v>Yagudun</v>
      </c>
      <c r="O935" s="1" t="s">
        <v>567</v>
      </c>
      <c r="P935" s="1" t="s">
        <v>1455</v>
      </c>
    </row>
    <row r="936" spans="6:16" x14ac:dyDescent="0.35">
      <c r="F936" s="1" t="str">
        <f>CONCATENATE(tblCong[[#This Row],[parishCode]],"-",tblCong[[#This Row],[kCode]])</f>
        <v>D04-S03-P02-K02</v>
      </c>
      <c r="G936" s="1" t="str">
        <f>Distrik!F$8</f>
        <v>D04</v>
      </c>
      <c r="H936" s="1" t="str">
        <f>VLOOKUP(tblCong[[#This Row],[distCode]],tblDistrict[#All],2)</f>
        <v>Karkar</v>
      </c>
      <c r="I936" s="1" t="str">
        <f>Seket!I$37</f>
        <v>S03</v>
      </c>
      <c r="J936" s="1" t="str">
        <f>CONCATENATE(tblCong[[#This Row],[distCode]],"-",tblCong[[#This Row],[sCode]])</f>
        <v>D04-S03</v>
      </c>
      <c r="K936" s="1" t="str">
        <f>VLOOKUP(tblCong[[#This Row],[seketCode]],tblSeket[#All],5,FALSE)</f>
        <v>Kulubob</v>
      </c>
      <c r="L936" s="1" t="str">
        <f>Paris!L$228</f>
        <v>P02</v>
      </c>
      <c r="M936" s="1" t="str">
        <f>CONCATENATE(tblCong[[#This Row],[seketCode]],"-",tblCong[[#This Row],[pCode]])</f>
        <v>D04-S03-P02</v>
      </c>
      <c r="N936" s="1" t="str">
        <f>Paris!M$228</f>
        <v>Yagudun</v>
      </c>
      <c r="O936" s="1" t="s">
        <v>569</v>
      </c>
      <c r="P936" s="1" t="s">
        <v>1456</v>
      </c>
    </row>
    <row r="937" spans="6:16" x14ac:dyDescent="0.35">
      <c r="F937" s="1" t="str">
        <f>CONCATENATE(tblCong[[#This Row],[parishCode]],"-",tblCong[[#This Row],[kCode]])</f>
        <v>D04-S03-P02-K03</v>
      </c>
      <c r="G937" s="1" t="str">
        <f>Distrik!F$8</f>
        <v>D04</v>
      </c>
      <c r="H937" s="1" t="str">
        <f>VLOOKUP(tblCong[[#This Row],[distCode]],tblDistrict[#All],2)</f>
        <v>Karkar</v>
      </c>
      <c r="I937" s="1" t="str">
        <f>Seket!I$37</f>
        <v>S03</v>
      </c>
      <c r="J937" s="1" t="str">
        <f>CONCATENATE(tblCong[[#This Row],[distCode]],"-",tblCong[[#This Row],[sCode]])</f>
        <v>D04-S03</v>
      </c>
      <c r="K937" s="1" t="str">
        <f>VLOOKUP(tblCong[[#This Row],[seketCode]],tblSeket[#All],5,FALSE)</f>
        <v>Kulubob</v>
      </c>
      <c r="L937" s="1" t="str">
        <f>Paris!L$228</f>
        <v>P02</v>
      </c>
      <c r="M937" s="1" t="str">
        <f>CONCATENATE(tblCong[[#This Row],[seketCode]],"-",tblCong[[#This Row],[pCode]])</f>
        <v>D04-S03-P02</v>
      </c>
      <c r="N937" s="1" t="str">
        <f>Paris!M$228</f>
        <v>Yagudun</v>
      </c>
      <c r="O937" s="1" t="s">
        <v>571</v>
      </c>
      <c r="P937" s="1" t="s">
        <v>1457</v>
      </c>
    </row>
    <row r="938" spans="6:16" x14ac:dyDescent="0.35">
      <c r="F938" s="1" t="str">
        <f>CONCATENATE(tblCong[[#This Row],[parishCode]],"-",tblCong[[#This Row],[kCode]])</f>
        <v>D04-S03-P02-K04</v>
      </c>
      <c r="G938" s="1" t="str">
        <f>Distrik!F$8</f>
        <v>D04</v>
      </c>
      <c r="H938" s="1" t="str">
        <f>VLOOKUP(tblCong[[#This Row],[distCode]],tblDistrict[#All],2)</f>
        <v>Karkar</v>
      </c>
      <c r="I938" s="1" t="str">
        <f>Seket!I$37</f>
        <v>S03</v>
      </c>
      <c r="J938" s="1" t="str">
        <f>CONCATENATE(tblCong[[#This Row],[distCode]],"-",tblCong[[#This Row],[sCode]])</f>
        <v>D04-S03</v>
      </c>
      <c r="K938" s="1" t="str">
        <f>VLOOKUP(tblCong[[#This Row],[seketCode]],tblSeket[#All],5,FALSE)</f>
        <v>Kulubob</v>
      </c>
      <c r="L938" s="1" t="str">
        <f>Paris!L$228</f>
        <v>P02</v>
      </c>
      <c r="M938" s="1" t="str">
        <f>CONCATENATE(tblCong[[#This Row],[seketCode]],"-",tblCong[[#This Row],[pCode]])</f>
        <v>D04-S03-P02</v>
      </c>
      <c r="N938" s="1" t="str">
        <f>Paris!M$228</f>
        <v>Yagudun</v>
      </c>
      <c r="O938" s="1" t="s">
        <v>573</v>
      </c>
      <c r="P938" s="1" t="s">
        <v>1458</v>
      </c>
    </row>
    <row r="939" spans="6:16" x14ac:dyDescent="0.35">
      <c r="F939" s="1" t="str">
        <f>CONCATENATE(tblCong[[#This Row],[parishCode]],"-",tblCong[[#This Row],[kCode]])</f>
        <v>D04-S03-P03-K01</v>
      </c>
      <c r="G939" s="1" t="str">
        <f>Distrik!F$8</f>
        <v>D04</v>
      </c>
      <c r="H939" s="1" t="str">
        <f>VLOOKUP(tblCong[[#This Row],[distCode]],tblDistrict[#All],2)</f>
        <v>Karkar</v>
      </c>
      <c r="I939" s="1" t="str">
        <f>Seket!I$37</f>
        <v>S03</v>
      </c>
      <c r="J939" s="1" t="str">
        <f>CONCATENATE(tblCong[[#This Row],[distCode]],"-",tblCong[[#This Row],[sCode]])</f>
        <v>D04-S03</v>
      </c>
      <c r="K939" s="1" t="str">
        <f>VLOOKUP(tblCong[[#This Row],[seketCode]],tblSeket[#All],5,FALSE)</f>
        <v>Kulubob</v>
      </c>
      <c r="L939" s="1" t="str">
        <f>Paris!L$229</f>
        <v>P03</v>
      </c>
      <c r="M939" s="1" t="str">
        <f>CONCATENATE(tblCong[[#This Row],[seketCode]],"-",tblCong[[#This Row],[pCode]])</f>
        <v>D04-S03-P03</v>
      </c>
      <c r="N939" s="1" t="str">
        <f>Paris!M$229</f>
        <v>Lulfoi</v>
      </c>
      <c r="O939" s="1" t="s">
        <v>567</v>
      </c>
      <c r="P939" s="1" t="s">
        <v>1459</v>
      </c>
    </row>
    <row r="940" spans="6:16" x14ac:dyDescent="0.35">
      <c r="F940" s="1" t="str">
        <f>CONCATENATE(tblCong[[#This Row],[parishCode]],"-",tblCong[[#This Row],[kCode]])</f>
        <v>D04-S03-P04-K01</v>
      </c>
      <c r="G940" s="1" t="str">
        <f>Distrik!F$8</f>
        <v>D04</v>
      </c>
      <c r="H940" s="1" t="str">
        <f>VLOOKUP(tblCong[[#This Row],[distCode]],tblDistrict[#All],2)</f>
        <v>Karkar</v>
      </c>
      <c r="I940" s="1" t="str">
        <f>Seket!I$37</f>
        <v>S03</v>
      </c>
      <c r="J940" s="1" t="str">
        <f>CONCATENATE(tblCong[[#This Row],[distCode]],"-",tblCong[[#This Row],[sCode]])</f>
        <v>D04-S03</v>
      </c>
      <c r="K940" s="1" t="str">
        <f>VLOOKUP(tblCong[[#This Row],[seketCode]],tblSeket[#All],5,FALSE)</f>
        <v>Kulubob</v>
      </c>
      <c r="L940" s="1" t="str">
        <f>Paris!L$230</f>
        <v>P04</v>
      </c>
      <c r="M940" s="1" t="str">
        <f>CONCATENATE(tblCong[[#This Row],[seketCode]],"-",tblCong[[#This Row],[pCode]])</f>
        <v>D04-S03-P04</v>
      </c>
      <c r="N940" s="1" t="str">
        <f>Paris!M$230</f>
        <v>Mugaer</v>
      </c>
      <c r="O940" s="1" t="s">
        <v>567</v>
      </c>
      <c r="P940" s="1" t="s">
        <v>1460</v>
      </c>
    </row>
    <row r="941" spans="6:16" x14ac:dyDescent="0.35">
      <c r="F941" s="1" t="str">
        <f>CONCATENATE(tblCong[[#This Row],[parishCode]],"-",tblCong[[#This Row],[kCode]])</f>
        <v>D04-S03-P04-K02</v>
      </c>
      <c r="G941" s="1" t="str">
        <f>Distrik!F$8</f>
        <v>D04</v>
      </c>
      <c r="H941" s="1" t="str">
        <f>VLOOKUP(tblCong[[#This Row],[distCode]],tblDistrict[#All],2)</f>
        <v>Karkar</v>
      </c>
      <c r="I941" s="1" t="str">
        <f>Seket!I$37</f>
        <v>S03</v>
      </c>
      <c r="J941" s="1" t="str">
        <f>CONCATENATE(tblCong[[#This Row],[distCode]],"-",tblCong[[#This Row],[sCode]])</f>
        <v>D04-S03</v>
      </c>
      <c r="K941" s="1" t="str">
        <f>VLOOKUP(tblCong[[#This Row],[seketCode]],tblSeket[#All],5,FALSE)</f>
        <v>Kulubob</v>
      </c>
      <c r="L941" s="1" t="str">
        <f>Paris!L$230</f>
        <v>P04</v>
      </c>
      <c r="M941" s="1" t="str">
        <f>CONCATENATE(tblCong[[#This Row],[seketCode]],"-",tblCong[[#This Row],[pCode]])</f>
        <v>D04-S03-P04</v>
      </c>
      <c r="N941" s="1" t="str">
        <f>Paris!M$230</f>
        <v>Mugaer</v>
      </c>
      <c r="O941" s="1" t="s">
        <v>569</v>
      </c>
      <c r="P941" s="1" t="s">
        <v>1461</v>
      </c>
    </row>
    <row r="942" spans="6:16" x14ac:dyDescent="0.35">
      <c r="F942" s="1" t="str">
        <f>CONCATENATE(tblCong[[#This Row],[parishCode]],"-",tblCong[[#This Row],[kCode]])</f>
        <v>D04-S03-P04-K03</v>
      </c>
      <c r="G942" s="1" t="str">
        <f>Distrik!F$8</f>
        <v>D04</v>
      </c>
      <c r="H942" s="1" t="str">
        <f>VLOOKUP(tblCong[[#This Row],[distCode]],tblDistrict[#All],2)</f>
        <v>Karkar</v>
      </c>
      <c r="I942" s="1" t="str">
        <f>Seket!I$37</f>
        <v>S03</v>
      </c>
      <c r="J942" s="1" t="str">
        <f>CONCATENATE(tblCong[[#This Row],[distCode]],"-",tblCong[[#This Row],[sCode]])</f>
        <v>D04-S03</v>
      </c>
      <c r="K942" s="1" t="str">
        <f>VLOOKUP(tblCong[[#This Row],[seketCode]],tblSeket[#All],5,FALSE)</f>
        <v>Kulubob</v>
      </c>
      <c r="L942" s="1" t="str">
        <f>Paris!L$230</f>
        <v>P04</v>
      </c>
      <c r="M942" s="1" t="str">
        <f>CONCATENATE(tblCong[[#This Row],[seketCode]],"-",tblCong[[#This Row],[pCode]])</f>
        <v>D04-S03-P04</v>
      </c>
      <c r="N942" s="1" t="str">
        <f>Paris!M$230</f>
        <v>Mugaer</v>
      </c>
      <c r="O942" s="1" t="s">
        <v>571</v>
      </c>
      <c r="P942" s="1" t="s">
        <v>1462</v>
      </c>
    </row>
    <row r="943" spans="6:16" x14ac:dyDescent="0.35">
      <c r="F943" s="1" t="str">
        <f>CONCATENATE(tblCong[[#This Row],[parishCode]],"-",tblCong[[#This Row],[kCode]])</f>
        <v>D04-S03-P04-K04</v>
      </c>
      <c r="G943" s="1" t="str">
        <f>Distrik!F$8</f>
        <v>D04</v>
      </c>
      <c r="H943" s="1" t="str">
        <f>VLOOKUP(tblCong[[#This Row],[distCode]],tblDistrict[#All],2)</f>
        <v>Karkar</v>
      </c>
      <c r="I943" s="1" t="str">
        <f>Seket!I$37</f>
        <v>S03</v>
      </c>
      <c r="J943" s="1" t="str">
        <f>CONCATENATE(tblCong[[#This Row],[distCode]],"-",tblCong[[#This Row],[sCode]])</f>
        <v>D04-S03</v>
      </c>
      <c r="K943" s="1" t="str">
        <f>VLOOKUP(tblCong[[#This Row],[seketCode]],tblSeket[#All],5,FALSE)</f>
        <v>Kulubob</v>
      </c>
      <c r="L943" s="1" t="str">
        <f>Paris!L$230</f>
        <v>P04</v>
      </c>
      <c r="M943" s="1" t="str">
        <f>CONCATENATE(tblCong[[#This Row],[seketCode]],"-",tblCong[[#This Row],[pCode]])</f>
        <v>D04-S03-P04</v>
      </c>
      <c r="N943" s="1" t="str">
        <f>Paris!M$230</f>
        <v>Mugaer</v>
      </c>
      <c r="O943" s="1" t="s">
        <v>573</v>
      </c>
      <c r="P943" s="1" t="s">
        <v>1463</v>
      </c>
    </row>
    <row r="944" spans="6:16" x14ac:dyDescent="0.35">
      <c r="F944" s="1" t="str">
        <f>CONCATENATE(tblCong[[#This Row],[parishCode]],"-",tblCong[[#This Row],[kCode]])</f>
        <v>D04-S03-P05-K01</v>
      </c>
      <c r="G944" s="1" t="str">
        <f>Distrik!F$8</f>
        <v>D04</v>
      </c>
      <c r="H944" s="1" t="str">
        <f>VLOOKUP(tblCong[[#This Row],[distCode]],tblDistrict[#All],2)</f>
        <v>Karkar</v>
      </c>
      <c r="I944" s="1" t="str">
        <f>Seket!I$37</f>
        <v>S03</v>
      </c>
      <c r="J944" s="1" t="str">
        <f>CONCATENATE(tblCong[[#This Row],[distCode]],"-",tblCong[[#This Row],[sCode]])</f>
        <v>D04-S03</v>
      </c>
      <c r="K944" s="1" t="str">
        <f>VLOOKUP(tblCong[[#This Row],[seketCode]],tblSeket[#All],5,FALSE)</f>
        <v>Kulubob</v>
      </c>
      <c r="L944" s="1" t="str">
        <f>Paris!L$231</f>
        <v>P05</v>
      </c>
      <c r="M944" s="1" t="str">
        <f>CONCATENATE(tblCong[[#This Row],[seketCode]],"-",tblCong[[#This Row],[pCode]])</f>
        <v>D04-S03-P05</v>
      </c>
      <c r="N944" s="1" t="str">
        <f>Paris!M$231</f>
        <v>Malbog</v>
      </c>
      <c r="O944" s="1" t="s">
        <v>567</v>
      </c>
      <c r="P944" s="1" t="s">
        <v>1464</v>
      </c>
    </row>
    <row r="945" spans="6:16" x14ac:dyDescent="0.35">
      <c r="F945" s="1" t="str">
        <f>CONCATENATE(tblCong[[#This Row],[parishCode]],"-",tblCong[[#This Row],[kCode]])</f>
        <v>D04-S03-P05-K02</v>
      </c>
      <c r="G945" s="1" t="str">
        <f>Distrik!F$8</f>
        <v>D04</v>
      </c>
      <c r="H945" s="1" t="str">
        <f>VLOOKUP(tblCong[[#This Row],[distCode]],tblDistrict[#All],2)</f>
        <v>Karkar</v>
      </c>
      <c r="I945" s="1" t="str">
        <f>Seket!I$37</f>
        <v>S03</v>
      </c>
      <c r="J945" s="1" t="str">
        <f>CONCATENATE(tblCong[[#This Row],[distCode]],"-",tblCong[[#This Row],[sCode]])</f>
        <v>D04-S03</v>
      </c>
      <c r="K945" s="1" t="str">
        <f>VLOOKUP(tblCong[[#This Row],[seketCode]],tblSeket[#All],5,FALSE)</f>
        <v>Kulubob</v>
      </c>
      <c r="L945" s="1" t="str">
        <f>Paris!L$231</f>
        <v>P05</v>
      </c>
      <c r="M945" s="1" t="str">
        <f>CONCATENATE(tblCong[[#This Row],[seketCode]],"-",tblCong[[#This Row],[pCode]])</f>
        <v>D04-S03-P05</v>
      </c>
      <c r="N945" s="1" t="str">
        <f>Paris!M$231</f>
        <v>Malbog</v>
      </c>
      <c r="O945" s="1" t="s">
        <v>569</v>
      </c>
      <c r="P945" s="1" t="s">
        <v>1465</v>
      </c>
    </row>
    <row r="946" spans="6:16" x14ac:dyDescent="0.35">
      <c r="F946" s="1" t="str">
        <f>CONCATENATE(tblCong[[#This Row],[parishCode]],"-",tblCong[[#This Row],[kCode]])</f>
        <v>D04-S04-P01-K01</v>
      </c>
      <c r="G946" s="1" t="str">
        <f>Distrik!F$8</f>
        <v>D04</v>
      </c>
      <c r="H946" s="1" t="str">
        <f>VLOOKUP(tblCong[[#This Row],[distCode]],tblDistrict[#All],2)</f>
        <v>Karkar</v>
      </c>
      <c r="I946" s="1" t="str">
        <f>Seket!I$38</f>
        <v>S04</v>
      </c>
      <c r="J946" s="1" t="str">
        <f>CONCATENATE(tblCong[[#This Row],[distCode]],"-",tblCong[[#This Row],[sCode]])</f>
        <v>D04-S04</v>
      </c>
      <c r="K946" s="1" t="str">
        <f>VLOOKUP(tblCong[[#This Row],[seketCode]],tblSeket[#All],5,FALSE)</f>
        <v>Bagiai</v>
      </c>
      <c r="L946" s="1" t="str">
        <f>Paris!L$232</f>
        <v>P01</v>
      </c>
      <c r="M946" s="1" t="str">
        <f>CONCATENATE(tblCong[[#This Row],[seketCode]],"-",tblCong[[#This Row],[pCode]])</f>
        <v>D04-S04-P01</v>
      </c>
      <c r="N946" s="1" t="str">
        <f>Paris!M$232</f>
        <v>Yerr</v>
      </c>
      <c r="O946" s="1" t="s">
        <v>567</v>
      </c>
      <c r="P946" s="1" t="s">
        <v>1466</v>
      </c>
    </row>
    <row r="947" spans="6:16" x14ac:dyDescent="0.35">
      <c r="F947" s="1" t="str">
        <f>CONCATENATE(tblCong[[#This Row],[parishCode]],"-",tblCong[[#This Row],[kCode]])</f>
        <v>D04-S04-P01-K02</v>
      </c>
      <c r="G947" s="1" t="str">
        <f>Distrik!F$8</f>
        <v>D04</v>
      </c>
      <c r="H947" s="1" t="str">
        <f>VLOOKUP(tblCong[[#This Row],[distCode]],tblDistrict[#All],2)</f>
        <v>Karkar</v>
      </c>
      <c r="I947" s="1" t="str">
        <f>Seket!I$38</f>
        <v>S04</v>
      </c>
      <c r="J947" s="1" t="str">
        <f>CONCATENATE(tblCong[[#This Row],[distCode]],"-",tblCong[[#This Row],[sCode]])</f>
        <v>D04-S04</v>
      </c>
      <c r="K947" s="1" t="str">
        <f>VLOOKUP(tblCong[[#This Row],[seketCode]],tblSeket[#All],5,FALSE)</f>
        <v>Bagiai</v>
      </c>
      <c r="L947" s="1" t="str">
        <f>Paris!L$232</f>
        <v>P01</v>
      </c>
      <c r="M947" s="1" t="str">
        <f>CONCATENATE(tblCong[[#This Row],[seketCode]],"-",tblCong[[#This Row],[pCode]])</f>
        <v>D04-S04-P01</v>
      </c>
      <c r="N947" s="1" t="str">
        <f>Paris!M$232</f>
        <v>Yerr</v>
      </c>
      <c r="O947" s="1" t="s">
        <v>569</v>
      </c>
      <c r="P947" s="1" t="s">
        <v>1467</v>
      </c>
    </row>
    <row r="948" spans="6:16" x14ac:dyDescent="0.35">
      <c r="F948" s="1" t="str">
        <f>CONCATENATE(tblCong[[#This Row],[parishCode]],"-",tblCong[[#This Row],[kCode]])</f>
        <v>D04-S04-P01-K03</v>
      </c>
      <c r="G948" s="1" t="str">
        <f>Distrik!F$8</f>
        <v>D04</v>
      </c>
      <c r="H948" s="1" t="str">
        <f>VLOOKUP(tblCong[[#This Row],[distCode]],tblDistrict[#All],2)</f>
        <v>Karkar</v>
      </c>
      <c r="I948" s="1" t="str">
        <f>Seket!I$38</f>
        <v>S04</v>
      </c>
      <c r="J948" s="1" t="str">
        <f>CONCATENATE(tblCong[[#This Row],[distCode]],"-",tblCong[[#This Row],[sCode]])</f>
        <v>D04-S04</v>
      </c>
      <c r="K948" s="1" t="str">
        <f>VLOOKUP(tblCong[[#This Row],[seketCode]],tblSeket[#All],5,FALSE)</f>
        <v>Bagiai</v>
      </c>
      <c r="L948" s="1" t="str">
        <f>Paris!L$232</f>
        <v>P01</v>
      </c>
      <c r="M948" s="1" t="str">
        <f>CONCATENATE(tblCong[[#This Row],[seketCode]],"-",tblCong[[#This Row],[pCode]])</f>
        <v>D04-S04-P01</v>
      </c>
      <c r="N948" s="1" t="str">
        <f>Paris!M$232</f>
        <v>Yerr</v>
      </c>
      <c r="O948" s="1" t="s">
        <v>571</v>
      </c>
      <c r="P948" s="1" t="s">
        <v>1468</v>
      </c>
    </row>
    <row r="949" spans="6:16" x14ac:dyDescent="0.35">
      <c r="F949" s="1" t="str">
        <f>CONCATENATE(tblCong[[#This Row],[parishCode]],"-",tblCong[[#This Row],[kCode]])</f>
        <v>D04-S04-P01-K04</v>
      </c>
      <c r="G949" s="1" t="str">
        <f>Distrik!F$8</f>
        <v>D04</v>
      </c>
      <c r="H949" s="1" t="str">
        <f>VLOOKUP(tblCong[[#This Row],[distCode]],tblDistrict[#All],2)</f>
        <v>Karkar</v>
      </c>
      <c r="I949" s="1" t="str">
        <f>Seket!I$38</f>
        <v>S04</v>
      </c>
      <c r="J949" s="1" t="str">
        <f>CONCATENATE(tblCong[[#This Row],[distCode]],"-",tblCong[[#This Row],[sCode]])</f>
        <v>D04-S04</v>
      </c>
      <c r="K949" s="1" t="str">
        <f>VLOOKUP(tblCong[[#This Row],[seketCode]],tblSeket[#All],5,FALSE)</f>
        <v>Bagiai</v>
      </c>
      <c r="L949" s="1" t="str">
        <f>Paris!L$232</f>
        <v>P01</v>
      </c>
      <c r="M949" s="1" t="str">
        <f>CONCATENATE(tblCong[[#This Row],[seketCode]],"-",tblCong[[#This Row],[pCode]])</f>
        <v>D04-S04-P01</v>
      </c>
      <c r="N949" s="1" t="str">
        <f>Paris!M$232</f>
        <v>Yerr</v>
      </c>
      <c r="O949" s="1" t="s">
        <v>573</v>
      </c>
      <c r="P949" s="1" t="s">
        <v>1469</v>
      </c>
    </row>
    <row r="950" spans="6:16" x14ac:dyDescent="0.35">
      <c r="F950" s="1" t="str">
        <f>CONCATENATE(tblCong[[#This Row],[parishCode]],"-",tblCong[[#This Row],[kCode]])</f>
        <v>D04-S04-P02-K01</v>
      </c>
      <c r="G950" s="1" t="str">
        <f>Distrik!F$8</f>
        <v>D04</v>
      </c>
      <c r="H950" s="1" t="str">
        <f>VLOOKUP(tblCong[[#This Row],[distCode]],tblDistrict[#All],2)</f>
        <v>Karkar</v>
      </c>
      <c r="I950" s="1" t="str">
        <f>Seket!I$38</f>
        <v>S04</v>
      </c>
      <c r="J950" s="1" t="str">
        <f>CONCATENATE(tblCong[[#This Row],[distCode]],"-",tblCong[[#This Row],[sCode]])</f>
        <v>D04-S04</v>
      </c>
      <c r="K950" s="1" t="str">
        <f>VLOOKUP(tblCong[[#This Row],[seketCode]],tblSeket[#All],5,FALSE)</f>
        <v>Bagiai</v>
      </c>
      <c r="L950" s="1" t="str">
        <f>Paris!L$233</f>
        <v>P02</v>
      </c>
      <c r="M950" s="1" t="str">
        <f>CONCATENATE(tblCong[[#This Row],[seketCode]],"-",tblCong[[#This Row],[pCode]])</f>
        <v>D04-S04-P02</v>
      </c>
      <c r="N950" s="1" t="str">
        <f>Paris!M$233</f>
        <v>Sililai</v>
      </c>
      <c r="O950" s="1" t="s">
        <v>567</v>
      </c>
      <c r="P950" s="1" t="s">
        <v>1470</v>
      </c>
    </row>
    <row r="951" spans="6:16" x14ac:dyDescent="0.35">
      <c r="F951" s="1" t="str">
        <f>CONCATENATE(tblCong[[#This Row],[parishCode]],"-",tblCong[[#This Row],[kCode]])</f>
        <v>D04-S04-P02-K02</v>
      </c>
      <c r="G951" s="1" t="str">
        <f>Distrik!F$8</f>
        <v>D04</v>
      </c>
      <c r="H951" s="1" t="str">
        <f>VLOOKUP(tblCong[[#This Row],[distCode]],tblDistrict[#All],2)</f>
        <v>Karkar</v>
      </c>
      <c r="I951" s="1" t="str">
        <f>Seket!I$38</f>
        <v>S04</v>
      </c>
      <c r="J951" s="1" t="str">
        <f>CONCATENATE(tblCong[[#This Row],[distCode]],"-",tblCong[[#This Row],[sCode]])</f>
        <v>D04-S04</v>
      </c>
      <c r="K951" s="1" t="str">
        <f>VLOOKUP(tblCong[[#This Row],[seketCode]],tblSeket[#All],5,FALSE)</f>
        <v>Bagiai</v>
      </c>
      <c r="L951" s="1" t="str">
        <f>Paris!L$233</f>
        <v>P02</v>
      </c>
      <c r="M951" s="1" t="str">
        <f>CONCATENATE(tblCong[[#This Row],[seketCode]],"-",tblCong[[#This Row],[pCode]])</f>
        <v>D04-S04-P02</v>
      </c>
      <c r="N951" s="1" t="str">
        <f>Paris!M$233</f>
        <v>Sililai</v>
      </c>
      <c r="O951" s="1" t="s">
        <v>569</v>
      </c>
      <c r="P951" s="1" t="s">
        <v>1471</v>
      </c>
    </row>
    <row r="952" spans="6:16" x14ac:dyDescent="0.35">
      <c r="F952" s="1" t="str">
        <f>CONCATENATE(tblCong[[#This Row],[parishCode]],"-",tblCong[[#This Row],[kCode]])</f>
        <v>D04-S04-P02-K03</v>
      </c>
      <c r="G952" s="1" t="str">
        <f>Distrik!F$8</f>
        <v>D04</v>
      </c>
      <c r="H952" s="1" t="str">
        <f>VLOOKUP(tblCong[[#This Row],[distCode]],tblDistrict[#All],2)</f>
        <v>Karkar</v>
      </c>
      <c r="I952" s="1" t="str">
        <f>Seket!I$38</f>
        <v>S04</v>
      </c>
      <c r="J952" s="1" t="str">
        <f>CONCATENATE(tblCong[[#This Row],[distCode]],"-",tblCong[[#This Row],[sCode]])</f>
        <v>D04-S04</v>
      </c>
      <c r="K952" s="1" t="str">
        <f>VLOOKUP(tblCong[[#This Row],[seketCode]],tblSeket[#All],5,FALSE)</f>
        <v>Bagiai</v>
      </c>
      <c r="L952" s="1" t="str">
        <f>Paris!L$233</f>
        <v>P02</v>
      </c>
      <c r="M952" s="1" t="str">
        <f>CONCATENATE(tblCong[[#This Row],[seketCode]],"-",tblCong[[#This Row],[pCode]])</f>
        <v>D04-S04-P02</v>
      </c>
      <c r="N952" s="1" t="str">
        <f>Paris!M$233</f>
        <v>Sililai</v>
      </c>
      <c r="O952" s="1" t="s">
        <v>571</v>
      </c>
      <c r="P952" s="1" t="s">
        <v>1472</v>
      </c>
    </row>
    <row r="953" spans="6:16" x14ac:dyDescent="0.35">
      <c r="F953" s="1" t="str">
        <f>CONCATENATE(tblCong[[#This Row],[parishCode]],"-",tblCong[[#This Row],[kCode]])</f>
        <v>D04-S04-P03-K01</v>
      </c>
      <c r="G953" s="1" t="str">
        <f>Distrik!F$8</f>
        <v>D04</v>
      </c>
      <c r="H953" s="1" t="str">
        <f>VLOOKUP(tblCong[[#This Row],[distCode]],tblDistrict[#All],2)</f>
        <v>Karkar</v>
      </c>
      <c r="I953" s="1" t="str">
        <f>Seket!I$38</f>
        <v>S04</v>
      </c>
      <c r="J953" s="1" t="str">
        <f>CONCATENATE(tblCong[[#This Row],[distCode]],"-",tblCong[[#This Row],[sCode]])</f>
        <v>D04-S04</v>
      </c>
      <c r="K953" s="1" t="str">
        <f>VLOOKUP(tblCong[[#This Row],[seketCode]],tblSeket[#All],5,FALSE)</f>
        <v>Bagiai</v>
      </c>
      <c r="L953" s="1" t="str">
        <f>Paris!L$234</f>
        <v>P03</v>
      </c>
      <c r="M953" s="1" t="str">
        <f>CONCATENATE(tblCong[[#This Row],[seketCode]],"-",tblCong[[#This Row],[pCode]])</f>
        <v>D04-S04-P03</v>
      </c>
      <c r="N953" s="1" t="str">
        <f>Paris!M$234</f>
        <v>Kanab</v>
      </c>
      <c r="O953" s="1" t="s">
        <v>567</v>
      </c>
      <c r="P953" s="1" t="s">
        <v>1473</v>
      </c>
    </row>
    <row r="954" spans="6:16" x14ac:dyDescent="0.35">
      <c r="F954" s="1" t="str">
        <f>CONCATENATE(tblCong[[#This Row],[parishCode]],"-",tblCong[[#This Row],[kCode]])</f>
        <v>D04-S04-P03-K02</v>
      </c>
      <c r="G954" s="1" t="str">
        <f>Distrik!F$8</f>
        <v>D04</v>
      </c>
      <c r="H954" s="1" t="str">
        <f>VLOOKUP(tblCong[[#This Row],[distCode]],tblDistrict[#All],2)</f>
        <v>Karkar</v>
      </c>
      <c r="I954" s="1" t="str">
        <f>Seket!I$38</f>
        <v>S04</v>
      </c>
      <c r="J954" s="1" t="str">
        <f>CONCATENATE(tblCong[[#This Row],[distCode]],"-",tblCong[[#This Row],[sCode]])</f>
        <v>D04-S04</v>
      </c>
      <c r="K954" s="1" t="str">
        <f>VLOOKUP(tblCong[[#This Row],[seketCode]],tblSeket[#All],5,FALSE)</f>
        <v>Bagiai</v>
      </c>
      <c r="L954" s="1" t="str">
        <f>Paris!L$234</f>
        <v>P03</v>
      </c>
      <c r="M954" s="1" t="str">
        <f>CONCATENATE(tblCong[[#This Row],[seketCode]],"-",tblCong[[#This Row],[pCode]])</f>
        <v>D04-S04-P03</v>
      </c>
      <c r="N954" s="1" t="str">
        <f>Paris!M$234</f>
        <v>Kanab</v>
      </c>
      <c r="O954" s="1" t="s">
        <v>569</v>
      </c>
      <c r="P954" s="1" t="s">
        <v>1474</v>
      </c>
    </row>
    <row r="955" spans="6:16" x14ac:dyDescent="0.35">
      <c r="F955" s="1" t="str">
        <f>CONCATENATE(tblCong[[#This Row],[parishCode]],"-",tblCong[[#This Row],[kCode]])</f>
        <v>D04-S04-P04-K01</v>
      </c>
      <c r="G955" s="1" t="str">
        <f>Distrik!F$8</f>
        <v>D04</v>
      </c>
      <c r="H955" s="1" t="str">
        <f>VLOOKUP(tblCong[[#This Row],[distCode]],tblDistrict[#All],2)</f>
        <v>Karkar</v>
      </c>
      <c r="I955" s="1" t="str">
        <f>Seket!I$38</f>
        <v>S04</v>
      </c>
      <c r="J955" s="1" t="str">
        <f>CONCATENATE(tblCong[[#This Row],[distCode]],"-",tblCong[[#This Row],[sCode]])</f>
        <v>D04-S04</v>
      </c>
      <c r="K955" s="1" t="str">
        <f>VLOOKUP(tblCong[[#This Row],[seketCode]],tblSeket[#All],5,FALSE)</f>
        <v>Bagiai</v>
      </c>
      <c r="L955" s="1" t="str">
        <f>Paris!L$235</f>
        <v>P04</v>
      </c>
      <c r="M955" s="1" t="str">
        <f>CONCATENATE(tblCong[[#This Row],[seketCode]],"-",tblCong[[#This Row],[pCode]])</f>
        <v>D04-S04-P04</v>
      </c>
      <c r="N955" s="1" t="s">
        <v>446</v>
      </c>
      <c r="O955" s="1" t="s">
        <v>567</v>
      </c>
      <c r="P955" s="1" t="s">
        <v>1475</v>
      </c>
    </row>
    <row r="956" spans="6:16" x14ac:dyDescent="0.35">
      <c r="F956" s="1" t="str">
        <f>CONCATENATE(tblCong[[#This Row],[parishCode]],"-",tblCong[[#This Row],[kCode]])</f>
        <v>D04-S04-P04-K02</v>
      </c>
      <c r="G956" s="1" t="str">
        <f>Distrik!F$8</f>
        <v>D04</v>
      </c>
      <c r="H956" s="1" t="str">
        <f>VLOOKUP(tblCong[[#This Row],[distCode]],tblDistrict[#All],2)</f>
        <v>Karkar</v>
      </c>
      <c r="I956" s="1" t="str">
        <f>Seket!I$38</f>
        <v>S04</v>
      </c>
      <c r="J956" s="1" t="str">
        <f>CONCATENATE(tblCong[[#This Row],[distCode]],"-",tblCong[[#This Row],[sCode]])</f>
        <v>D04-S04</v>
      </c>
      <c r="K956" s="1" t="str">
        <f>VLOOKUP(tblCong[[#This Row],[seketCode]],tblSeket[#All],5,FALSE)</f>
        <v>Bagiai</v>
      </c>
      <c r="L956" s="1" t="str">
        <f>Paris!L$235</f>
        <v>P04</v>
      </c>
      <c r="M956" s="1" t="str">
        <f>CONCATENATE(tblCong[[#This Row],[seketCode]],"-",tblCong[[#This Row],[pCode]])</f>
        <v>D04-S04-P04</v>
      </c>
      <c r="N956" s="1" t="s">
        <v>446</v>
      </c>
      <c r="O956" s="1" t="s">
        <v>569</v>
      </c>
      <c r="P956" s="1" t="s">
        <v>1476</v>
      </c>
    </row>
    <row r="957" spans="6:16" x14ac:dyDescent="0.35">
      <c r="F957" s="1" t="str">
        <f>CONCATENATE(tblCong[[#This Row],[parishCode]],"-",tblCong[[#This Row],[kCode]])</f>
        <v>D04-S04-P04-K03</v>
      </c>
      <c r="G957" s="1" t="str">
        <f>Distrik!F$8</f>
        <v>D04</v>
      </c>
      <c r="H957" s="1" t="str">
        <f>VLOOKUP(tblCong[[#This Row],[distCode]],tblDistrict[#All],2)</f>
        <v>Karkar</v>
      </c>
      <c r="I957" s="1" t="str">
        <f>Seket!I$38</f>
        <v>S04</v>
      </c>
      <c r="J957" s="1" t="str">
        <f>CONCATENATE(tblCong[[#This Row],[distCode]],"-",tblCong[[#This Row],[sCode]])</f>
        <v>D04-S04</v>
      </c>
      <c r="K957" s="1" t="str">
        <f>VLOOKUP(tblCong[[#This Row],[seketCode]],tblSeket[#All],5,FALSE)</f>
        <v>Bagiai</v>
      </c>
      <c r="L957" s="1" t="str">
        <f>Paris!L$235</f>
        <v>P04</v>
      </c>
      <c r="M957" s="1" t="str">
        <f>CONCATENATE(tblCong[[#This Row],[seketCode]],"-",tblCong[[#This Row],[pCode]])</f>
        <v>D04-S04-P04</v>
      </c>
      <c r="N957" s="1" t="s">
        <v>446</v>
      </c>
      <c r="O957" s="1" t="s">
        <v>571</v>
      </c>
      <c r="P957" s="1" t="s">
        <v>1477</v>
      </c>
    </row>
    <row r="958" spans="6:16" x14ac:dyDescent="0.35">
      <c r="F958" s="1" t="str">
        <f>CONCATENATE(tblCong[[#This Row],[parishCode]],"-",tblCong[[#This Row],[kCode]])</f>
        <v>D04-S05-P01-K01</v>
      </c>
      <c r="G958" s="1" t="str">
        <f>Distrik!F$8</f>
        <v>D04</v>
      </c>
      <c r="H958" s="1" t="str">
        <f>VLOOKUP(tblCong[[#This Row],[distCode]],tblDistrict[#All],2)</f>
        <v>Karkar</v>
      </c>
      <c r="I958" s="1" t="str">
        <f>Seket!I$39</f>
        <v>S05</v>
      </c>
      <c r="J958" s="1" t="str">
        <f>CONCATENATE(tblCong[[#This Row],[distCode]],"-",tblCong[[#This Row],[sCode]])</f>
        <v>D04-S05</v>
      </c>
      <c r="K958" s="1" t="str">
        <f>VLOOKUP(tblCong[[#This Row],[seketCode]],tblSeket[#All],5,FALSE)</f>
        <v>Tagub</v>
      </c>
      <c r="L958" s="1" t="str">
        <f>Paris!L$236</f>
        <v>P01</v>
      </c>
      <c r="M958" s="1" t="str">
        <f>CONCATENATE(tblCong[[#This Row],[seketCode]],"-",tblCong[[#This Row],[pCode]])</f>
        <v>D04-S05-P01</v>
      </c>
      <c r="N958" s="1" t="str">
        <f>Paris!M$236</f>
        <v>Urit</v>
      </c>
      <c r="O958" s="1" t="s">
        <v>567</v>
      </c>
      <c r="P958" s="1" t="s">
        <v>1478</v>
      </c>
    </row>
    <row r="959" spans="6:16" x14ac:dyDescent="0.35">
      <c r="F959" s="1" t="str">
        <f>CONCATENATE(tblCong[[#This Row],[parishCode]],"-",tblCong[[#This Row],[kCode]])</f>
        <v>D04-S05-P01-K02</v>
      </c>
      <c r="G959" s="1" t="str">
        <f>Distrik!F$8</f>
        <v>D04</v>
      </c>
      <c r="H959" s="1" t="str">
        <f>VLOOKUP(tblCong[[#This Row],[distCode]],tblDistrict[#All],2)</f>
        <v>Karkar</v>
      </c>
      <c r="I959" s="1" t="str">
        <f>Seket!I$39</f>
        <v>S05</v>
      </c>
      <c r="J959" s="1" t="str">
        <f>CONCATENATE(tblCong[[#This Row],[distCode]],"-",tblCong[[#This Row],[sCode]])</f>
        <v>D04-S05</v>
      </c>
      <c r="K959" s="1" t="str">
        <f>VLOOKUP(tblCong[[#This Row],[seketCode]],tblSeket[#All],5,FALSE)</f>
        <v>Tagub</v>
      </c>
      <c r="L959" s="1" t="str">
        <f>Paris!L$236</f>
        <v>P01</v>
      </c>
      <c r="M959" s="1" t="str">
        <f>CONCATENATE(tblCong[[#This Row],[seketCode]],"-",tblCong[[#This Row],[pCode]])</f>
        <v>D04-S05-P01</v>
      </c>
      <c r="N959" s="1" t="str">
        <f>Paris!M$236</f>
        <v>Urit</v>
      </c>
      <c r="O959" s="1" t="s">
        <v>569</v>
      </c>
      <c r="P959" s="1" t="s">
        <v>1479</v>
      </c>
    </row>
    <row r="960" spans="6:16" x14ac:dyDescent="0.35">
      <c r="F960" s="1" t="str">
        <f>CONCATENATE(tblCong[[#This Row],[parishCode]],"-",tblCong[[#This Row],[kCode]])</f>
        <v>D04-S05-P02-K01</v>
      </c>
      <c r="G960" s="1" t="str">
        <f>Distrik!F$8</f>
        <v>D04</v>
      </c>
      <c r="H960" s="1" t="str">
        <f>VLOOKUP(tblCong[[#This Row],[distCode]],tblDistrict[#All],2)</f>
        <v>Karkar</v>
      </c>
      <c r="I960" s="1" t="str">
        <f>Seket!I$39</f>
        <v>S05</v>
      </c>
      <c r="J960" s="1" t="str">
        <f>CONCATENATE(tblCong[[#This Row],[distCode]],"-",tblCong[[#This Row],[sCode]])</f>
        <v>D04-S05</v>
      </c>
      <c r="K960" s="1" t="str">
        <f>VLOOKUP(tblCong[[#This Row],[seketCode]],tblSeket[#All],5,FALSE)</f>
        <v>Tagub</v>
      </c>
      <c r="L960" s="1" t="str">
        <f>Paris!L$237</f>
        <v>P02</v>
      </c>
      <c r="M960" s="1" t="str">
        <f>CONCATENATE(tblCong[[#This Row],[seketCode]],"-",tblCong[[#This Row],[pCode]])</f>
        <v>D04-S05-P02</v>
      </c>
      <c r="N960" s="1" t="str">
        <f>Paris!M$237</f>
        <v>Karuru</v>
      </c>
      <c r="O960" s="1" t="s">
        <v>567</v>
      </c>
      <c r="P960" s="1" t="s">
        <v>1480</v>
      </c>
    </row>
    <row r="961" spans="6:16" x14ac:dyDescent="0.35">
      <c r="F961" s="1" t="str">
        <f>CONCATENATE(tblCong[[#This Row],[parishCode]],"-",tblCong[[#This Row],[kCode]])</f>
        <v>D04-S05-P02-K02</v>
      </c>
      <c r="G961" s="1" t="str">
        <f>Distrik!F$8</f>
        <v>D04</v>
      </c>
      <c r="H961" s="1" t="str">
        <f>VLOOKUP(tblCong[[#This Row],[distCode]],tblDistrict[#All],2)</f>
        <v>Karkar</v>
      </c>
      <c r="I961" s="1" t="str">
        <f>Seket!I$39</f>
        <v>S05</v>
      </c>
      <c r="J961" s="1" t="str">
        <f>CONCATENATE(tblCong[[#This Row],[distCode]],"-",tblCong[[#This Row],[sCode]])</f>
        <v>D04-S05</v>
      </c>
      <c r="K961" s="1" t="str">
        <f>VLOOKUP(tblCong[[#This Row],[seketCode]],tblSeket[#All],5,FALSE)</f>
        <v>Tagub</v>
      </c>
      <c r="L961" s="1" t="str">
        <f>Paris!L$237</f>
        <v>P02</v>
      </c>
      <c r="M961" s="1" t="str">
        <f>CONCATENATE(tblCong[[#This Row],[seketCode]],"-",tblCong[[#This Row],[pCode]])</f>
        <v>D04-S05-P02</v>
      </c>
      <c r="N961" s="1" t="str">
        <f>Paris!M$237</f>
        <v>Karuru</v>
      </c>
      <c r="O961" s="1" t="s">
        <v>569</v>
      </c>
      <c r="P961" s="1" t="s">
        <v>1481</v>
      </c>
    </row>
    <row r="962" spans="6:16" x14ac:dyDescent="0.35">
      <c r="F962" s="1" t="str">
        <f>CONCATENATE(tblCong[[#This Row],[parishCode]],"-",tblCong[[#This Row],[kCode]])</f>
        <v>D04-S05-P02-K03</v>
      </c>
      <c r="G962" s="1" t="str">
        <f>Distrik!F$8</f>
        <v>D04</v>
      </c>
      <c r="H962" s="1" t="str">
        <f>VLOOKUP(tblCong[[#This Row],[distCode]],tblDistrict[#All],2)</f>
        <v>Karkar</v>
      </c>
      <c r="I962" s="1" t="str">
        <f>Seket!I$39</f>
        <v>S05</v>
      </c>
      <c r="J962" s="1" t="str">
        <f>CONCATENATE(tblCong[[#This Row],[distCode]],"-",tblCong[[#This Row],[sCode]])</f>
        <v>D04-S05</v>
      </c>
      <c r="K962" s="1" t="str">
        <f>VLOOKUP(tblCong[[#This Row],[seketCode]],tblSeket[#All],5,FALSE)</f>
        <v>Tagub</v>
      </c>
      <c r="L962" s="1" t="str">
        <f>Paris!L$237</f>
        <v>P02</v>
      </c>
      <c r="M962" s="1" t="str">
        <f>CONCATENATE(tblCong[[#This Row],[seketCode]],"-",tblCong[[#This Row],[pCode]])</f>
        <v>D04-S05-P02</v>
      </c>
      <c r="N962" s="1" t="str">
        <f>Paris!M$237</f>
        <v>Karuru</v>
      </c>
      <c r="O962" s="1" t="s">
        <v>571</v>
      </c>
      <c r="P962" s="1" t="s">
        <v>1482</v>
      </c>
    </row>
    <row r="963" spans="6:16" x14ac:dyDescent="0.35">
      <c r="F963" s="1" t="str">
        <f>CONCATENATE(tblCong[[#This Row],[parishCode]],"-",tblCong[[#This Row],[kCode]])</f>
        <v>D04-S05-P02-K04</v>
      </c>
      <c r="G963" s="1" t="str">
        <f>Distrik!F$8</f>
        <v>D04</v>
      </c>
      <c r="H963" s="1" t="str">
        <f>VLOOKUP(tblCong[[#This Row],[distCode]],tblDistrict[#All],2)</f>
        <v>Karkar</v>
      </c>
      <c r="I963" s="1" t="str">
        <f>Seket!I$39</f>
        <v>S05</v>
      </c>
      <c r="J963" s="1" t="str">
        <f>CONCATENATE(tblCong[[#This Row],[distCode]],"-",tblCong[[#This Row],[sCode]])</f>
        <v>D04-S05</v>
      </c>
      <c r="K963" s="1" t="str">
        <f>VLOOKUP(tblCong[[#This Row],[seketCode]],tblSeket[#All],5,FALSE)</f>
        <v>Tagub</v>
      </c>
      <c r="L963" s="1" t="str">
        <f>Paris!L$237</f>
        <v>P02</v>
      </c>
      <c r="M963" s="1" t="str">
        <f>CONCATENATE(tblCong[[#This Row],[seketCode]],"-",tblCong[[#This Row],[pCode]])</f>
        <v>D04-S05-P02</v>
      </c>
      <c r="N963" s="1" t="str">
        <f>Paris!M$237</f>
        <v>Karuru</v>
      </c>
      <c r="O963" s="1" t="s">
        <v>573</v>
      </c>
      <c r="P963" s="1" t="s">
        <v>1483</v>
      </c>
    </row>
    <row r="964" spans="6:16" x14ac:dyDescent="0.35">
      <c r="F964" s="1" t="str">
        <f>CONCATENATE(tblCong[[#This Row],[parishCode]],"-",tblCong[[#This Row],[kCode]])</f>
        <v>D04-S05-P03-K01</v>
      </c>
      <c r="G964" s="1" t="str">
        <f>Distrik!F$8</f>
        <v>D04</v>
      </c>
      <c r="H964" s="1" t="str">
        <f>VLOOKUP(tblCong[[#This Row],[distCode]],tblDistrict[#All],2)</f>
        <v>Karkar</v>
      </c>
      <c r="I964" s="1" t="str">
        <f>Seket!I$39</f>
        <v>S05</v>
      </c>
      <c r="J964" s="1" t="str">
        <f>CONCATENATE(tblCong[[#This Row],[distCode]],"-",tblCong[[#This Row],[sCode]])</f>
        <v>D04-S05</v>
      </c>
      <c r="K964" s="1" t="str">
        <f>VLOOKUP(tblCong[[#This Row],[seketCode]],tblSeket[#All],5,FALSE)</f>
        <v>Tagub</v>
      </c>
      <c r="L964" s="1" t="str">
        <f>Paris!L$238</f>
        <v>P03</v>
      </c>
      <c r="M964" s="1" t="str">
        <f>CONCATENATE(tblCong[[#This Row],[seketCode]],"-",tblCong[[#This Row],[pCode]])</f>
        <v>D04-S05-P03</v>
      </c>
      <c r="N964" s="1" t="str">
        <f>Paris!M$238</f>
        <v>Makudui</v>
      </c>
      <c r="O964" s="1" t="s">
        <v>567</v>
      </c>
      <c r="P964" s="1" t="s">
        <v>1484</v>
      </c>
    </row>
    <row r="965" spans="6:16" x14ac:dyDescent="0.35">
      <c r="F965" s="1" t="str">
        <f>CONCATENATE(tblCong[[#This Row],[parishCode]],"-",tblCong[[#This Row],[kCode]])</f>
        <v>D04-S05-P03-K02</v>
      </c>
      <c r="G965" s="1" t="str">
        <f>Distrik!F$8</f>
        <v>D04</v>
      </c>
      <c r="H965" s="1" t="str">
        <f>VLOOKUP(tblCong[[#This Row],[distCode]],tblDistrict[#All],2)</f>
        <v>Karkar</v>
      </c>
      <c r="I965" s="1" t="str">
        <f>Seket!I$39</f>
        <v>S05</v>
      </c>
      <c r="J965" s="1" t="str">
        <f>CONCATENATE(tblCong[[#This Row],[distCode]],"-",tblCong[[#This Row],[sCode]])</f>
        <v>D04-S05</v>
      </c>
      <c r="K965" s="1" t="str">
        <f>VLOOKUP(tblCong[[#This Row],[seketCode]],tblSeket[#All],5,FALSE)</f>
        <v>Tagub</v>
      </c>
      <c r="L965" s="1" t="str">
        <f>Paris!L$238</f>
        <v>P03</v>
      </c>
      <c r="M965" s="1" t="str">
        <f>CONCATENATE(tblCong[[#This Row],[seketCode]],"-",tblCong[[#This Row],[pCode]])</f>
        <v>D04-S05-P03</v>
      </c>
      <c r="N965" s="1" t="str">
        <f>Paris!M$238</f>
        <v>Makudui</v>
      </c>
      <c r="O965" s="1" t="s">
        <v>569</v>
      </c>
      <c r="P965" s="1" t="s">
        <v>1485</v>
      </c>
    </row>
    <row r="966" spans="6:16" x14ac:dyDescent="0.35">
      <c r="F966" s="1" t="str">
        <f>CONCATENATE(tblCong[[#This Row],[parishCode]],"-",tblCong[[#This Row],[kCode]])</f>
        <v>D04-S05-P03-K03</v>
      </c>
      <c r="G966" s="1" t="str">
        <f>Distrik!F$8</f>
        <v>D04</v>
      </c>
      <c r="H966" s="1" t="str">
        <f>VLOOKUP(tblCong[[#This Row],[distCode]],tblDistrict[#All],2)</f>
        <v>Karkar</v>
      </c>
      <c r="I966" s="1" t="str">
        <f>Seket!I$39</f>
        <v>S05</v>
      </c>
      <c r="J966" s="1" t="str">
        <f>CONCATENATE(tblCong[[#This Row],[distCode]],"-",tblCong[[#This Row],[sCode]])</f>
        <v>D04-S05</v>
      </c>
      <c r="K966" s="1" t="str">
        <f>VLOOKUP(tblCong[[#This Row],[seketCode]],tblSeket[#All],5,FALSE)</f>
        <v>Tagub</v>
      </c>
      <c r="L966" s="1" t="str">
        <f>Paris!L$238</f>
        <v>P03</v>
      </c>
      <c r="M966" s="1" t="str">
        <f>CONCATENATE(tblCong[[#This Row],[seketCode]],"-",tblCong[[#This Row],[pCode]])</f>
        <v>D04-S05-P03</v>
      </c>
      <c r="N966" s="1" t="str">
        <f>Paris!M$238</f>
        <v>Makudui</v>
      </c>
      <c r="O966" s="1" t="s">
        <v>571</v>
      </c>
      <c r="P966" s="1" t="s">
        <v>1486</v>
      </c>
    </row>
    <row r="967" spans="6:16" x14ac:dyDescent="0.35">
      <c r="F967" s="1" t="str">
        <f>CONCATENATE(tblCong[[#This Row],[parishCode]],"-",tblCong[[#This Row],[kCode]])</f>
        <v>D04-S05-P03-K04</v>
      </c>
      <c r="G967" s="1" t="str">
        <f>Distrik!F$8</f>
        <v>D04</v>
      </c>
      <c r="H967" s="1" t="str">
        <f>VLOOKUP(tblCong[[#This Row],[distCode]],tblDistrict[#All],2)</f>
        <v>Karkar</v>
      </c>
      <c r="I967" s="1" t="str">
        <f>Seket!I$39</f>
        <v>S05</v>
      </c>
      <c r="J967" s="1" t="str">
        <f>CONCATENATE(tblCong[[#This Row],[distCode]],"-",tblCong[[#This Row],[sCode]])</f>
        <v>D04-S05</v>
      </c>
      <c r="K967" s="1" t="str">
        <f>VLOOKUP(tblCong[[#This Row],[seketCode]],tblSeket[#All],5,FALSE)</f>
        <v>Tagub</v>
      </c>
      <c r="L967" s="1" t="str">
        <f>Paris!L$238</f>
        <v>P03</v>
      </c>
      <c r="M967" s="1" t="str">
        <f>CONCATENATE(tblCong[[#This Row],[seketCode]],"-",tblCong[[#This Row],[pCode]])</f>
        <v>D04-S05-P03</v>
      </c>
      <c r="N967" s="1" t="str">
        <f>Paris!M$238</f>
        <v>Makudui</v>
      </c>
      <c r="O967" s="1" t="s">
        <v>573</v>
      </c>
      <c r="P967" s="1" t="s">
        <v>1487</v>
      </c>
    </row>
    <row r="968" spans="6:16" x14ac:dyDescent="0.35">
      <c r="F968" s="1" t="str">
        <f>CONCATENATE(tblCong[[#This Row],[parishCode]],"-",tblCong[[#This Row],[kCode]])</f>
        <v>D04-S05-P04-K01</v>
      </c>
      <c r="G968" s="1" t="str">
        <f>Distrik!F$8</f>
        <v>D04</v>
      </c>
      <c r="H968" s="1" t="str">
        <f>VLOOKUP(tblCong[[#This Row],[distCode]],tblDistrict[#All],2)</f>
        <v>Karkar</v>
      </c>
      <c r="I968" s="1" t="str">
        <f>Seket!I$39</f>
        <v>S05</v>
      </c>
      <c r="J968" s="1" t="str">
        <f>CONCATENATE(tblCong[[#This Row],[distCode]],"-",tblCong[[#This Row],[sCode]])</f>
        <v>D04-S05</v>
      </c>
      <c r="K968" s="1" t="str">
        <f>VLOOKUP(tblCong[[#This Row],[seketCode]],tblSeket[#All],5,FALSE)</f>
        <v>Tagub</v>
      </c>
      <c r="L968" s="1" t="str">
        <f>Paris!L$239</f>
        <v>P04</v>
      </c>
      <c r="M968" s="1" t="str">
        <f>CONCATENATE(tblCong[[#This Row],[seketCode]],"-",tblCong[[#This Row],[pCode]])</f>
        <v>D04-S05-P04</v>
      </c>
      <c r="N968" s="1" t="str">
        <f>Paris!M$239</f>
        <v>Kabong</v>
      </c>
      <c r="O968" s="1" t="s">
        <v>567</v>
      </c>
      <c r="P968" s="1" t="s">
        <v>1488</v>
      </c>
    </row>
    <row r="969" spans="6:16" x14ac:dyDescent="0.35">
      <c r="F969" s="1" t="str">
        <f>CONCATENATE(tblCong[[#This Row],[parishCode]],"-",tblCong[[#This Row],[kCode]])</f>
        <v>D04-S05-P04-K02</v>
      </c>
      <c r="G969" s="1" t="str">
        <f>Distrik!F$8</f>
        <v>D04</v>
      </c>
      <c r="H969" s="1" t="str">
        <f>VLOOKUP(tblCong[[#This Row],[distCode]],tblDistrict[#All],2)</f>
        <v>Karkar</v>
      </c>
      <c r="I969" s="1" t="str">
        <f>Seket!I$39</f>
        <v>S05</v>
      </c>
      <c r="J969" s="1" t="str">
        <f>CONCATENATE(tblCong[[#This Row],[distCode]],"-",tblCong[[#This Row],[sCode]])</f>
        <v>D04-S05</v>
      </c>
      <c r="K969" s="1" t="str">
        <f>VLOOKUP(tblCong[[#This Row],[seketCode]],tblSeket[#All],5,FALSE)</f>
        <v>Tagub</v>
      </c>
      <c r="L969" s="1" t="str">
        <f>Paris!L$239</f>
        <v>P04</v>
      </c>
      <c r="M969" s="1" t="str">
        <f>CONCATENATE(tblCong[[#This Row],[seketCode]],"-",tblCong[[#This Row],[pCode]])</f>
        <v>D04-S05-P04</v>
      </c>
      <c r="N969" s="1" t="str">
        <f>Paris!M$239</f>
        <v>Kabong</v>
      </c>
      <c r="O969" s="1" t="s">
        <v>569</v>
      </c>
      <c r="P969" s="1" t="s">
        <v>1489</v>
      </c>
    </row>
    <row r="970" spans="6:16" x14ac:dyDescent="0.35">
      <c r="F970" s="1" t="str">
        <f>CONCATENATE(tblCong[[#This Row],[parishCode]],"-",tblCong[[#This Row],[kCode]])</f>
        <v>D04-S05-P04-K03</v>
      </c>
      <c r="G970" s="1" t="str">
        <f>Distrik!F$8</f>
        <v>D04</v>
      </c>
      <c r="H970" s="1" t="str">
        <f>VLOOKUP(tblCong[[#This Row],[distCode]],tblDistrict[#All],2)</f>
        <v>Karkar</v>
      </c>
      <c r="I970" s="1" t="str">
        <f>Seket!I$39</f>
        <v>S05</v>
      </c>
      <c r="J970" s="1" t="str">
        <f>CONCATENATE(tblCong[[#This Row],[distCode]],"-",tblCong[[#This Row],[sCode]])</f>
        <v>D04-S05</v>
      </c>
      <c r="K970" s="1" t="str">
        <f>VLOOKUP(tblCong[[#This Row],[seketCode]],tblSeket[#All],5,FALSE)</f>
        <v>Tagub</v>
      </c>
      <c r="L970" s="1" t="str">
        <f>Paris!L$239</f>
        <v>P04</v>
      </c>
      <c r="M970" s="1" t="str">
        <f>CONCATENATE(tblCong[[#This Row],[seketCode]],"-",tblCong[[#This Row],[pCode]])</f>
        <v>D04-S05-P04</v>
      </c>
      <c r="N970" s="1" t="str">
        <f>Paris!M$239</f>
        <v>Kabong</v>
      </c>
      <c r="O970" s="1" t="s">
        <v>571</v>
      </c>
      <c r="P970" s="1" t="s">
        <v>1490</v>
      </c>
    </row>
    <row r="971" spans="6:16" x14ac:dyDescent="0.35">
      <c r="F971" s="1" t="str">
        <f>CONCATENATE(tblCong[[#This Row],[parishCode]],"-",tblCong[[#This Row],[kCode]])</f>
        <v>D05-S01-P01-K01</v>
      </c>
      <c r="G971" s="1" t="str">
        <f>Distrik!F$9</f>
        <v>D05</v>
      </c>
      <c r="H971" s="1" t="str">
        <f>VLOOKUP(tblCong[[#This Row],[distCode]],tblDistrict[#All],2)</f>
        <v>Siassi</v>
      </c>
      <c r="I971" s="1" t="str">
        <f>Seket!I$41</f>
        <v>S01</v>
      </c>
      <c r="J971" s="1" t="str">
        <f>CONCATENATE(tblCong[[#This Row],[distCode]],"-",tblCong[[#This Row],[sCode]])</f>
        <v>D05-S01</v>
      </c>
      <c r="K971" s="1" t="str">
        <f>VLOOKUP(tblCong[[#This Row],[seketCode]],tblSeket[#All],5,FALSE)</f>
        <v>Zone 1: Molap</v>
      </c>
      <c r="L971" s="1" t="str">
        <f>Paris!L$244</f>
        <v>P01</v>
      </c>
      <c r="M971" s="1" t="str">
        <f>CONCATENATE(tblCong[[#This Row],[seketCode]],"-",tblCong[[#This Row],[pCode]])</f>
        <v>D05-S01-P01</v>
      </c>
      <c r="N971" s="1" t="str">
        <f>Paris!M$244</f>
        <v>Aimalu</v>
      </c>
      <c r="O971" s="1" t="s">
        <v>567</v>
      </c>
      <c r="P971" s="1" t="s">
        <v>1491</v>
      </c>
    </row>
    <row r="972" spans="6:16" x14ac:dyDescent="0.35">
      <c r="F972" s="1" t="str">
        <f>CONCATENATE(tblCong[[#This Row],[parishCode]],"-",tblCong[[#This Row],[kCode]])</f>
        <v>D05-S01-P01-K02</v>
      </c>
      <c r="G972" s="1" t="str">
        <f>Distrik!F$9</f>
        <v>D05</v>
      </c>
      <c r="H972" s="1" t="str">
        <f>VLOOKUP(tblCong[[#This Row],[distCode]],tblDistrict[#All],2)</f>
        <v>Siassi</v>
      </c>
      <c r="I972" s="1" t="str">
        <f>Seket!I$41</f>
        <v>S01</v>
      </c>
      <c r="J972" s="1" t="str">
        <f>CONCATENATE(tblCong[[#This Row],[distCode]],"-",tblCong[[#This Row],[sCode]])</f>
        <v>D05-S01</v>
      </c>
      <c r="K972" s="1" t="str">
        <f>VLOOKUP(tblCong[[#This Row],[seketCode]],tblSeket[#All],5,FALSE)</f>
        <v>Zone 1: Molap</v>
      </c>
      <c r="L972" s="1" t="str">
        <f>Paris!L$244</f>
        <v>P01</v>
      </c>
      <c r="M972" s="1" t="str">
        <f>CONCATENATE(tblCong[[#This Row],[seketCode]],"-",tblCong[[#This Row],[pCode]])</f>
        <v>D05-S01-P01</v>
      </c>
      <c r="N972" s="1" t="str">
        <f>Paris!M$244</f>
        <v>Aimalu</v>
      </c>
      <c r="O972" s="1" t="s">
        <v>569</v>
      </c>
      <c r="P972" s="1" t="s">
        <v>1492</v>
      </c>
    </row>
    <row r="973" spans="6:16" x14ac:dyDescent="0.35">
      <c r="F973" s="1" t="str">
        <f>CONCATENATE(tblCong[[#This Row],[parishCode]],"-",tblCong[[#This Row],[kCode]])</f>
        <v>D05-S01-P01-K03</v>
      </c>
      <c r="G973" s="1" t="str">
        <f>Distrik!F$9</f>
        <v>D05</v>
      </c>
      <c r="H973" s="1" t="str">
        <f>VLOOKUP(tblCong[[#This Row],[distCode]],tblDistrict[#All],2)</f>
        <v>Siassi</v>
      </c>
      <c r="I973" s="1" t="str">
        <f>Seket!I$41</f>
        <v>S01</v>
      </c>
      <c r="J973" s="1" t="str">
        <f>CONCATENATE(tblCong[[#This Row],[distCode]],"-",tblCong[[#This Row],[sCode]])</f>
        <v>D05-S01</v>
      </c>
      <c r="K973" s="1" t="str">
        <f>VLOOKUP(tblCong[[#This Row],[seketCode]],tblSeket[#All],5,FALSE)</f>
        <v>Zone 1: Molap</v>
      </c>
      <c r="L973" s="1" t="str">
        <f>Paris!L$244</f>
        <v>P01</v>
      </c>
      <c r="M973" s="1" t="str">
        <f>CONCATENATE(tblCong[[#This Row],[seketCode]],"-",tblCong[[#This Row],[pCode]])</f>
        <v>D05-S01-P01</v>
      </c>
      <c r="N973" s="1" t="str">
        <f>Paris!M$244</f>
        <v>Aimalu</v>
      </c>
      <c r="O973" s="1" t="s">
        <v>571</v>
      </c>
      <c r="P973" s="1" t="s">
        <v>1493</v>
      </c>
    </row>
    <row r="974" spans="6:16" x14ac:dyDescent="0.35">
      <c r="F974" s="1" t="str">
        <f>CONCATENATE(tblCong[[#This Row],[parishCode]],"-",tblCong[[#This Row],[kCode]])</f>
        <v>D05-S01-P02-K01</v>
      </c>
      <c r="G974" s="1" t="str">
        <f>Distrik!F$9</f>
        <v>D05</v>
      </c>
      <c r="H974" s="1" t="str">
        <f>VLOOKUP(tblCong[[#This Row],[distCode]],tblDistrict[#All],2)</f>
        <v>Siassi</v>
      </c>
      <c r="I974" s="1" t="str">
        <f>Seket!I$41</f>
        <v>S01</v>
      </c>
      <c r="J974" s="1" t="str">
        <f>CONCATENATE(tblCong[[#This Row],[distCode]],"-",tblCong[[#This Row],[sCode]])</f>
        <v>D05-S01</v>
      </c>
      <c r="K974" s="1" t="str">
        <f>VLOOKUP(tblCong[[#This Row],[seketCode]],tblSeket[#All],5,FALSE)</f>
        <v>Zone 1: Molap</v>
      </c>
      <c r="L974" s="1" t="str">
        <f>Paris!L$245</f>
        <v>P02</v>
      </c>
      <c r="M974" s="1" t="str">
        <f>CONCATENATE(tblCong[[#This Row],[seketCode]],"-",tblCong[[#This Row],[pCode]])</f>
        <v>D05-S01-P02</v>
      </c>
      <c r="N974" s="1" t="str">
        <f>Paris!M$245</f>
        <v>Samanai</v>
      </c>
      <c r="O974" s="1" t="s">
        <v>567</v>
      </c>
      <c r="P974" s="1" t="s">
        <v>1494</v>
      </c>
    </row>
    <row r="975" spans="6:16" x14ac:dyDescent="0.35">
      <c r="F975" s="1" t="str">
        <f>CONCATENATE(tblCong[[#This Row],[parishCode]],"-",tblCong[[#This Row],[kCode]])</f>
        <v>D05-S01-P02-K02</v>
      </c>
      <c r="G975" s="1" t="str">
        <f>Distrik!F$9</f>
        <v>D05</v>
      </c>
      <c r="H975" s="1" t="str">
        <f>VLOOKUP(tblCong[[#This Row],[distCode]],tblDistrict[#All],2)</f>
        <v>Siassi</v>
      </c>
      <c r="I975" s="1" t="str">
        <f>Seket!I$41</f>
        <v>S01</v>
      </c>
      <c r="J975" s="1" t="str">
        <f>CONCATENATE(tblCong[[#This Row],[distCode]],"-",tblCong[[#This Row],[sCode]])</f>
        <v>D05-S01</v>
      </c>
      <c r="K975" s="1" t="str">
        <f>VLOOKUP(tblCong[[#This Row],[seketCode]],tblSeket[#All],5,FALSE)</f>
        <v>Zone 1: Molap</v>
      </c>
      <c r="L975" s="1" t="str">
        <f>Paris!L$245</f>
        <v>P02</v>
      </c>
      <c r="M975" s="1" t="str">
        <f>CONCATENATE(tblCong[[#This Row],[seketCode]],"-",tblCong[[#This Row],[pCode]])</f>
        <v>D05-S01-P02</v>
      </c>
      <c r="N975" s="1" t="str">
        <f>Paris!M$245</f>
        <v>Samanai</v>
      </c>
      <c r="O975" s="1" t="s">
        <v>569</v>
      </c>
      <c r="P975" s="1" t="s">
        <v>1495</v>
      </c>
    </row>
    <row r="976" spans="6:16" x14ac:dyDescent="0.35">
      <c r="F976" s="1" t="str">
        <f>CONCATENATE(tblCong[[#This Row],[parishCode]],"-",tblCong[[#This Row],[kCode]])</f>
        <v>D05-S01-P02-K03</v>
      </c>
      <c r="G976" s="1" t="str">
        <f>Distrik!F$9</f>
        <v>D05</v>
      </c>
      <c r="H976" s="1" t="str">
        <f>VLOOKUP(tblCong[[#This Row],[distCode]],tblDistrict[#All],2)</f>
        <v>Siassi</v>
      </c>
      <c r="I976" s="1" t="str">
        <f>Seket!I$41</f>
        <v>S01</v>
      </c>
      <c r="J976" s="1" t="str">
        <f>CONCATENATE(tblCong[[#This Row],[distCode]],"-",tblCong[[#This Row],[sCode]])</f>
        <v>D05-S01</v>
      </c>
      <c r="K976" s="1" t="str">
        <f>VLOOKUP(tblCong[[#This Row],[seketCode]],tblSeket[#All],5,FALSE)</f>
        <v>Zone 1: Molap</v>
      </c>
      <c r="L976" s="1" t="str">
        <f>Paris!L$245</f>
        <v>P02</v>
      </c>
      <c r="M976" s="1" t="str">
        <f>CONCATENATE(tblCong[[#This Row],[seketCode]],"-",tblCong[[#This Row],[pCode]])</f>
        <v>D05-S01-P02</v>
      </c>
      <c r="N976" s="1" t="str">
        <f>Paris!M$245</f>
        <v>Samanai</v>
      </c>
      <c r="O976" s="1" t="s">
        <v>571</v>
      </c>
      <c r="P976" s="1" t="s">
        <v>1496</v>
      </c>
    </row>
    <row r="977" spans="6:16" x14ac:dyDescent="0.35">
      <c r="F977" s="1" t="str">
        <f>CONCATENATE(tblCong[[#This Row],[parishCode]],"-",tblCong[[#This Row],[kCode]])</f>
        <v>D05-S01-P03-K01</v>
      </c>
      <c r="G977" s="1" t="str">
        <f>Distrik!F$9</f>
        <v>D05</v>
      </c>
      <c r="H977" s="1" t="str">
        <f>VLOOKUP(tblCong[[#This Row],[distCode]],tblDistrict[#All],2)</f>
        <v>Siassi</v>
      </c>
      <c r="I977" s="1" t="str">
        <f>Seket!I$41</f>
        <v>S01</v>
      </c>
      <c r="J977" s="1" t="str">
        <f>CONCATENATE(tblCong[[#This Row],[distCode]],"-",tblCong[[#This Row],[sCode]])</f>
        <v>D05-S01</v>
      </c>
      <c r="K977" s="1" t="str">
        <f>VLOOKUP(tblCong[[#This Row],[seketCode]],tblSeket[#All],5,FALSE)</f>
        <v>Zone 1: Molap</v>
      </c>
      <c r="L977" s="1" t="str">
        <f>Paris!L$246</f>
        <v>P03</v>
      </c>
      <c r="M977" s="1" t="str">
        <f>CONCATENATE(tblCong[[#This Row],[seketCode]],"-",tblCong[[#This Row],[pCode]])</f>
        <v>D05-S01-P03</v>
      </c>
      <c r="N977" s="1" t="str">
        <f>Paris!M$246</f>
        <v>Semo</v>
      </c>
      <c r="O977" s="1" t="s">
        <v>567</v>
      </c>
      <c r="P977" s="1" t="s">
        <v>1497</v>
      </c>
    </row>
    <row r="978" spans="6:16" x14ac:dyDescent="0.35">
      <c r="F978" s="1" t="str">
        <f>CONCATENATE(tblCong[[#This Row],[parishCode]],"-",tblCong[[#This Row],[kCode]])</f>
        <v>D05-S01-P04-K01</v>
      </c>
      <c r="G978" s="1" t="str">
        <f>Distrik!F$9</f>
        <v>D05</v>
      </c>
      <c r="H978" s="1" t="str">
        <f>VLOOKUP(tblCong[[#This Row],[distCode]],tblDistrict[#All],2)</f>
        <v>Siassi</v>
      </c>
      <c r="I978" s="1" t="str">
        <f>Seket!I$41</f>
        <v>S01</v>
      </c>
      <c r="J978" s="1" t="str">
        <f>CONCATENATE(tblCong[[#This Row],[distCode]],"-",tblCong[[#This Row],[sCode]])</f>
        <v>D05-S01</v>
      </c>
      <c r="K978" s="1" t="str">
        <f>VLOOKUP(tblCong[[#This Row],[seketCode]],tblSeket[#All],5,FALSE)</f>
        <v>Zone 1: Molap</v>
      </c>
      <c r="L978" s="1" t="str">
        <f>Paris!L$247</f>
        <v>P04</v>
      </c>
      <c r="M978" s="1" t="str">
        <f>CONCATENATE(tblCong[[#This Row],[seketCode]],"-",tblCong[[#This Row],[pCode]])</f>
        <v>D05-S01-P04</v>
      </c>
      <c r="N978" s="1" t="str">
        <f>Paris!M$247</f>
        <v>Padamot</v>
      </c>
      <c r="O978" s="1" t="s">
        <v>567</v>
      </c>
      <c r="P978" s="1" t="s">
        <v>1498</v>
      </c>
    </row>
    <row r="979" spans="6:16" x14ac:dyDescent="0.35">
      <c r="F979" s="1" t="str">
        <f>CONCATENATE(tblCong[[#This Row],[parishCode]],"-",tblCong[[#This Row],[kCode]])</f>
        <v>D05-S01-P05-K01</v>
      </c>
      <c r="G979" s="1" t="str">
        <f>Distrik!F$9</f>
        <v>D05</v>
      </c>
      <c r="H979" s="1" t="str">
        <f>VLOOKUP(tblCong[[#This Row],[distCode]],tblDistrict[#All],2)</f>
        <v>Siassi</v>
      </c>
      <c r="I979" s="1" t="str">
        <f>Seket!I$41</f>
        <v>S01</v>
      </c>
      <c r="J979" s="1" t="str">
        <f>CONCATENATE(tblCong[[#This Row],[distCode]],"-",tblCong[[#This Row],[sCode]])</f>
        <v>D05-S01</v>
      </c>
      <c r="K979" s="1" t="str">
        <f>VLOOKUP(tblCong[[#This Row],[seketCode]],tblSeket[#All],5,FALSE)</f>
        <v>Zone 1: Molap</v>
      </c>
      <c r="L979" s="1" t="str">
        <f>Paris!L$248</f>
        <v>P05</v>
      </c>
      <c r="M979" s="1" t="str">
        <f>CONCATENATE(tblCong[[#This Row],[seketCode]],"-",tblCong[[#This Row],[pCode]])</f>
        <v>D05-S01-P05</v>
      </c>
      <c r="N979" s="1" t="str">
        <f>Paris!M$248</f>
        <v>Tagob</v>
      </c>
      <c r="O979" s="1" t="s">
        <v>567</v>
      </c>
      <c r="P979" s="1" t="s">
        <v>1499</v>
      </c>
    </row>
    <row r="980" spans="6:16" x14ac:dyDescent="0.35">
      <c r="F980" s="1" t="str">
        <f>CONCATENATE(tblCong[[#This Row],[parishCode]],"-",tblCong[[#This Row],[kCode]])</f>
        <v>D05-S01-P05-K02</v>
      </c>
      <c r="G980" s="1" t="str">
        <f>Distrik!F$9</f>
        <v>D05</v>
      </c>
      <c r="H980" s="1" t="str">
        <f>VLOOKUP(tblCong[[#This Row],[distCode]],tblDistrict[#All],2)</f>
        <v>Siassi</v>
      </c>
      <c r="I980" s="1" t="str">
        <f>Seket!I$41</f>
        <v>S01</v>
      </c>
      <c r="J980" s="1" t="str">
        <f>CONCATENATE(tblCong[[#This Row],[distCode]],"-",tblCong[[#This Row],[sCode]])</f>
        <v>D05-S01</v>
      </c>
      <c r="K980" s="1" t="str">
        <f>VLOOKUP(tblCong[[#This Row],[seketCode]],tblSeket[#All],5,FALSE)</f>
        <v>Zone 1: Molap</v>
      </c>
      <c r="L980" s="1" t="str">
        <f>Paris!L$248</f>
        <v>P05</v>
      </c>
      <c r="M980" s="1" t="str">
        <f>CONCATENATE(tblCong[[#This Row],[seketCode]],"-",tblCong[[#This Row],[pCode]])</f>
        <v>D05-S01-P05</v>
      </c>
      <c r="N980" s="1" t="str">
        <f>Paris!M$248</f>
        <v>Tagob</v>
      </c>
      <c r="O980" s="1" t="s">
        <v>569</v>
      </c>
      <c r="P980" s="1" t="s">
        <v>1500</v>
      </c>
    </row>
    <row r="981" spans="6:16" x14ac:dyDescent="0.35">
      <c r="F981" s="1" t="str">
        <f>CONCATENATE(tblCong[[#This Row],[parishCode]],"-",tblCong[[#This Row],[kCode]])</f>
        <v>D05-S01-P05-K03</v>
      </c>
      <c r="G981" s="1" t="str">
        <f>Distrik!F$9</f>
        <v>D05</v>
      </c>
      <c r="H981" s="1" t="str">
        <f>VLOOKUP(tblCong[[#This Row],[distCode]],tblDistrict[#All],2)</f>
        <v>Siassi</v>
      </c>
      <c r="I981" s="1" t="str">
        <f>Seket!I$41</f>
        <v>S01</v>
      </c>
      <c r="J981" s="1" t="str">
        <f>CONCATENATE(tblCong[[#This Row],[distCode]],"-",tblCong[[#This Row],[sCode]])</f>
        <v>D05-S01</v>
      </c>
      <c r="K981" s="1" t="str">
        <f>VLOOKUP(tblCong[[#This Row],[seketCode]],tblSeket[#All],5,FALSE)</f>
        <v>Zone 1: Molap</v>
      </c>
      <c r="L981" s="1" t="str">
        <f>Paris!L$248</f>
        <v>P05</v>
      </c>
      <c r="M981" s="1" t="str">
        <f>CONCATENATE(tblCong[[#This Row],[seketCode]],"-",tblCong[[#This Row],[pCode]])</f>
        <v>D05-S01-P05</v>
      </c>
      <c r="N981" s="1" t="str">
        <f>Paris!M$248</f>
        <v>Tagob</v>
      </c>
      <c r="O981" s="1" t="s">
        <v>571</v>
      </c>
      <c r="P981" s="1" t="s">
        <v>1501</v>
      </c>
    </row>
    <row r="982" spans="6:16" x14ac:dyDescent="0.35">
      <c r="F982" s="1" t="str">
        <f>CONCATENATE(tblCong[[#This Row],[parishCode]],"-",tblCong[[#This Row],[kCode]])</f>
        <v>D05-S01-P05-K04</v>
      </c>
      <c r="G982" s="1" t="str">
        <f>Distrik!F$9</f>
        <v>D05</v>
      </c>
      <c r="H982" s="1" t="str">
        <f>VLOOKUP(tblCong[[#This Row],[distCode]],tblDistrict[#All],2)</f>
        <v>Siassi</v>
      </c>
      <c r="I982" s="1" t="str">
        <f>Seket!I$41</f>
        <v>S01</v>
      </c>
      <c r="J982" s="1" t="str">
        <f>CONCATENATE(tblCong[[#This Row],[distCode]],"-",tblCong[[#This Row],[sCode]])</f>
        <v>D05-S01</v>
      </c>
      <c r="K982" s="1" t="str">
        <f>VLOOKUP(tblCong[[#This Row],[seketCode]],tblSeket[#All],5,FALSE)</f>
        <v>Zone 1: Molap</v>
      </c>
      <c r="L982" s="1" t="str">
        <f>Paris!L$248</f>
        <v>P05</v>
      </c>
      <c r="M982" s="1" t="str">
        <f>CONCATENATE(tblCong[[#This Row],[seketCode]],"-",tblCong[[#This Row],[pCode]])</f>
        <v>D05-S01-P05</v>
      </c>
      <c r="N982" s="1" t="str">
        <f>Paris!M$248</f>
        <v>Tagob</v>
      </c>
      <c r="O982" s="1" t="s">
        <v>573</v>
      </c>
      <c r="P982" s="1" t="s">
        <v>1502</v>
      </c>
    </row>
    <row r="983" spans="6:16" x14ac:dyDescent="0.35">
      <c r="F983" s="1" t="str">
        <f>CONCATENATE(tblCong[[#This Row],[parishCode]],"-",tblCong[[#This Row],[kCode]])</f>
        <v>D05-S01-P06-K01</v>
      </c>
      <c r="G983" s="1" t="str">
        <f>Distrik!F$9</f>
        <v>D05</v>
      </c>
      <c r="H983" s="1" t="str">
        <f>VLOOKUP(tblCong[[#This Row],[distCode]],tblDistrict[#All],2)</f>
        <v>Siassi</v>
      </c>
      <c r="I983" s="1" t="str">
        <f>Seket!I$41</f>
        <v>S01</v>
      </c>
      <c r="J983" s="1" t="str">
        <f>CONCATENATE(tblCong[[#This Row],[distCode]],"-",tblCong[[#This Row],[sCode]])</f>
        <v>D05-S01</v>
      </c>
      <c r="K983" s="1" t="str">
        <f>VLOOKUP(tblCong[[#This Row],[seketCode]],tblSeket[#All],5,FALSE)</f>
        <v>Zone 1: Molap</v>
      </c>
      <c r="L983" s="1" t="str">
        <f>Paris!L$249</f>
        <v>P06</v>
      </c>
      <c r="M983" s="1" t="str">
        <f>CONCATENATE(tblCong[[#This Row],[seketCode]],"-",tblCong[[#This Row],[pCode]])</f>
        <v>D05-S01-P06</v>
      </c>
      <c r="N983" s="1" t="str">
        <f>Paris!M$249</f>
        <v>Umgon</v>
      </c>
      <c r="O983" s="1" t="s">
        <v>567</v>
      </c>
      <c r="P983" s="1" t="s">
        <v>1503</v>
      </c>
    </row>
    <row r="984" spans="6:16" x14ac:dyDescent="0.35">
      <c r="F984" s="1" t="str">
        <f>CONCATENATE(tblCong[[#This Row],[parishCode]],"-",tblCong[[#This Row],[kCode]])</f>
        <v>D05-S01-P06-K02</v>
      </c>
      <c r="G984" s="1" t="str">
        <f>Distrik!F$9</f>
        <v>D05</v>
      </c>
      <c r="H984" s="1" t="str">
        <f>VLOOKUP(tblCong[[#This Row],[distCode]],tblDistrict[#All],2)</f>
        <v>Siassi</v>
      </c>
      <c r="I984" s="1" t="str">
        <f>Seket!I$41</f>
        <v>S01</v>
      </c>
      <c r="J984" s="1" t="str">
        <f>CONCATENATE(tblCong[[#This Row],[distCode]],"-",tblCong[[#This Row],[sCode]])</f>
        <v>D05-S01</v>
      </c>
      <c r="K984" s="1" t="str">
        <f>VLOOKUP(tblCong[[#This Row],[seketCode]],tblSeket[#All],5,FALSE)</f>
        <v>Zone 1: Molap</v>
      </c>
      <c r="L984" s="1" t="str">
        <f>Paris!L$249</f>
        <v>P06</v>
      </c>
      <c r="M984" s="1" t="str">
        <f>CONCATENATE(tblCong[[#This Row],[seketCode]],"-",tblCong[[#This Row],[pCode]])</f>
        <v>D05-S01-P06</v>
      </c>
      <c r="N984" s="1" t="str">
        <f>Paris!M$249</f>
        <v>Umgon</v>
      </c>
      <c r="O984" s="1" t="s">
        <v>569</v>
      </c>
      <c r="P984" s="1" t="s">
        <v>1504</v>
      </c>
    </row>
    <row r="985" spans="6:16" x14ac:dyDescent="0.35">
      <c r="F985" s="1" t="str">
        <f>CONCATENATE(tblCong[[#This Row],[parishCode]],"-",tblCong[[#This Row],[kCode]])</f>
        <v>D05-S01-P06-K03</v>
      </c>
      <c r="G985" s="1" t="str">
        <f>Distrik!F$9</f>
        <v>D05</v>
      </c>
      <c r="H985" s="1" t="str">
        <f>VLOOKUP(tblCong[[#This Row],[distCode]],tblDistrict[#All],2)</f>
        <v>Siassi</v>
      </c>
      <c r="I985" s="1" t="str">
        <f>Seket!I$41</f>
        <v>S01</v>
      </c>
      <c r="J985" s="1" t="str">
        <f>CONCATENATE(tblCong[[#This Row],[distCode]],"-",tblCong[[#This Row],[sCode]])</f>
        <v>D05-S01</v>
      </c>
      <c r="K985" s="1" t="str">
        <f>VLOOKUP(tblCong[[#This Row],[seketCode]],tblSeket[#All],5,FALSE)</f>
        <v>Zone 1: Molap</v>
      </c>
      <c r="L985" s="1" t="str">
        <f>Paris!L$249</f>
        <v>P06</v>
      </c>
      <c r="M985" s="1" t="str">
        <f>CONCATENATE(tblCong[[#This Row],[seketCode]],"-",tblCong[[#This Row],[pCode]])</f>
        <v>D05-S01-P06</v>
      </c>
      <c r="N985" s="1" t="str">
        <f>Paris!M$249</f>
        <v>Umgon</v>
      </c>
      <c r="O985" s="1" t="s">
        <v>571</v>
      </c>
      <c r="P985" s="1" t="s">
        <v>1505</v>
      </c>
    </row>
    <row r="986" spans="6:16" x14ac:dyDescent="0.35">
      <c r="F986" s="1" t="str">
        <f>CONCATENATE(tblCong[[#This Row],[parishCode]],"-",tblCong[[#This Row],[kCode]])</f>
        <v>D05-S01-P06-K04</v>
      </c>
      <c r="G986" s="1" t="str">
        <f>Distrik!F$9</f>
        <v>D05</v>
      </c>
      <c r="H986" s="1" t="str">
        <f>VLOOKUP(tblCong[[#This Row],[distCode]],tblDistrict[#All],2)</f>
        <v>Siassi</v>
      </c>
      <c r="I986" s="1" t="str">
        <f>Seket!I$41</f>
        <v>S01</v>
      </c>
      <c r="J986" s="1" t="str">
        <f>CONCATENATE(tblCong[[#This Row],[distCode]],"-",tblCong[[#This Row],[sCode]])</f>
        <v>D05-S01</v>
      </c>
      <c r="K986" s="1" t="str">
        <f>VLOOKUP(tblCong[[#This Row],[seketCode]],tblSeket[#All],5,FALSE)</f>
        <v>Zone 1: Molap</v>
      </c>
      <c r="L986" s="1" t="str">
        <f>Paris!L$249</f>
        <v>P06</v>
      </c>
      <c r="M986" s="1" t="str">
        <f>CONCATENATE(tblCong[[#This Row],[seketCode]],"-",tblCong[[#This Row],[pCode]])</f>
        <v>D05-S01-P06</v>
      </c>
      <c r="N986" s="1" t="str">
        <f>Paris!M$249</f>
        <v>Umgon</v>
      </c>
      <c r="O986" s="1" t="s">
        <v>573</v>
      </c>
      <c r="P986" s="1" t="s">
        <v>1506</v>
      </c>
    </row>
    <row r="987" spans="6:16" x14ac:dyDescent="0.35">
      <c r="F987" s="1" t="str">
        <f>CONCATENATE(tblCong[[#This Row],[parishCode]],"-",tblCong[[#This Row],[kCode]])</f>
        <v>D05-S01-P07-K01</v>
      </c>
      <c r="G987" s="1" t="str">
        <f>Distrik!F$9</f>
        <v>D05</v>
      </c>
      <c r="H987" s="1" t="str">
        <f>VLOOKUP(tblCong[[#This Row],[distCode]],tblDistrict[#All],2)</f>
        <v>Siassi</v>
      </c>
      <c r="I987" s="1" t="str">
        <f>Seket!I$41</f>
        <v>S01</v>
      </c>
      <c r="J987" s="1" t="str">
        <f>CONCATENATE(tblCong[[#This Row],[distCode]],"-",tblCong[[#This Row],[sCode]])</f>
        <v>D05-S01</v>
      </c>
      <c r="K987" s="1" t="str">
        <f>VLOOKUP(tblCong[[#This Row],[seketCode]],tblSeket[#All],5,FALSE)</f>
        <v>Zone 1: Molap</v>
      </c>
      <c r="L987" s="1" t="str">
        <f>Paris!L$250</f>
        <v>P07</v>
      </c>
      <c r="M987" s="1" t="str">
        <f>CONCATENATE(tblCong[[#This Row],[seketCode]],"-",tblCong[[#This Row],[pCode]])</f>
        <v>D05-S01-P07</v>
      </c>
      <c r="N987" s="1" t="str">
        <f>Paris!M$250</f>
        <v>Nuru</v>
      </c>
      <c r="O987" s="1" t="s">
        <v>567</v>
      </c>
      <c r="P987" s="1" t="s">
        <v>1507</v>
      </c>
    </row>
    <row r="988" spans="6:16" x14ac:dyDescent="0.35">
      <c r="F988" s="1" t="str">
        <f>CONCATENATE(tblCong[[#This Row],[parishCode]],"-",tblCong[[#This Row],[kCode]])</f>
        <v>D05-S01-P07-K02</v>
      </c>
      <c r="G988" s="1" t="str">
        <f>Distrik!F$9</f>
        <v>D05</v>
      </c>
      <c r="H988" s="1" t="str">
        <f>VLOOKUP(tblCong[[#This Row],[distCode]],tblDistrict[#All],2)</f>
        <v>Siassi</v>
      </c>
      <c r="I988" s="1" t="str">
        <f>Seket!I$41</f>
        <v>S01</v>
      </c>
      <c r="J988" s="1" t="str">
        <f>CONCATENATE(tblCong[[#This Row],[distCode]],"-",tblCong[[#This Row],[sCode]])</f>
        <v>D05-S01</v>
      </c>
      <c r="K988" s="1" t="str">
        <f>VLOOKUP(tblCong[[#This Row],[seketCode]],tblSeket[#All],5,FALSE)</f>
        <v>Zone 1: Molap</v>
      </c>
      <c r="L988" s="1" t="str">
        <f>Paris!L$250</f>
        <v>P07</v>
      </c>
      <c r="M988" s="1" t="str">
        <f>CONCATENATE(tblCong[[#This Row],[seketCode]],"-",tblCong[[#This Row],[pCode]])</f>
        <v>D05-S01-P07</v>
      </c>
      <c r="N988" s="1" t="str">
        <f>Paris!M$250</f>
        <v>Nuru</v>
      </c>
      <c r="O988" s="1" t="s">
        <v>569</v>
      </c>
      <c r="P988" s="1" t="s">
        <v>1508</v>
      </c>
    </row>
    <row r="989" spans="6:16" x14ac:dyDescent="0.35">
      <c r="F989" s="1" t="str">
        <f>CONCATENATE(tblCong[[#This Row],[parishCode]],"-",tblCong[[#This Row],[kCode]])</f>
        <v>D05-S01-P08-K01</v>
      </c>
      <c r="G989" s="1" t="str">
        <f>Distrik!F$9</f>
        <v>D05</v>
      </c>
      <c r="H989" s="1" t="str">
        <f>VLOOKUP(tblCong[[#This Row],[distCode]],tblDistrict[#All],2)</f>
        <v>Siassi</v>
      </c>
      <c r="I989" s="1" t="str">
        <f>Seket!I$41</f>
        <v>S01</v>
      </c>
      <c r="J989" s="1" t="str">
        <f>CONCATENATE(tblCong[[#This Row],[distCode]],"-",tblCong[[#This Row],[sCode]])</f>
        <v>D05-S01</v>
      </c>
      <c r="K989" s="1" t="str">
        <f>VLOOKUP(tblCong[[#This Row],[seketCode]],tblSeket[#All],5,FALSE)</f>
        <v>Zone 1: Molap</v>
      </c>
      <c r="L989" s="1" t="str">
        <f>Paris!L$251</f>
        <v>P08</v>
      </c>
      <c r="M989" s="1" t="str">
        <f>CONCATENATE(tblCong[[#This Row],[seketCode]],"-",tblCong[[#This Row],[pCode]])</f>
        <v>D05-S01-P08</v>
      </c>
      <c r="N989" s="1" t="str">
        <f>Paris!M$251</f>
        <v>Mormor</v>
      </c>
      <c r="O989" s="1" t="s">
        <v>567</v>
      </c>
      <c r="P989" s="1" t="s">
        <v>1509</v>
      </c>
    </row>
    <row r="990" spans="6:16" x14ac:dyDescent="0.35">
      <c r="F990" s="1" t="str">
        <f>CONCATENATE(tblCong[[#This Row],[parishCode]],"-",tblCong[[#This Row],[kCode]])</f>
        <v>D05-S01-P08-K02</v>
      </c>
      <c r="G990" s="1" t="str">
        <f>Distrik!F$9</f>
        <v>D05</v>
      </c>
      <c r="H990" s="1" t="str">
        <f>VLOOKUP(tblCong[[#This Row],[distCode]],tblDistrict[#All],2)</f>
        <v>Siassi</v>
      </c>
      <c r="I990" s="1" t="str">
        <f>Seket!I$41</f>
        <v>S01</v>
      </c>
      <c r="J990" s="1" t="str">
        <f>CONCATENATE(tblCong[[#This Row],[distCode]],"-",tblCong[[#This Row],[sCode]])</f>
        <v>D05-S01</v>
      </c>
      <c r="K990" s="1" t="str">
        <f>VLOOKUP(tblCong[[#This Row],[seketCode]],tblSeket[#All],5,FALSE)</f>
        <v>Zone 1: Molap</v>
      </c>
      <c r="L990" s="1" t="str">
        <f>Paris!L$251</f>
        <v>P08</v>
      </c>
      <c r="M990" s="1" t="str">
        <f>CONCATENATE(tblCong[[#This Row],[seketCode]],"-",tblCong[[#This Row],[pCode]])</f>
        <v>D05-S01-P08</v>
      </c>
      <c r="N990" s="1" t="str">
        <f>Paris!M$251</f>
        <v>Mormor</v>
      </c>
      <c r="O990" s="1" t="s">
        <v>569</v>
      </c>
      <c r="P990" s="1" t="s">
        <v>1510</v>
      </c>
    </row>
    <row r="991" spans="6:16" x14ac:dyDescent="0.35">
      <c r="F991" s="1" t="str">
        <f>CONCATENATE(tblCong[[#This Row],[parishCode]],"-",tblCong[[#This Row],[kCode]])</f>
        <v>D05-S01-P08-K03</v>
      </c>
      <c r="G991" s="1" t="str">
        <f>Distrik!F$9</f>
        <v>D05</v>
      </c>
      <c r="H991" s="1" t="str">
        <f>VLOOKUP(tblCong[[#This Row],[distCode]],tblDistrict[#All],2)</f>
        <v>Siassi</v>
      </c>
      <c r="I991" s="1" t="str">
        <f>Seket!I$41</f>
        <v>S01</v>
      </c>
      <c r="J991" s="1" t="str">
        <f>CONCATENATE(tblCong[[#This Row],[distCode]],"-",tblCong[[#This Row],[sCode]])</f>
        <v>D05-S01</v>
      </c>
      <c r="K991" s="1" t="str">
        <f>VLOOKUP(tblCong[[#This Row],[seketCode]],tblSeket[#All],5,FALSE)</f>
        <v>Zone 1: Molap</v>
      </c>
      <c r="L991" s="1" t="str">
        <f>Paris!L$251</f>
        <v>P08</v>
      </c>
      <c r="M991" s="1" t="str">
        <f>CONCATENATE(tblCong[[#This Row],[seketCode]],"-",tblCong[[#This Row],[pCode]])</f>
        <v>D05-S01-P08</v>
      </c>
      <c r="N991" s="1" t="str">
        <f>Paris!M$251</f>
        <v>Mormor</v>
      </c>
      <c r="O991" s="1" t="s">
        <v>571</v>
      </c>
      <c r="P991" s="1" t="s">
        <v>1511</v>
      </c>
    </row>
    <row r="992" spans="6:16" x14ac:dyDescent="0.35">
      <c r="F992" s="1" t="str">
        <f>CONCATENATE(tblCong[[#This Row],[parishCode]],"-",tblCong[[#This Row],[kCode]])</f>
        <v>D05-S02-P01-K01</v>
      </c>
      <c r="G992" s="1" t="str">
        <f>Distrik!F$9</f>
        <v>D05</v>
      </c>
      <c r="H992" s="1" t="str">
        <f>VLOOKUP(tblCong[[#This Row],[distCode]],tblDistrict[#All],2)</f>
        <v>Siassi</v>
      </c>
      <c r="I992" s="1" t="str">
        <f>Seket!I$42</f>
        <v>S02</v>
      </c>
      <c r="J992" s="1" t="str">
        <f>CONCATENATE(tblCong[[#This Row],[distCode]],"-",tblCong[[#This Row],[sCode]])</f>
        <v>D05-S02</v>
      </c>
      <c r="K992" s="1" t="str">
        <f>VLOOKUP(tblCong[[#This Row],[seketCode]],tblSeket[#All],5,FALSE)</f>
        <v>Zone 2: Bula</v>
      </c>
      <c r="L992" s="1" t="str">
        <f>Paris!L$252</f>
        <v>P01</v>
      </c>
      <c r="M992" s="1" t="str">
        <f>CONCATENATE(tblCong[[#This Row],[seketCode]],"-",tblCong[[#This Row],[pCode]])</f>
        <v>D05-S02-P01</v>
      </c>
      <c r="N992" s="1" t="str">
        <f>Paris!M$252</f>
        <v>Mabi</v>
      </c>
      <c r="O992" s="1" t="s">
        <v>567</v>
      </c>
      <c r="P992" s="1" t="s">
        <v>1512</v>
      </c>
    </row>
    <row r="993" spans="6:16" x14ac:dyDescent="0.35">
      <c r="F993" s="1" t="str">
        <f>CONCATENATE(tblCong[[#This Row],[parishCode]],"-",tblCong[[#This Row],[kCode]])</f>
        <v>D05-S02-P01-K02</v>
      </c>
      <c r="G993" s="1" t="str">
        <f>Distrik!F$9</f>
        <v>D05</v>
      </c>
      <c r="H993" s="1" t="str">
        <f>VLOOKUP(tblCong[[#This Row],[distCode]],tblDistrict[#All],2)</f>
        <v>Siassi</v>
      </c>
      <c r="I993" s="1" t="str">
        <f>Seket!I$42</f>
        <v>S02</v>
      </c>
      <c r="J993" s="1" t="str">
        <f>CONCATENATE(tblCong[[#This Row],[distCode]],"-",tblCong[[#This Row],[sCode]])</f>
        <v>D05-S02</v>
      </c>
      <c r="K993" s="1" t="str">
        <f>VLOOKUP(tblCong[[#This Row],[seketCode]],tblSeket[#All],5,FALSE)</f>
        <v>Zone 2: Bula</v>
      </c>
      <c r="L993" s="1" t="str">
        <f>Paris!L$252</f>
        <v>P01</v>
      </c>
      <c r="M993" s="1" t="str">
        <f>CONCATENATE(tblCong[[#This Row],[seketCode]],"-",tblCong[[#This Row],[pCode]])</f>
        <v>D05-S02-P01</v>
      </c>
      <c r="N993" s="1" t="str">
        <f>Paris!M$252</f>
        <v>Mabi</v>
      </c>
      <c r="O993" s="1" t="s">
        <v>569</v>
      </c>
      <c r="P993" s="1" t="s">
        <v>1513</v>
      </c>
    </row>
    <row r="994" spans="6:16" x14ac:dyDescent="0.35">
      <c r="F994" s="1" t="str">
        <f>CONCATENATE(tblCong[[#This Row],[parishCode]],"-",tblCong[[#This Row],[kCode]])</f>
        <v>D05-S02-P01-K03</v>
      </c>
      <c r="G994" s="1" t="str">
        <f>Distrik!F$9</f>
        <v>D05</v>
      </c>
      <c r="H994" s="1" t="str">
        <f>VLOOKUP(tblCong[[#This Row],[distCode]],tblDistrict[#All],2)</f>
        <v>Siassi</v>
      </c>
      <c r="I994" s="1" t="str">
        <f>Seket!I$42</f>
        <v>S02</v>
      </c>
      <c r="J994" s="1" t="str">
        <f>CONCATENATE(tblCong[[#This Row],[distCode]],"-",tblCong[[#This Row],[sCode]])</f>
        <v>D05-S02</v>
      </c>
      <c r="K994" s="1" t="str">
        <f>VLOOKUP(tblCong[[#This Row],[seketCode]],tblSeket[#All],5,FALSE)</f>
        <v>Zone 2: Bula</v>
      </c>
      <c r="L994" s="1" t="str">
        <f>Paris!L$252</f>
        <v>P01</v>
      </c>
      <c r="M994" s="1" t="str">
        <f>CONCATENATE(tblCong[[#This Row],[seketCode]],"-",tblCong[[#This Row],[pCode]])</f>
        <v>D05-S02-P01</v>
      </c>
      <c r="N994" s="1" t="str">
        <f>Paris!M$252</f>
        <v>Mabi</v>
      </c>
      <c r="O994" s="1" t="s">
        <v>571</v>
      </c>
      <c r="P994" s="1" t="s">
        <v>1514</v>
      </c>
    </row>
    <row r="995" spans="6:16" x14ac:dyDescent="0.35">
      <c r="F995" s="1" t="str">
        <f>CONCATENATE(tblCong[[#This Row],[parishCode]],"-",tblCong[[#This Row],[kCode]])</f>
        <v>D05-S02-P02-K01</v>
      </c>
      <c r="G995" s="1" t="str">
        <f>Distrik!F$9</f>
        <v>D05</v>
      </c>
      <c r="H995" s="1" t="str">
        <f>VLOOKUP(tblCong[[#This Row],[distCode]],tblDistrict[#All],2)</f>
        <v>Siassi</v>
      </c>
      <c r="I995" s="1" t="str">
        <f>Seket!I$42</f>
        <v>S02</v>
      </c>
      <c r="J995" s="1" t="str">
        <f>CONCATENATE(tblCong[[#This Row],[distCode]],"-",tblCong[[#This Row],[sCode]])</f>
        <v>D05-S02</v>
      </c>
      <c r="K995" s="1" t="str">
        <f>VLOOKUP(tblCong[[#This Row],[seketCode]],tblSeket[#All],5,FALSE)</f>
        <v>Zone 2: Bula</v>
      </c>
      <c r="L995" s="1" t="str">
        <f>Paris!L$253</f>
        <v>P02</v>
      </c>
      <c r="M995" s="1" t="str">
        <f>CONCATENATE(tblCong[[#This Row],[seketCode]],"-",tblCong[[#This Row],[pCode]])</f>
        <v>D05-S02-P02</v>
      </c>
      <c r="N995" s="1" t="str">
        <f>Paris!M$253</f>
        <v>Laplap</v>
      </c>
      <c r="O995" s="1" t="s">
        <v>567</v>
      </c>
      <c r="P995" s="1" t="s">
        <v>1515</v>
      </c>
    </row>
    <row r="996" spans="6:16" x14ac:dyDescent="0.35">
      <c r="F996" s="1" t="str">
        <f>CONCATENATE(tblCong[[#This Row],[parishCode]],"-",tblCong[[#This Row],[kCode]])</f>
        <v>D05-S02-P02-K02</v>
      </c>
      <c r="G996" s="1" t="str">
        <f>Distrik!F$9</f>
        <v>D05</v>
      </c>
      <c r="H996" s="1" t="str">
        <f>VLOOKUP(tblCong[[#This Row],[distCode]],tblDistrict[#All],2)</f>
        <v>Siassi</v>
      </c>
      <c r="I996" s="1" t="str">
        <f>Seket!I$42</f>
        <v>S02</v>
      </c>
      <c r="J996" s="1" t="str">
        <f>CONCATENATE(tblCong[[#This Row],[distCode]],"-",tblCong[[#This Row],[sCode]])</f>
        <v>D05-S02</v>
      </c>
      <c r="K996" s="1" t="str">
        <f>VLOOKUP(tblCong[[#This Row],[seketCode]],tblSeket[#All],5,FALSE)</f>
        <v>Zone 2: Bula</v>
      </c>
      <c r="L996" s="1" t="str">
        <f>Paris!L$253</f>
        <v>P02</v>
      </c>
      <c r="M996" s="1" t="str">
        <f>CONCATENATE(tblCong[[#This Row],[seketCode]],"-",tblCong[[#This Row],[pCode]])</f>
        <v>D05-S02-P02</v>
      </c>
      <c r="N996" s="1" t="str">
        <f>Paris!M$253</f>
        <v>Laplap</v>
      </c>
      <c r="O996" s="1" t="s">
        <v>569</v>
      </c>
      <c r="P996" s="1" t="s">
        <v>1516</v>
      </c>
    </row>
    <row r="997" spans="6:16" x14ac:dyDescent="0.35">
      <c r="F997" s="1" t="str">
        <f>CONCATENATE(tblCong[[#This Row],[parishCode]],"-",tblCong[[#This Row],[kCode]])</f>
        <v>D05-S02-P02-K03</v>
      </c>
      <c r="G997" s="1" t="str">
        <f>Distrik!F$9</f>
        <v>D05</v>
      </c>
      <c r="H997" s="1" t="str">
        <f>VLOOKUP(tblCong[[#This Row],[distCode]],tblDistrict[#All],2)</f>
        <v>Siassi</v>
      </c>
      <c r="I997" s="1" t="str">
        <f>Seket!I$42</f>
        <v>S02</v>
      </c>
      <c r="J997" s="1" t="str">
        <f>CONCATENATE(tblCong[[#This Row],[distCode]],"-",tblCong[[#This Row],[sCode]])</f>
        <v>D05-S02</v>
      </c>
      <c r="K997" s="1" t="str">
        <f>VLOOKUP(tblCong[[#This Row],[seketCode]],tblSeket[#All],5,FALSE)</f>
        <v>Zone 2: Bula</v>
      </c>
      <c r="L997" s="1" t="str">
        <f>Paris!L$253</f>
        <v>P02</v>
      </c>
      <c r="M997" s="1" t="str">
        <f>CONCATENATE(tblCong[[#This Row],[seketCode]],"-",tblCong[[#This Row],[pCode]])</f>
        <v>D05-S02-P02</v>
      </c>
      <c r="N997" s="1" t="str">
        <f>Paris!M$253</f>
        <v>Laplap</v>
      </c>
      <c r="O997" s="1" t="s">
        <v>571</v>
      </c>
      <c r="P997" s="1" t="s">
        <v>1517</v>
      </c>
    </row>
    <row r="998" spans="6:16" x14ac:dyDescent="0.35">
      <c r="F998" s="1" t="str">
        <f>CONCATENATE(tblCong[[#This Row],[parishCode]],"-",tblCong[[#This Row],[kCode]])</f>
        <v>D05-S02-P02-K04</v>
      </c>
      <c r="G998" s="1" t="str">
        <f>Distrik!F$9</f>
        <v>D05</v>
      </c>
      <c r="H998" s="1" t="str">
        <f>VLOOKUP(tblCong[[#This Row],[distCode]],tblDistrict[#All],2)</f>
        <v>Siassi</v>
      </c>
      <c r="I998" s="1" t="str">
        <f>Seket!I$42</f>
        <v>S02</v>
      </c>
      <c r="J998" s="1" t="str">
        <f>CONCATENATE(tblCong[[#This Row],[distCode]],"-",tblCong[[#This Row],[sCode]])</f>
        <v>D05-S02</v>
      </c>
      <c r="K998" s="1" t="str">
        <f>VLOOKUP(tblCong[[#This Row],[seketCode]],tblSeket[#All],5,FALSE)</f>
        <v>Zone 2: Bula</v>
      </c>
      <c r="L998" s="1" t="str">
        <f>Paris!L$253</f>
        <v>P02</v>
      </c>
      <c r="M998" s="1" t="str">
        <f>CONCATENATE(tblCong[[#This Row],[seketCode]],"-",tblCong[[#This Row],[pCode]])</f>
        <v>D05-S02-P02</v>
      </c>
      <c r="N998" s="1" t="str">
        <f>Paris!M$253</f>
        <v>Laplap</v>
      </c>
      <c r="O998" s="1" t="s">
        <v>573</v>
      </c>
      <c r="P998" s="1" t="s">
        <v>464</v>
      </c>
    </row>
    <row r="999" spans="6:16" x14ac:dyDescent="0.35">
      <c r="F999" s="1" t="str">
        <f>CONCATENATE(tblCong[[#This Row],[parishCode]],"-",tblCong[[#This Row],[kCode]])</f>
        <v>D05-S02-P03-K01</v>
      </c>
      <c r="G999" s="1" t="str">
        <f>Distrik!F$9</f>
        <v>D05</v>
      </c>
      <c r="H999" s="1" t="str">
        <f>VLOOKUP(tblCong[[#This Row],[distCode]],tblDistrict[#All],2)</f>
        <v>Siassi</v>
      </c>
      <c r="I999" s="1" t="str">
        <f>Seket!I$42</f>
        <v>S02</v>
      </c>
      <c r="J999" s="1" t="str">
        <f>CONCATENATE(tblCong[[#This Row],[distCode]],"-",tblCong[[#This Row],[sCode]])</f>
        <v>D05-S02</v>
      </c>
      <c r="K999" s="1" t="str">
        <f>VLOOKUP(tblCong[[#This Row],[seketCode]],tblSeket[#All],5,FALSE)</f>
        <v>Zone 2: Bula</v>
      </c>
      <c r="L999" s="1" t="str">
        <f>Paris!L$254</f>
        <v>P03</v>
      </c>
      <c r="M999" s="1" t="str">
        <f>CONCATENATE(tblCong[[#This Row],[seketCode]],"-",tblCong[[#This Row],[pCode]])</f>
        <v>D05-S02-P03</v>
      </c>
      <c r="N999" s="1" t="str">
        <f>Paris!M$254</f>
        <v>Aronai</v>
      </c>
      <c r="O999" s="1" t="s">
        <v>567</v>
      </c>
      <c r="P999" s="1" t="s">
        <v>1518</v>
      </c>
    </row>
    <row r="1000" spans="6:16" x14ac:dyDescent="0.35">
      <c r="F1000" s="1" t="str">
        <f>CONCATENATE(tblCong[[#This Row],[parishCode]],"-",tblCong[[#This Row],[kCode]])</f>
        <v>D05-S02-P04-K01</v>
      </c>
      <c r="G1000" s="1" t="str">
        <f>Distrik!F$9</f>
        <v>D05</v>
      </c>
      <c r="H1000" s="1" t="str">
        <f>VLOOKUP(tblCong[[#This Row],[distCode]],tblDistrict[#All],2)</f>
        <v>Siassi</v>
      </c>
      <c r="I1000" s="1" t="str">
        <f>Seket!I$42</f>
        <v>S02</v>
      </c>
      <c r="J1000" s="1" t="str">
        <f>CONCATENATE(tblCong[[#This Row],[distCode]],"-",tblCong[[#This Row],[sCode]])</f>
        <v>D05-S02</v>
      </c>
      <c r="K1000" s="1" t="str">
        <f>VLOOKUP(tblCong[[#This Row],[seketCode]],tblSeket[#All],5,FALSE)</f>
        <v>Zone 2: Bula</v>
      </c>
      <c r="L1000" s="1" t="str">
        <f>Paris!L$255</f>
        <v>P04</v>
      </c>
      <c r="M1000" s="1" t="str">
        <f>CONCATENATE(tblCong[[#This Row],[seketCode]],"-",tblCong[[#This Row],[pCode]])</f>
        <v>D05-S02-P04</v>
      </c>
      <c r="N1000" s="1" t="str">
        <f>Paris!M$255</f>
        <v>Gun</v>
      </c>
      <c r="O1000" s="1" t="s">
        <v>567</v>
      </c>
      <c r="P1000" s="1" t="s">
        <v>1519</v>
      </c>
    </row>
    <row r="1001" spans="6:16" x14ac:dyDescent="0.35">
      <c r="F1001" s="1" t="str">
        <f>CONCATENATE(tblCong[[#This Row],[parishCode]],"-",tblCong[[#This Row],[kCode]])</f>
        <v>D05-S02-P04-K02</v>
      </c>
      <c r="G1001" s="1" t="str">
        <f>Distrik!F$9</f>
        <v>D05</v>
      </c>
      <c r="H1001" s="1" t="str">
        <f>VLOOKUP(tblCong[[#This Row],[distCode]],tblDistrict[#All],2)</f>
        <v>Siassi</v>
      </c>
      <c r="I1001" s="1" t="str">
        <f>Seket!I$42</f>
        <v>S02</v>
      </c>
      <c r="J1001" s="1" t="str">
        <f>CONCATENATE(tblCong[[#This Row],[distCode]],"-",tblCong[[#This Row],[sCode]])</f>
        <v>D05-S02</v>
      </c>
      <c r="K1001" s="1" t="str">
        <f>VLOOKUP(tblCong[[#This Row],[seketCode]],tblSeket[#All],5,FALSE)</f>
        <v>Zone 2: Bula</v>
      </c>
      <c r="L1001" s="1" t="str">
        <f>Paris!L$255</f>
        <v>P04</v>
      </c>
      <c r="M1001" s="1" t="str">
        <f>CONCATENATE(tblCong[[#This Row],[seketCode]],"-",tblCong[[#This Row],[pCode]])</f>
        <v>D05-S02-P04</v>
      </c>
      <c r="N1001" s="1" t="str">
        <f>Paris!M$255</f>
        <v>Gun</v>
      </c>
      <c r="O1001" s="1" t="s">
        <v>569</v>
      </c>
      <c r="P1001" s="1" t="s">
        <v>1520</v>
      </c>
    </row>
    <row r="1002" spans="6:16" x14ac:dyDescent="0.35">
      <c r="F1002" s="1" t="str">
        <f>CONCATENATE(tblCong[[#This Row],[parishCode]],"-",tblCong[[#This Row],[kCode]])</f>
        <v>D05-S02-P05-K01</v>
      </c>
      <c r="G1002" s="1" t="str">
        <f>Distrik!F$9</f>
        <v>D05</v>
      </c>
      <c r="H1002" s="1" t="str">
        <f>VLOOKUP(tblCong[[#This Row],[distCode]],tblDistrict[#All],2)</f>
        <v>Siassi</v>
      </c>
      <c r="I1002" s="1" t="str">
        <f>Seket!I$42</f>
        <v>S02</v>
      </c>
      <c r="J1002" s="1" t="str">
        <f>CONCATENATE(tblCong[[#This Row],[distCode]],"-",tblCong[[#This Row],[sCode]])</f>
        <v>D05-S02</v>
      </c>
      <c r="K1002" s="1" t="str">
        <f>VLOOKUP(tblCong[[#This Row],[seketCode]],tblSeket[#All],5,FALSE)</f>
        <v>Zone 2: Bula</v>
      </c>
      <c r="L1002" s="1" t="str">
        <f>Paris!L$256</f>
        <v>P05</v>
      </c>
      <c r="M1002" s="1" t="str">
        <f>CONCATENATE(tblCong[[#This Row],[seketCode]],"-",tblCong[[#This Row],[pCode]])</f>
        <v>D05-S02-P05</v>
      </c>
      <c r="N1002" s="1" t="str">
        <f>Paris!M$256</f>
        <v>Malai</v>
      </c>
      <c r="O1002" s="1" t="s">
        <v>567</v>
      </c>
      <c r="P1002" s="1" t="s">
        <v>1521</v>
      </c>
    </row>
    <row r="1003" spans="6:16" x14ac:dyDescent="0.35">
      <c r="F1003" s="1" t="str">
        <f>CONCATENATE(tblCong[[#This Row],[parishCode]],"-",tblCong[[#This Row],[kCode]])</f>
        <v>D05-S02-P06-K01</v>
      </c>
      <c r="G1003" s="1" t="str">
        <f>Distrik!F$9</f>
        <v>D05</v>
      </c>
      <c r="H1003" s="1" t="str">
        <f>VLOOKUP(tblCong[[#This Row],[distCode]],tblDistrict[#All],2)</f>
        <v>Siassi</v>
      </c>
      <c r="I1003" s="1" t="str">
        <f>Seket!I$42</f>
        <v>S02</v>
      </c>
      <c r="J1003" s="1" t="str">
        <f>CONCATENATE(tblCong[[#This Row],[distCode]],"-",tblCong[[#This Row],[sCode]])</f>
        <v>D05-S02</v>
      </c>
      <c r="K1003" s="1" t="str">
        <f>VLOOKUP(tblCong[[#This Row],[seketCode]],tblSeket[#All],5,FALSE)</f>
        <v>Zone 2: Bula</v>
      </c>
      <c r="L1003" s="1" t="str">
        <f>Paris!L$257</f>
        <v>P06</v>
      </c>
      <c r="M1003" s="1" t="str">
        <f>CONCATENATE(tblCong[[#This Row],[seketCode]],"-",tblCong[[#This Row],[pCode]])</f>
        <v>D05-S02-P06</v>
      </c>
      <c r="N1003" s="1" t="str">
        <f>Paris!M$257</f>
        <v>Tuam</v>
      </c>
      <c r="O1003" s="1" t="s">
        <v>567</v>
      </c>
      <c r="P1003" s="1" t="s">
        <v>1522</v>
      </c>
    </row>
    <row r="1004" spans="6:16" x14ac:dyDescent="0.35">
      <c r="F1004" s="1" t="str">
        <f>CONCATENATE(tblCong[[#This Row],[parishCode]],"-",tblCong[[#This Row],[kCode]])</f>
        <v>D05-S02-P07-K01</v>
      </c>
      <c r="G1004" s="1" t="str">
        <f>Distrik!F$9</f>
        <v>D05</v>
      </c>
      <c r="H1004" s="1" t="str">
        <f>VLOOKUP(tblCong[[#This Row],[distCode]],tblDistrict[#All],2)</f>
        <v>Siassi</v>
      </c>
      <c r="I1004" s="1" t="str">
        <f>Seket!I$42</f>
        <v>S02</v>
      </c>
      <c r="J1004" s="1" t="str">
        <f>CONCATENATE(tblCong[[#This Row],[distCode]],"-",tblCong[[#This Row],[sCode]])</f>
        <v>D05-S02</v>
      </c>
      <c r="K1004" s="1" t="str">
        <f>VLOOKUP(tblCong[[#This Row],[seketCode]],tblSeket[#All],5,FALSE)</f>
        <v>Zone 2: Bula</v>
      </c>
      <c r="L1004" s="1" t="str">
        <f>Paris!L$258</f>
        <v>P07</v>
      </c>
      <c r="M1004" s="1" t="str">
        <f>CONCATENATE(tblCong[[#This Row],[seketCode]],"-",tblCong[[#This Row],[pCode]])</f>
        <v>D05-S02-P07</v>
      </c>
      <c r="N1004" s="1" t="str">
        <f>Paris!M$258</f>
        <v>Giam</v>
      </c>
      <c r="O1004" s="1" t="s">
        <v>567</v>
      </c>
      <c r="P1004" s="1" t="s">
        <v>1523</v>
      </c>
    </row>
    <row r="1005" spans="6:16" x14ac:dyDescent="0.35">
      <c r="F1005" s="1" t="str">
        <f>CONCATENATE(tblCong[[#This Row],[parishCode]],"-",tblCong[[#This Row],[kCode]])</f>
        <v>D05-S02-P07-K02</v>
      </c>
      <c r="G1005" s="1" t="str">
        <f>Distrik!F$9</f>
        <v>D05</v>
      </c>
      <c r="H1005" s="1" t="str">
        <f>VLOOKUP(tblCong[[#This Row],[distCode]],tblDistrict[#All],2)</f>
        <v>Siassi</v>
      </c>
      <c r="I1005" s="1" t="str">
        <f>Seket!I$42</f>
        <v>S02</v>
      </c>
      <c r="J1005" s="1" t="str">
        <f>CONCATENATE(tblCong[[#This Row],[distCode]],"-",tblCong[[#This Row],[sCode]])</f>
        <v>D05-S02</v>
      </c>
      <c r="K1005" s="1" t="str">
        <f>VLOOKUP(tblCong[[#This Row],[seketCode]],tblSeket[#All],5,FALSE)</f>
        <v>Zone 2: Bula</v>
      </c>
      <c r="L1005" s="1" t="str">
        <f>Paris!L$258</f>
        <v>P07</v>
      </c>
      <c r="M1005" s="1" t="str">
        <f>CONCATENATE(tblCong[[#This Row],[seketCode]],"-",tblCong[[#This Row],[pCode]])</f>
        <v>D05-S02-P07</v>
      </c>
      <c r="N1005" s="1" t="str">
        <f>Paris!M$258</f>
        <v>Giam</v>
      </c>
      <c r="O1005" s="1" t="s">
        <v>569</v>
      </c>
      <c r="P1005" s="1" t="s">
        <v>1524</v>
      </c>
    </row>
    <row r="1006" spans="6:16" x14ac:dyDescent="0.35">
      <c r="F1006" s="1" t="str">
        <f>CONCATENATE(tblCong[[#This Row],[parishCode]],"-",tblCong[[#This Row],[kCode]])</f>
        <v>D06-S01-P01-K01</v>
      </c>
      <c r="G1006" s="1" t="str">
        <f>Distrik!F$10</f>
        <v>D06</v>
      </c>
      <c r="H1006" s="1" t="str">
        <f>VLOOKUP(tblCong[[#This Row],[distCode]],tblDistrict[#All],2)</f>
        <v>Ukata</v>
      </c>
      <c r="I1006" s="1" t="str">
        <f>Seket!I$43</f>
        <v>S01</v>
      </c>
      <c r="J1006" s="1" t="str">
        <f>CONCATENATE(tblCong[[#This Row],[distCode]],"-",tblCong[[#This Row],[sCode]])</f>
        <v>D06-S01</v>
      </c>
      <c r="K1006" s="1" t="str">
        <f>VLOOKUP(tblCong[[#This Row],[seketCode]],tblSeket[#All],5,FALSE)</f>
        <v>Komba</v>
      </c>
      <c r="L1006" s="1" t="str">
        <f>Paris!L$259</f>
        <v>P01</v>
      </c>
      <c r="M1006" s="1" t="str">
        <f>CONCATENATE(tblCong[[#This Row],[seketCode]],"-",tblCong[[#This Row],[pCode]])</f>
        <v>D06-S01-P01</v>
      </c>
      <c r="N1006" s="1" t="str">
        <f>Paris!M$259</f>
        <v>Tosin</v>
      </c>
      <c r="O1006" s="1" t="s">
        <v>567</v>
      </c>
      <c r="P1006" s="1" t="s">
        <v>1346</v>
      </c>
    </row>
    <row r="1007" spans="6:16" x14ac:dyDescent="0.35">
      <c r="F1007" s="1" t="str">
        <f>CONCATENATE(tblCong[[#This Row],[parishCode]],"-",tblCong[[#This Row],[kCode]])</f>
        <v>D06-S01-P01-K02</v>
      </c>
      <c r="G1007" s="1" t="str">
        <f>Distrik!F$10</f>
        <v>D06</v>
      </c>
      <c r="H1007" s="1" t="str">
        <f>VLOOKUP(tblCong[[#This Row],[distCode]],tblDistrict[#All],2)</f>
        <v>Ukata</v>
      </c>
      <c r="I1007" s="1" t="str">
        <f>Seket!I$43</f>
        <v>S01</v>
      </c>
      <c r="J1007" s="1" t="str">
        <f>CONCATENATE(tblCong[[#This Row],[distCode]],"-",tblCong[[#This Row],[sCode]])</f>
        <v>D06-S01</v>
      </c>
      <c r="K1007" s="1" t="str">
        <f>VLOOKUP(tblCong[[#This Row],[seketCode]],tblSeket[#All],5,FALSE)</f>
        <v>Komba</v>
      </c>
      <c r="L1007" s="1" t="str">
        <f>Paris!L$259</f>
        <v>P01</v>
      </c>
      <c r="M1007" s="1" t="str">
        <f>CONCATENATE(tblCong[[#This Row],[seketCode]],"-",tblCong[[#This Row],[pCode]])</f>
        <v>D06-S01-P01</v>
      </c>
      <c r="N1007" s="1" t="str">
        <f>Paris!M$259</f>
        <v>Tosin</v>
      </c>
      <c r="O1007" s="1" t="s">
        <v>569</v>
      </c>
      <c r="P1007" s="1" t="s">
        <v>1525</v>
      </c>
    </row>
    <row r="1008" spans="6:16" x14ac:dyDescent="0.35">
      <c r="F1008" s="1" t="str">
        <f>CONCATENATE(tblCong[[#This Row],[parishCode]],"-",tblCong[[#This Row],[kCode]])</f>
        <v>D06-S01-P01-K03</v>
      </c>
      <c r="G1008" s="1" t="str">
        <f>Distrik!F$10</f>
        <v>D06</v>
      </c>
      <c r="H1008" s="1" t="str">
        <f>VLOOKUP(tblCong[[#This Row],[distCode]],tblDistrict[#All],2)</f>
        <v>Ukata</v>
      </c>
      <c r="I1008" s="1" t="str">
        <f>Seket!I$43</f>
        <v>S01</v>
      </c>
      <c r="J1008" s="1" t="str">
        <f>CONCATENATE(tblCong[[#This Row],[distCode]],"-",tblCong[[#This Row],[sCode]])</f>
        <v>D06-S01</v>
      </c>
      <c r="K1008" s="1" t="str">
        <f>VLOOKUP(tblCong[[#This Row],[seketCode]],tblSeket[#All],5,FALSE)</f>
        <v>Komba</v>
      </c>
      <c r="L1008" s="1" t="str">
        <f>Paris!L$259</f>
        <v>P01</v>
      </c>
      <c r="M1008" s="1" t="str">
        <f>CONCATENATE(tblCong[[#This Row],[seketCode]],"-",tblCong[[#This Row],[pCode]])</f>
        <v>D06-S01-P01</v>
      </c>
      <c r="N1008" s="1" t="str">
        <f>Paris!M$259</f>
        <v>Tosin</v>
      </c>
      <c r="O1008" s="1" t="s">
        <v>571</v>
      </c>
      <c r="P1008" s="1" t="s">
        <v>1526</v>
      </c>
    </row>
    <row r="1009" spans="6:16" x14ac:dyDescent="0.35">
      <c r="F1009" s="1" t="str">
        <f>CONCATENATE(tblCong[[#This Row],[parishCode]],"-",tblCong[[#This Row],[kCode]])</f>
        <v>D06-S01-P02-K01</v>
      </c>
      <c r="G1009" s="1" t="str">
        <f>Distrik!F$10</f>
        <v>D06</v>
      </c>
      <c r="H1009" s="1" t="str">
        <f>VLOOKUP(tblCong[[#This Row],[distCode]],tblDistrict[#All],2)</f>
        <v>Ukata</v>
      </c>
      <c r="I1009" s="1" t="str">
        <f>Seket!I$43</f>
        <v>S01</v>
      </c>
      <c r="J1009" s="1" t="str">
        <f>CONCATENATE(tblCong[[#This Row],[distCode]],"-",tblCong[[#This Row],[sCode]])</f>
        <v>D06-S01</v>
      </c>
      <c r="K1009" s="1" t="str">
        <f>VLOOKUP(tblCong[[#This Row],[seketCode]],tblSeket[#All],5,FALSE)</f>
        <v>Komba</v>
      </c>
      <c r="L1009" s="1" t="str">
        <f>Paris!L$260</f>
        <v>P02</v>
      </c>
      <c r="M1009" s="1" t="str">
        <f>CONCATENATE(tblCong[[#This Row],[seketCode]],"-",tblCong[[#This Row],[pCode]])</f>
        <v>D06-S01-P02</v>
      </c>
      <c r="N1009" s="1" t="str">
        <f>Paris!M$260</f>
        <v>Indagen</v>
      </c>
      <c r="O1009" s="1" t="s">
        <v>567</v>
      </c>
      <c r="P1009" s="1" t="s">
        <v>1527</v>
      </c>
    </row>
    <row r="1010" spans="6:16" x14ac:dyDescent="0.35">
      <c r="F1010" s="1" t="str">
        <f>CONCATENATE(tblCong[[#This Row],[parishCode]],"-",tblCong[[#This Row],[kCode]])</f>
        <v>D06-S01-P02-K02</v>
      </c>
      <c r="G1010" s="1" t="str">
        <f>Distrik!F$10</f>
        <v>D06</v>
      </c>
      <c r="H1010" s="1" t="str">
        <f>VLOOKUP(tblCong[[#This Row],[distCode]],tblDistrict[#All],2)</f>
        <v>Ukata</v>
      </c>
      <c r="I1010" s="1" t="str">
        <f>Seket!I$43</f>
        <v>S01</v>
      </c>
      <c r="J1010" s="1" t="str">
        <f>CONCATENATE(tblCong[[#This Row],[distCode]],"-",tblCong[[#This Row],[sCode]])</f>
        <v>D06-S01</v>
      </c>
      <c r="K1010" s="1" t="str">
        <f>VLOOKUP(tblCong[[#This Row],[seketCode]],tblSeket[#All],5,FALSE)</f>
        <v>Komba</v>
      </c>
      <c r="L1010" s="1" t="str">
        <f>Paris!L$260</f>
        <v>P02</v>
      </c>
      <c r="M1010" s="1" t="str">
        <f>CONCATENATE(tblCong[[#This Row],[seketCode]],"-",tblCong[[#This Row],[pCode]])</f>
        <v>D06-S01-P02</v>
      </c>
      <c r="N1010" s="1" t="str">
        <f>Paris!M$260</f>
        <v>Indagen</v>
      </c>
      <c r="O1010" s="1" t="s">
        <v>569</v>
      </c>
      <c r="P1010" s="1" t="s">
        <v>471</v>
      </c>
    </row>
    <row r="1011" spans="6:16" x14ac:dyDescent="0.35">
      <c r="F1011" s="1" t="str">
        <f>CONCATENATE(tblCong[[#This Row],[parishCode]],"-",tblCong[[#This Row],[kCode]])</f>
        <v>D06-S01-P02-K03</v>
      </c>
      <c r="G1011" s="1" t="str">
        <f>Distrik!F$10</f>
        <v>D06</v>
      </c>
      <c r="H1011" s="1" t="str">
        <f>VLOOKUP(tblCong[[#This Row],[distCode]],tblDistrict[#All],2)</f>
        <v>Ukata</v>
      </c>
      <c r="I1011" s="1" t="str">
        <f>Seket!I$43</f>
        <v>S01</v>
      </c>
      <c r="J1011" s="1" t="str">
        <f>CONCATENATE(tblCong[[#This Row],[distCode]],"-",tblCong[[#This Row],[sCode]])</f>
        <v>D06-S01</v>
      </c>
      <c r="K1011" s="1" t="str">
        <f>VLOOKUP(tblCong[[#This Row],[seketCode]],tblSeket[#All],5,FALSE)</f>
        <v>Komba</v>
      </c>
      <c r="L1011" s="1" t="str">
        <f>Paris!L$260</f>
        <v>P02</v>
      </c>
      <c r="M1011" s="1" t="str">
        <f>CONCATENATE(tblCong[[#This Row],[seketCode]],"-",tblCong[[#This Row],[pCode]])</f>
        <v>D06-S01-P02</v>
      </c>
      <c r="N1011" s="1" t="str">
        <f>Paris!M$260</f>
        <v>Indagen</v>
      </c>
      <c r="O1011" s="1" t="s">
        <v>571</v>
      </c>
      <c r="P1011" s="1" t="s">
        <v>1528</v>
      </c>
    </row>
    <row r="1012" spans="6:16" x14ac:dyDescent="0.35">
      <c r="F1012" s="1" t="str">
        <f>CONCATENATE(tblCong[[#This Row],[parishCode]],"-",tblCong[[#This Row],[kCode]])</f>
        <v>D06-S01-P03-K01</v>
      </c>
      <c r="G1012" s="1" t="str">
        <f>Distrik!F$10</f>
        <v>D06</v>
      </c>
      <c r="H1012" s="1" t="str">
        <f>VLOOKUP(tblCong[[#This Row],[distCode]],tblDistrict[#All],2)</f>
        <v>Ukata</v>
      </c>
      <c r="I1012" s="1" t="str">
        <f>Seket!I$43</f>
        <v>S01</v>
      </c>
      <c r="J1012" s="1" t="str">
        <f>CONCATENATE(tblCong[[#This Row],[distCode]],"-",tblCong[[#This Row],[sCode]])</f>
        <v>D06-S01</v>
      </c>
      <c r="K1012" s="1" t="str">
        <f>VLOOKUP(tblCong[[#This Row],[seketCode]],tblSeket[#All],5,FALSE)</f>
        <v>Komba</v>
      </c>
      <c r="L1012" s="1" t="str">
        <f>Paris!L$261</f>
        <v>P03</v>
      </c>
      <c r="M1012" s="1" t="str">
        <f>CONCATENATE(tblCong[[#This Row],[seketCode]],"-",tblCong[[#This Row],[pCode]])</f>
        <v>D06-S01-P03</v>
      </c>
      <c r="N1012" s="1" t="str">
        <f>Paris!M$261</f>
        <v>Lamga</v>
      </c>
      <c r="O1012" s="1" t="s">
        <v>567</v>
      </c>
      <c r="P1012" s="1" t="s">
        <v>1529</v>
      </c>
    </row>
    <row r="1013" spans="6:16" x14ac:dyDescent="0.35">
      <c r="F1013" s="1" t="str">
        <f>CONCATENATE(tblCong[[#This Row],[parishCode]],"-",tblCong[[#This Row],[kCode]])</f>
        <v>D06-S01-P03-K02</v>
      </c>
      <c r="G1013" s="1" t="str">
        <f>Distrik!F$10</f>
        <v>D06</v>
      </c>
      <c r="H1013" s="1" t="str">
        <f>VLOOKUP(tblCong[[#This Row],[distCode]],tblDistrict[#All],2)</f>
        <v>Ukata</v>
      </c>
      <c r="I1013" s="1" t="str">
        <f>Seket!I$43</f>
        <v>S01</v>
      </c>
      <c r="J1013" s="1" t="str">
        <f>CONCATENATE(tblCong[[#This Row],[distCode]],"-",tblCong[[#This Row],[sCode]])</f>
        <v>D06-S01</v>
      </c>
      <c r="K1013" s="1" t="str">
        <f>VLOOKUP(tblCong[[#This Row],[seketCode]],tblSeket[#All],5,FALSE)</f>
        <v>Komba</v>
      </c>
      <c r="L1013" s="1" t="str">
        <f>Paris!L$261</f>
        <v>P03</v>
      </c>
      <c r="M1013" s="1" t="str">
        <f>CONCATENATE(tblCong[[#This Row],[seketCode]],"-",tblCong[[#This Row],[pCode]])</f>
        <v>D06-S01-P03</v>
      </c>
      <c r="N1013" s="1" t="str">
        <f>Paris!M$261</f>
        <v>Lamga</v>
      </c>
      <c r="O1013" s="1" t="s">
        <v>569</v>
      </c>
      <c r="P1013" s="1" t="s">
        <v>1530</v>
      </c>
    </row>
    <row r="1014" spans="6:16" x14ac:dyDescent="0.35">
      <c r="F1014" s="1" t="str">
        <f>CONCATENATE(tblCong[[#This Row],[parishCode]],"-",tblCong[[#This Row],[kCode]])</f>
        <v>D06-S01-P03-K03</v>
      </c>
      <c r="G1014" s="1" t="str">
        <f>Distrik!F$10</f>
        <v>D06</v>
      </c>
      <c r="H1014" s="1" t="str">
        <f>VLOOKUP(tblCong[[#This Row],[distCode]],tblDistrict[#All],2)</f>
        <v>Ukata</v>
      </c>
      <c r="I1014" s="1" t="str">
        <f>Seket!I$43</f>
        <v>S01</v>
      </c>
      <c r="J1014" s="1" t="str">
        <f>CONCATENATE(tblCong[[#This Row],[distCode]],"-",tblCong[[#This Row],[sCode]])</f>
        <v>D06-S01</v>
      </c>
      <c r="K1014" s="1" t="str">
        <f>VLOOKUP(tblCong[[#This Row],[seketCode]],tblSeket[#All],5,FALSE)</f>
        <v>Komba</v>
      </c>
      <c r="L1014" s="1" t="str">
        <f>Paris!L$261</f>
        <v>P03</v>
      </c>
      <c r="M1014" s="1" t="str">
        <f>CONCATENATE(tblCong[[#This Row],[seketCode]],"-",tblCong[[#This Row],[pCode]])</f>
        <v>D06-S01-P03</v>
      </c>
      <c r="N1014" s="1" t="str">
        <f>Paris!M$261</f>
        <v>Lamga</v>
      </c>
      <c r="O1014" s="1" t="s">
        <v>571</v>
      </c>
      <c r="P1014" s="1" t="s">
        <v>1531</v>
      </c>
    </row>
    <row r="1015" spans="6:16" x14ac:dyDescent="0.35">
      <c r="F1015" s="1" t="str">
        <f>CONCATENATE(tblCong[[#This Row],[parishCode]],"-",tblCong[[#This Row],[kCode]])</f>
        <v>D06-S01-P04-K01</v>
      </c>
      <c r="G1015" s="1" t="str">
        <f>Distrik!F$10</f>
        <v>D06</v>
      </c>
      <c r="H1015" s="1" t="str">
        <f>VLOOKUP(tblCong[[#This Row],[distCode]],tblDistrict[#All],2)</f>
        <v>Ukata</v>
      </c>
      <c r="I1015" s="1" t="str">
        <f>Seket!I$43</f>
        <v>S01</v>
      </c>
      <c r="J1015" s="1" t="str">
        <f>CONCATENATE(tblCong[[#This Row],[distCode]],"-",tblCong[[#This Row],[sCode]])</f>
        <v>D06-S01</v>
      </c>
      <c r="K1015" s="1" t="str">
        <f>VLOOKUP(tblCong[[#This Row],[seketCode]],tblSeket[#All],5,FALSE)</f>
        <v>Komba</v>
      </c>
      <c r="L1015" s="1" t="str">
        <f>Paris!L$262</f>
        <v>P04</v>
      </c>
      <c r="M1015" s="1" t="str">
        <f>CONCATENATE(tblCong[[#This Row],[seketCode]],"-",tblCong[[#This Row],[pCode]])</f>
        <v>D06-S01-P04</v>
      </c>
      <c r="N1015" s="1" t="str">
        <f>Paris!M$262</f>
        <v>Ununu</v>
      </c>
      <c r="O1015" s="1" t="s">
        <v>567</v>
      </c>
      <c r="P1015" s="1" t="s">
        <v>473</v>
      </c>
    </row>
    <row r="1016" spans="6:16" x14ac:dyDescent="0.35">
      <c r="F1016" s="1" t="str">
        <f>CONCATENATE(tblCong[[#This Row],[parishCode]],"-",tblCong[[#This Row],[kCode]])</f>
        <v>D06-S01-P04-K02</v>
      </c>
      <c r="G1016" s="1" t="str">
        <f>Distrik!F$10</f>
        <v>D06</v>
      </c>
      <c r="H1016" s="1" t="str">
        <f>VLOOKUP(tblCong[[#This Row],[distCode]],tblDistrict[#All],2)</f>
        <v>Ukata</v>
      </c>
      <c r="I1016" s="1" t="str">
        <f>Seket!I$43</f>
        <v>S01</v>
      </c>
      <c r="J1016" s="1" t="str">
        <f>CONCATENATE(tblCong[[#This Row],[distCode]],"-",tblCong[[#This Row],[sCode]])</f>
        <v>D06-S01</v>
      </c>
      <c r="K1016" s="1" t="str">
        <f>VLOOKUP(tblCong[[#This Row],[seketCode]],tblSeket[#All],5,FALSE)</f>
        <v>Komba</v>
      </c>
      <c r="L1016" s="1" t="str">
        <f>Paris!L$262</f>
        <v>P04</v>
      </c>
      <c r="M1016" s="1" t="str">
        <f>CONCATENATE(tblCong[[#This Row],[seketCode]],"-",tblCong[[#This Row],[pCode]])</f>
        <v>D06-S01-P04</v>
      </c>
      <c r="N1016" s="1" t="str">
        <f>Paris!M$262</f>
        <v>Ununu</v>
      </c>
      <c r="O1016" s="1" t="s">
        <v>569</v>
      </c>
      <c r="P1016" s="1" t="s">
        <v>1532</v>
      </c>
    </row>
    <row r="1017" spans="6:16" x14ac:dyDescent="0.35">
      <c r="F1017" s="1" t="str">
        <f>CONCATENATE(tblCong[[#This Row],[parishCode]],"-",tblCong[[#This Row],[kCode]])</f>
        <v>D06-S01-P04-K03</v>
      </c>
      <c r="G1017" s="1" t="str">
        <f>Distrik!F$10</f>
        <v>D06</v>
      </c>
      <c r="H1017" s="1" t="str">
        <f>VLOOKUP(tblCong[[#This Row],[distCode]],tblDistrict[#All],2)</f>
        <v>Ukata</v>
      </c>
      <c r="I1017" s="1" t="str">
        <f>Seket!I$43</f>
        <v>S01</v>
      </c>
      <c r="J1017" s="1" t="str">
        <f>CONCATENATE(tblCong[[#This Row],[distCode]],"-",tblCong[[#This Row],[sCode]])</f>
        <v>D06-S01</v>
      </c>
      <c r="K1017" s="1" t="str">
        <f>VLOOKUP(tblCong[[#This Row],[seketCode]],tblSeket[#All],5,FALSE)</f>
        <v>Komba</v>
      </c>
      <c r="L1017" s="1" t="str">
        <f>Paris!L$262</f>
        <v>P04</v>
      </c>
      <c r="M1017" s="1" t="str">
        <f>CONCATENATE(tblCong[[#This Row],[seketCode]],"-",tblCong[[#This Row],[pCode]])</f>
        <v>D06-S01-P04</v>
      </c>
      <c r="N1017" s="1" t="str">
        <f>Paris!M$262</f>
        <v>Ununu</v>
      </c>
      <c r="O1017" s="1" t="s">
        <v>571</v>
      </c>
      <c r="P1017" s="1" t="s">
        <v>1533</v>
      </c>
    </row>
    <row r="1018" spans="6:16" x14ac:dyDescent="0.35">
      <c r="F1018" s="1" t="str">
        <f>CONCATENATE(tblCong[[#This Row],[parishCode]],"-",tblCong[[#This Row],[kCode]])</f>
        <v>D06-S01-P05-K01</v>
      </c>
      <c r="G1018" s="1" t="str">
        <f>Distrik!F$10</f>
        <v>D06</v>
      </c>
      <c r="H1018" s="1" t="str">
        <f>VLOOKUP(tblCong[[#This Row],[distCode]],tblDistrict[#All],2)</f>
        <v>Ukata</v>
      </c>
      <c r="I1018" s="1" t="str">
        <f>Seket!I$43</f>
        <v>S01</v>
      </c>
      <c r="J1018" s="1" t="str">
        <f>CONCATENATE(tblCong[[#This Row],[distCode]],"-",tblCong[[#This Row],[sCode]])</f>
        <v>D06-S01</v>
      </c>
      <c r="K1018" s="1" t="str">
        <f>VLOOKUP(tblCong[[#This Row],[seketCode]],tblSeket[#All],5,FALSE)</f>
        <v>Komba</v>
      </c>
      <c r="L1018" s="1" t="str">
        <f>Paris!L$263</f>
        <v>P05</v>
      </c>
      <c r="M1018" s="1" t="str">
        <f>CONCATENATE(tblCong[[#This Row],[seketCode]],"-",tblCong[[#This Row],[pCode]])</f>
        <v>D06-S01-P05</v>
      </c>
      <c r="N1018" s="1" t="str">
        <f>Paris!M$263</f>
        <v>Goma</v>
      </c>
      <c r="O1018" s="1" t="s">
        <v>567</v>
      </c>
      <c r="P1018" s="1" t="s">
        <v>1534</v>
      </c>
    </row>
    <row r="1019" spans="6:16" x14ac:dyDescent="0.35">
      <c r="F1019" s="1" t="str">
        <f>CONCATENATE(tblCong[[#This Row],[parishCode]],"-",tblCong[[#This Row],[kCode]])</f>
        <v>D06-S01-P05-K02</v>
      </c>
      <c r="G1019" s="1" t="str">
        <f>Distrik!F$10</f>
        <v>D06</v>
      </c>
      <c r="H1019" s="1" t="str">
        <f>VLOOKUP(tblCong[[#This Row],[distCode]],tblDistrict[#All],2)</f>
        <v>Ukata</v>
      </c>
      <c r="I1019" s="1" t="str">
        <f>Seket!I$43</f>
        <v>S01</v>
      </c>
      <c r="J1019" s="1" t="str">
        <f>CONCATENATE(tblCong[[#This Row],[distCode]],"-",tblCong[[#This Row],[sCode]])</f>
        <v>D06-S01</v>
      </c>
      <c r="K1019" s="1" t="str">
        <f>VLOOKUP(tblCong[[#This Row],[seketCode]],tblSeket[#All],5,FALSE)</f>
        <v>Komba</v>
      </c>
      <c r="L1019" s="1" t="str">
        <f>Paris!L$263</f>
        <v>P05</v>
      </c>
      <c r="M1019" s="1" t="str">
        <f>CONCATENATE(tblCong[[#This Row],[seketCode]],"-",tblCong[[#This Row],[pCode]])</f>
        <v>D06-S01-P05</v>
      </c>
      <c r="N1019" s="1" t="str">
        <f>Paris!M$263</f>
        <v>Goma</v>
      </c>
      <c r="O1019" s="1" t="s">
        <v>569</v>
      </c>
      <c r="P1019" s="1" t="s">
        <v>1535</v>
      </c>
    </row>
    <row r="1020" spans="6:16" x14ac:dyDescent="0.35">
      <c r="F1020" s="1" t="str">
        <f>CONCATENATE(tblCong[[#This Row],[parishCode]],"-",tblCong[[#This Row],[kCode]])</f>
        <v>D06-S01-P06-K01</v>
      </c>
      <c r="G1020" s="1" t="str">
        <f>Distrik!F$10</f>
        <v>D06</v>
      </c>
      <c r="H1020" s="1" t="str">
        <f>VLOOKUP(tblCong[[#This Row],[distCode]],tblDistrict[#All],2)</f>
        <v>Ukata</v>
      </c>
      <c r="I1020" s="1" t="str">
        <f>Seket!I$43</f>
        <v>S01</v>
      </c>
      <c r="J1020" s="1" t="str">
        <f>CONCATENATE(tblCong[[#This Row],[distCode]],"-",tblCong[[#This Row],[sCode]])</f>
        <v>D06-S01</v>
      </c>
      <c r="K1020" s="1" t="str">
        <f>VLOOKUP(tblCong[[#This Row],[seketCode]],tblSeket[#All],5,FALSE)</f>
        <v>Komba</v>
      </c>
      <c r="L1020" s="1" t="str">
        <f>Paris!L$264</f>
        <v>P06</v>
      </c>
      <c r="M1020" s="1" t="str">
        <f>CONCATENATE(tblCong[[#This Row],[seketCode]],"-",tblCong[[#This Row],[pCode]])</f>
        <v>D06-S01-P06</v>
      </c>
      <c r="N1020" s="1" t="str">
        <f>Paris!M$264</f>
        <v>Usika</v>
      </c>
      <c r="O1020" s="1" t="s">
        <v>567</v>
      </c>
      <c r="P1020" s="1" t="s">
        <v>1536</v>
      </c>
    </row>
    <row r="1021" spans="6:16" x14ac:dyDescent="0.35">
      <c r="F1021" s="1" t="str">
        <f>CONCATENATE(tblCong[[#This Row],[parishCode]],"-",tblCong[[#This Row],[kCode]])</f>
        <v>D06-S01-P06-K02</v>
      </c>
      <c r="G1021" s="1" t="str">
        <f>Distrik!F$10</f>
        <v>D06</v>
      </c>
      <c r="H1021" s="1" t="str">
        <f>VLOOKUP(tblCong[[#This Row],[distCode]],tblDistrict[#All],2)</f>
        <v>Ukata</v>
      </c>
      <c r="I1021" s="1" t="str">
        <f>Seket!I$43</f>
        <v>S01</v>
      </c>
      <c r="J1021" s="1" t="str">
        <f>CONCATENATE(tblCong[[#This Row],[distCode]],"-",tblCong[[#This Row],[sCode]])</f>
        <v>D06-S01</v>
      </c>
      <c r="K1021" s="1" t="str">
        <f>VLOOKUP(tblCong[[#This Row],[seketCode]],tblSeket[#All],5,FALSE)</f>
        <v>Komba</v>
      </c>
      <c r="L1021" s="1" t="str">
        <f>Paris!L$264</f>
        <v>P06</v>
      </c>
      <c r="M1021" s="1" t="str">
        <f>CONCATENATE(tblCong[[#This Row],[seketCode]],"-",tblCong[[#This Row],[pCode]])</f>
        <v>D06-S01-P06</v>
      </c>
      <c r="N1021" s="1" t="str">
        <f>Paris!M$264</f>
        <v>Usika</v>
      </c>
      <c r="O1021" s="1" t="s">
        <v>569</v>
      </c>
      <c r="P1021" s="1" t="s">
        <v>785</v>
      </c>
    </row>
    <row r="1022" spans="6:16" x14ac:dyDescent="0.35">
      <c r="F1022" s="1" t="str">
        <f>CONCATENATE(tblCong[[#This Row],[parishCode]],"-",tblCong[[#This Row],[kCode]])</f>
        <v>D06-S01-P06-K03</v>
      </c>
      <c r="G1022" s="1" t="str">
        <f>Distrik!F$10</f>
        <v>D06</v>
      </c>
      <c r="H1022" s="1" t="str">
        <f>VLOOKUP(tblCong[[#This Row],[distCode]],tblDistrict[#All],2)</f>
        <v>Ukata</v>
      </c>
      <c r="I1022" s="1" t="str">
        <f>Seket!I$43</f>
        <v>S01</v>
      </c>
      <c r="J1022" s="1" t="str">
        <f>CONCATENATE(tblCong[[#This Row],[distCode]],"-",tblCong[[#This Row],[sCode]])</f>
        <v>D06-S01</v>
      </c>
      <c r="K1022" s="1" t="str">
        <f>VLOOKUP(tblCong[[#This Row],[seketCode]],tblSeket[#All],5,FALSE)</f>
        <v>Komba</v>
      </c>
      <c r="L1022" s="1" t="str">
        <f>Paris!L$264</f>
        <v>P06</v>
      </c>
      <c r="M1022" s="1" t="str">
        <f>CONCATENATE(tblCong[[#This Row],[seketCode]],"-",tblCong[[#This Row],[pCode]])</f>
        <v>D06-S01-P06</v>
      </c>
      <c r="N1022" s="1" t="str">
        <f>Paris!M$264</f>
        <v>Usika</v>
      </c>
      <c r="O1022" s="1" t="s">
        <v>571</v>
      </c>
      <c r="P1022" s="1" t="s">
        <v>1537</v>
      </c>
    </row>
    <row r="1023" spans="6:16" x14ac:dyDescent="0.35">
      <c r="F1023" s="1" t="str">
        <f>CONCATENATE(tblCong[[#This Row],[parishCode]],"-",tblCong[[#This Row],[kCode]])</f>
        <v>D06-S01-P07-K01</v>
      </c>
      <c r="G1023" s="1" t="str">
        <f>Distrik!F$10</f>
        <v>D06</v>
      </c>
      <c r="H1023" s="1" t="str">
        <f>VLOOKUP(tblCong[[#This Row],[distCode]],tblDistrict[#All],2)</f>
        <v>Ukata</v>
      </c>
      <c r="I1023" s="1" t="str">
        <f>Seket!I$43</f>
        <v>S01</v>
      </c>
      <c r="J1023" s="1" t="str">
        <f>CONCATENATE(tblCong[[#This Row],[distCode]],"-",tblCong[[#This Row],[sCode]])</f>
        <v>D06-S01</v>
      </c>
      <c r="K1023" s="1" t="str">
        <f>VLOOKUP(tblCong[[#This Row],[seketCode]],tblSeket[#All],5,FALSE)</f>
        <v>Komba</v>
      </c>
      <c r="L1023" s="1" t="str">
        <f>Paris!L$265</f>
        <v>P07</v>
      </c>
      <c r="M1023" s="1" t="str">
        <f>CONCATENATE(tblCong[[#This Row],[seketCode]],"-",tblCong[[#This Row],[pCode]])</f>
        <v>D06-S01-P07</v>
      </c>
      <c r="N1023" s="1" t="str">
        <f>Paris!M$265</f>
        <v>Imanuel</v>
      </c>
      <c r="O1023" s="1" t="s">
        <v>567</v>
      </c>
      <c r="P1023" s="1" t="s">
        <v>1538</v>
      </c>
    </row>
    <row r="1024" spans="6:16" x14ac:dyDescent="0.35">
      <c r="F1024" s="1" t="str">
        <f>CONCATENATE(tblCong[[#This Row],[parishCode]],"-",tblCong[[#This Row],[kCode]])</f>
        <v>D06-S01-P07-K02</v>
      </c>
      <c r="G1024" s="1" t="str">
        <f>Distrik!F$10</f>
        <v>D06</v>
      </c>
      <c r="H1024" s="1" t="str">
        <f>VLOOKUP(tblCong[[#This Row],[distCode]],tblDistrict[#All],2)</f>
        <v>Ukata</v>
      </c>
      <c r="I1024" s="1" t="str">
        <f>Seket!I$43</f>
        <v>S01</v>
      </c>
      <c r="J1024" s="1" t="str">
        <f>CONCATENATE(tblCong[[#This Row],[distCode]],"-",tblCong[[#This Row],[sCode]])</f>
        <v>D06-S01</v>
      </c>
      <c r="K1024" s="1" t="str">
        <f>VLOOKUP(tblCong[[#This Row],[seketCode]],tblSeket[#All],5,FALSE)</f>
        <v>Komba</v>
      </c>
      <c r="L1024" s="1" t="str">
        <f>Paris!L$265</f>
        <v>P07</v>
      </c>
      <c r="M1024" s="1" t="str">
        <f>CONCATENATE(tblCong[[#This Row],[seketCode]],"-",tblCong[[#This Row],[pCode]])</f>
        <v>D06-S01-P07</v>
      </c>
      <c r="N1024" s="1" t="str">
        <f>Paris!M$265</f>
        <v>Imanuel</v>
      </c>
      <c r="O1024" s="1" t="s">
        <v>569</v>
      </c>
      <c r="P1024" s="1" t="s">
        <v>1539</v>
      </c>
    </row>
    <row r="1025" spans="6:16" x14ac:dyDescent="0.35">
      <c r="F1025" s="1" t="str">
        <f>CONCATENATE(tblCong[[#This Row],[parishCode]],"-",tblCong[[#This Row],[kCode]])</f>
        <v>D06-S01-P07-K03</v>
      </c>
      <c r="G1025" s="1" t="str">
        <f>Distrik!F$10</f>
        <v>D06</v>
      </c>
      <c r="H1025" s="1" t="str">
        <f>VLOOKUP(tblCong[[#This Row],[distCode]],tblDistrict[#All],2)</f>
        <v>Ukata</v>
      </c>
      <c r="I1025" s="1" t="str">
        <f>Seket!I$43</f>
        <v>S01</v>
      </c>
      <c r="J1025" s="1" t="str">
        <f>CONCATENATE(tblCong[[#This Row],[distCode]],"-",tblCong[[#This Row],[sCode]])</f>
        <v>D06-S01</v>
      </c>
      <c r="K1025" s="1" t="str">
        <f>VLOOKUP(tblCong[[#This Row],[seketCode]],tblSeket[#All],5,FALSE)</f>
        <v>Komba</v>
      </c>
      <c r="L1025" s="1" t="str">
        <f>Paris!L$265</f>
        <v>P07</v>
      </c>
      <c r="M1025" s="1" t="str">
        <f>CONCATENATE(tblCong[[#This Row],[seketCode]],"-",tblCong[[#This Row],[pCode]])</f>
        <v>D06-S01-P07</v>
      </c>
      <c r="N1025" s="1" t="str">
        <f>Paris!M$265</f>
        <v>Imanuel</v>
      </c>
      <c r="O1025" s="1" t="s">
        <v>571</v>
      </c>
      <c r="P1025" s="1" t="s">
        <v>1540</v>
      </c>
    </row>
    <row r="1026" spans="6:16" x14ac:dyDescent="0.35">
      <c r="F1026" s="1" t="str">
        <f>CONCATENATE(tblCong[[#This Row],[parishCode]],"-",tblCong[[#This Row],[kCode]])</f>
        <v>D06-S02-P01-K01</v>
      </c>
      <c r="G1026" s="1" t="str">
        <f>Distrik!F$10</f>
        <v>D06</v>
      </c>
      <c r="H1026" s="1" t="str">
        <f>VLOOKUP(tblCong[[#This Row],[distCode]],tblDistrict[#All],2)</f>
        <v>Ukata</v>
      </c>
      <c r="I1026" s="1" t="str">
        <f>Seket!I$44</f>
        <v>S02</v>
      </c>
      <c r="J1026" s="1" t="str">
        <f>CONCATENATE(tblCong[[#This Row],[distCode]],"-",tblCong[[#This Row],[sCode]])</f>
        <v>D06-S02</v>
      </c>
      <c r="K1026" s="1" t="str">
        <f>VLOOKUP(tblCong[[#This Row],[seketCode]],tblSeket[#All],5,FALSE)</f>
        <v>Kabwum</v>
      </c>
      <c r="L1026" s="1" t="str">
        <f>Paris!L$268</f>
        <v>P01</v>
      </c>
      <c r="M1026" s="1" t="str">
        <f>CONCATENATE(tblCong[[#This Row],[seketCode]],"-",tblCong[[#This Row],[pCode]])</f>
        <v>D06-S02-P01</v>
      </c>
      <c r="N1026" s="1" t="str">
        <f>Paris!M$268</f>
        <v>Tipsit</v>
      </c>
      <c r="O1026" s="1" t="s">
        <v>567</v>
      </c>
      <c r="P1026" s="1" t="s">
        <v>1541</v>
      </c>
    </row>
    <row r="1027" spans="6:16" x14ac:dyDescent="0.35">
      <c r="F1027" s="1" t="str">
        <f>CONCATENATE(tblCong[[#This Row],[parishCode]],"-",tblCong[[#This Row],[kCode]])</f>
        <v>D06-S02-P01-K02</v>
      </c>
      <c r="G1027" s="1" t="str">
        <f>Distrik!F$10</f>
        <v>D06</v>
      </c>
      <c r="H1027" s="1" t="str">
        <f>VLOOKUP(tblCong[[#This Row],[distCode]],tblDistrict[#All],2)</f>
        <v>Ukata</v>
      </c>
      <c r="I1027" s="1" t="str">
        <f>Seket!I$44</f>
        <v>S02</v>
      </c>
      <c r="J1027" s="1" t="str">
        <f>CONCATENATE(tblCong[[#This Row],[distCode]],"-",tblCong[[#This Row],[sCode]])</f>
        <v>D06-S02</v>
      </c>
      <c r="K1027" s="1" t="str">
        <f>VLOOKUP(tblCong[[#This Row],[seketCode]],tblSeket[#All],5,FALSE)</f>
        <v>Kabwum</v>
      </c>
      <c r="L1027" s="1" t="str">
        <f>Paris!L$268</f>
        <v>P01</v>
      </c>
      <c r="M1027" s="1" t="str">
        <f>CONCATENATE(tblCong[[#This Row],[seketCode]],"-",tblCong[[#This Row],[pCode]])</f>
        <v>D06-S02-P01</v>
      </c>
      <c r="N1027" s="1" t="str">
        <f>Paris!M$268</f>
        <v>Tipsit</v>
      </c>
      <c r="O1027" s="1" t="s">
        <v>569</v>
      </c>
      <c r="P1027" s="1" t="s">
        <v>1542</v>
      </c>
    </row>
    <row r="1028" spans="6:16" x14ac:dyDescent="0.35">
      <c r="F1028" s="1" t="str">
        <f>CONCATENATE(tblCong[[#This Row],[parishCode]],"-",tblCong[[#This Row],[kCode]])</f>
        <v>D06-S02-P01-K03</v>
      </c>
      <c r="G1028" s="1" t="str">
        <f>Distrik!F$10</f>
        <v>D06</v>
      </c>
      <c r="H1028" s="1" t="str">
        <f>VLOOKUP(tblCong[[#This Row],[distCode]],tblDistrict[#All],2)</f>
        <v>Ukata</v>
      </c>
      <c r="I1028" s="1" t="str">
        <f>Seket!I$44</f>
        <v>S02</v>
      </c>
      <c r="J1028" s="1" t="str">
        <f>CONCATENATE(tblCong[[#This Row],[distCode]],"-",tblCong[[#This Row],[sCode]])</f>
        <v>D06-S02</v>
      </c>
      <c r="K1028" s="1" t="str">
        <f>VLOOKUP(tblCong[[#This Row],[seketCode]],tblSeket[#All],5,FALSE)</f>
        <v>Kabwum</v>
      </c>
      <c r="L1028" s="1" t="str">
        <f>Paris!L$268</f>
        <v>P01</v>
      </c>
      <c r="M1028" s="1" t="str">
        <f>CONCATENATE(tblCong[[#This Row],[seketCode]],"-",tblCong[[#This Row],[pCode]])</f>
        <v>D06-S02-P01</v>
      </c>
      <c r="N1028" s="1" t="str">
        <f>Paris!M$268</f>
        <v>Tipsit</v>
      </c>
      <c r="O1028" s="1" t="s">
        <v>571</v>
      </c>
      <c r="P1028" s="1" t="s">
        <v>478</v>
      </c>
    </row>
    <row r="1029" spans="6:16" x14ac:dyDescent="0.35">
      <c r="F1029" s="1" t="str">
        <f>CONCATENATE(tblCong[[#This Row],[parishCode]],"-",tblCong[[#This Row],[kCode]])</f>
        <v>D06-S02-P01-K04</v>
      </c>
      <c r="G1029" s="1" t="str">
        <f>Distrik!F$10</f>
        <v>D06</v>
      </c>
      <c r="H1029" s="1" t="str">
        <f>VLOOKUP(tblCong[[#This Row],[distCode]],tblDistrict[#All],2)</f>
        <v>Ukata</v>
      </c>
      <c r="I1029" s="1" t="str">
        <f>Seket!I$44</f>
        <v>S02</v>
      </c>
      <c r="J1029" s="1" t="str">
        <f>CONCATENATE(tblCong[[#This Row],[distCode]],"-",tblCong[[#This Row],[sCode]])</f>
        <v>D06-S02</v>
      </c>
      <c r="K1029" s="1" t="str">
        <f>VLOOKUP(tblCong[[#This Row],[seketCode]],tblSeket[#All],5,FALSE)</f>
        <v>Kabwum</v>
      </c>
      <c r="L1029" s="1" t="str">
        <f>Paris!L$268</f>
        <v>P01</v>
      </c>
      <c r="M1029" s="1" t="str">
        <f>CONCATENATE(tblCong[[#This Row],[seketCode]],"-",tblCong[[#This Row],[pCode]])</f>
        <v>D06-S02-P01</v>
      </c>
      <c r="N1029" s="1" t="str">
        <f>Paris!M$268</f>
        <v>Tipsit</v>
      </c>
      <c r="O1029" s="1" t="s">
        <v>573</v>
      </c>
      <c r="P1029" s="1" t="s">
        <v>1543</v>
      </c>
    </row>
    <row r="1030" spans="6:16" x14ac:dyDescent="0.35">
      <c r="F1030" s="1" t="str">
        <f>CONCATENATE(tblCong[[#This Row],[parishCode]],"-",tblCong[[#This Row],[kCode]])</f>
        <v>D06-S02-P02-K01</v>
      </c>
      <c r="G1030" s="1" t="str">
        <f>Distrik!F$10</f>
        <v>D06</v>
      </c>
      <c r="H1030" s="1" t="str">
        <f>VLOOKUP(tblCong[[#This Row],[distCode]],tblDistrict[#All],2)</f>
        <v>Ukata</v>
      </c>
      <c r="I1030" s="1" t="str">
        <f>Seket!I$44</f>
        <v>S02</v>
      </c>
      <c r="J1030" s="1" t="str">
        <f>CONCATENATE(tblCong[[#This Row],[distCode]],"-",tblCong[[#This Row],[sCode]])</f>
        <v>D06-S02</v>
      </c>
      <c r="K1030" s="1" t="str">
        <f>VLOOKUP(tblCong[[#This Row],[seketCode]],tblSeket[#All],5,FALSE)</f>
        <v>Kabwum</v>
      </c>
      <c r="L1030" s="1" t="str">
        <f>Paris!L$269</f>
        <v>P02</v>
      </c>
      <c r="M1030" s="1" t="str">
        <f>CONCATENATE(tblCong[[#This Row],[seketCode]],"-",tblCong[[#This Row],[pCode]])</f>
        <v>D06-S02-P02</v>
      </c>
      <c r="N1030" s="1" t="str">
        <f>Paris!M$269</f>
        <v>Gekut</v>
      </c>
      <c r="O1030" s="1" t="s">
        <v>567</v>
      </c>
      <c r="P1030" s="1" t="s">
        <v>1544</v>
      </c>
    </row>
    <row r="1031" spans="6:16" x14ac:dyDescent="0.35">
      <c r="F1031" s="1" t="str">
        <f>CONCATENATE(tblCong[[#This Row],[parishCode]],"-",tblCong[[#This Row],[kCode]])</f>
        <v>D06-S02-P02-K02</v>
      </c>
      <c r="G1031" s="1" t="str">
        <f>Distrik!F$10</f>
        <v>D06</v>
      </c>
      <c r="H1031" s="1" t="str">
        <f>VLOOKUP(tblCong[[#This Row],[distCode]],tblDistrict[#All],2)</f>
        <v>Ukata</v>
      </c>
      <c r="I1031" s="1" t="str">
        <f>Seket!I$44</f>
        <v>S02</v>
      </c>
      <c r="J1031" s="1" t="str">
        <f>CONCATENATE(tblCong[[#This Row],[distCode]],"-",tblCong[[#This Row],[sCode]])</f>
        <v>D06-S02</v>
      </c>
      <c r="K1031" s="1" t="str">
        <f>VLOOKUP(tblCong[[#This Row],[seketCode]],tblSeket[#All],5,FALSE)</f>
        <v>Kabwum</v>
      </c>
      <c r="L1031" s="1" t="str">
        <f>Paris!L$269</f>
        <v>P02</v>
      </c>
      <c r="M1031" s="1" t="str">
        <f>CONCATENATE(tblCong[[#This Row],[seketCode]],"-",tblCong[[#This Row],[pCode]])</f>
        <v>D06-S02-P02</v>
      </c>
      <c r="N1031" s="1" t="str">
        <f>Paris!M$269</f>
        <v>Gekut</v>
      </c>
      <c r="O1031" s="1" t="s">
        <v>569</v>
      </c>
      <c r="P1031" s="1" t="s">
        <v>1545</v>
      </c>
    </row>
    <row r="1032" spans="6:16" x14ac:dyDescent="0.35">
      <c r="F1032" s="1" t="str">
        <f>CONCATENATE(tblCong[[#This Row],[parishCode]],"-",tblCong[[#This Row],[kCode]])</f>
        <v>D06-S02-P02-K03</v>
      </c>
      <c r="G1032" s="1" t="str">
        <f>Distrik!F$10</f>
        <v>D06</v>
      </c>
      <c r="H1032" s="1" t="str">
        <f>VLOOKUP(tblCong[[#This Row],[distCode]],tblDistrict[#All],2)</f>
        <v>Ukata</v>
      </c>
      <c r="I1032" s="1" t="str">
        <f>Seket!I$44</f>
        <v>S02</v>
      </c>
      <c r="J1032" s="1" t="str">
        <f>CONCATENATE(tblCong[[#This Row],[distCode]],"-",tblCong[[#This Row],[sCode]])</f>
        <v>D06-S02</v>
      </c>
      <c r="K1032" s="1" t="str">
        <f>VLOOKUP(tblCong[[#This Row],[seketCode]],tblSeket[#All],5,FALSE)</f>
        <v>Kabwum</v>
      </c>
      <c r="L1032" s="1" t="str">
        <f>Paris!L$269</f>
        <v>P02</v>
      </c>
      <c r="M1032" s="1" t="str">
        <f>CONCATENATE(tblCong[[#This Row],[seketCode]],"-",tblCong[[#This Row],[pCode]])</f>
        <v>D06-S02-P02</v>
      </c>
      <c r="N1032" s="1" t="str">
        <f>Paris!M$269</f>
        <v>Gekut</v>
      </c>
      <c r="O1032" s="1" t="s">
        <v>571</v>
      </c>
      <c r="P1032" s="1" t="s">
        <v>1546</v>
      </c>
    </row>
    <row r="1033" spans="6:16" x14ac:dyDescent="0.35">
      <c r="F1033" s="1" t="str">
        <f>CONCATENATE(tblCong[[#This Row],[parishCode]],"-",tblCong[[#This Row],[kCode]])</f>
        <v>D06-S02-P02-K04</v>
      </c>
      <c r="G1033" s="1" t="str">
        <f>Distrik!F$10</f>
        <v>D06</v>
      </c>
      <c r="H1033" s="1" t="str">
        <f>VLOOKUP(tblCong[[#This Row],[distCode]],tblDistrict[#All],2)</f>
        <v>Ukata</v>
      </c>
      <c r="I1033" s="1" t="str">
        <f>Seket!I$44</f>
        <v>S02</v>
      </c>
      <c r="J1033" s="1" t="str">
        <f>CONCATENATE(tblCong[[#This Row],[distCode]],"-",tblCong[[#This Row],[sCode]])</f>
        <v>D06-S02</v>
      </c>
      <c r="K1033" s="1" t="str">
        <f>VLOOKUP(tblCong[[#This Row],[seketCode]],tblSeket[#All],5,FALSE)</f>
        <v>Kabwum</v>
      </c>
      <c r="L1033" s="1" t="str">
        <f>Paris!L$269</f>
        <v>P02</v>
      </c>
      <c r="M1033" s="1" t="str">
        <f>CONCATENATE(tblCong[[#This Row],[seketCode]],"-",tblCong[[#This Row],[pCode]])</f>
        <v>D06-S02-P02</v>
      </c>
      <c r="N1033" s="1" t="str">
        <f>Paris!M$269</f>
        <v>Gekut</v>
      </c>
      <c r="O1033" s="1" t="s">
        <v>573</v>
      </c>
      <c r="P1033" s="1" t="s">
        <v>1547</v>
      </c>
    </row>
    <row r="1034" spans="6:16" x14ac:dyDescent="0.35">
      <c r="F1034" s="1" t="str">
        <f>CONCATENATE(tblCong[[#This Row],[parishCode]],"-",tblCong[[#This Row],[kCode]])</f>
        <v>D06-S02-P02-K05</v>
      </c>
      <c r="G1034" s="1" t="str">
        <f>Distrik!F$10</f>
        <v>D06</v>
      </c>
      <c r="H1034" s="1" t="str">
        <f>VLOOKUP(tblCong[[#This Row],[distCode]],tblDistrict[#All],2)</f>
        <v>Ukata</v>
      </c>
      <c r="I1034" s="1" t="str">
        <f>Seket!I$44</f>
        <v>S02</v>
      </c>
      <c r="J1034" s="1" t="str">
        <f>CONCATENATE(tblCong[[#This Row],[distCode]],"-",tblCong[[#This Row],[sCode]])</f>
        <v>D06-S02</v>
      </c>
      <c r="K1034" s="1" t="str">
        <f>VLOOKUP(tblCong[[#This Row],[seketCode]],tblSeket[#All],5,FALSE)</f>
        <v>Kabwum</v>
      </c>
      <c r="L1034" s="1" t="str">
        <f>Paris!L$269</f>
        <v>P02</v>
      </c>
      <c r="M1034" s="1" t="str">
        <f>CONCATENATE(tblCong[[#This Row],[seketCode]],"-",tblCong[[#This Row],[pCode]])</f>
        <v>D06-S02-P02</v>
      </c>
      <c r="N1034" s="1" t="str">
        <f>Paris!M$269</f>
        <v>Gekut</v>
      </c>
      <c r="O1034" s="1" t="s">
        <v>575</v>
      </c>
      <c r="P1034" s="1" t="s">
        <v>1548</v>
      </c>
    </row>
    <row r="1035" spans="6:16" x14ac:dyDescent="0.35">
      <c r="F1035" s="1" t="str">
        <f>CONCATENATE(tblCong[[#This Row],[parishCode]],"-",tblCong[[#This Row],[kCode]])</f>
        <v>D06-S02-P02-K06</v>
      </c>
      <c r="G1035" s="1" t="str">
        <f>Distrik!F$10</f>
        <v>D06</v>
      </c>
      <c r="H1035" s="1" t="str">
        <f>VLOOKUP(tblCong[[#This Row],[distCode]],tblDistrict[#All],2)</f>
        <v>Ukata</v>
      </c>
      <c r="I1035" s="1" t="str">
        <f>Seket!I$44</f>
        <v>S02</v>
      </c>
      <c r="J1035" s="1" t="str">
        <f>CONCATENATE(tblCong[[#This Row],[distCode]],"-",tblCong[[#This Row],[sCode]])</f>
        <v>D06-S02</v>
      </c>
      <c r="K1035" s="1" t="str">
        <f>VLOOKUP(tblCong[[#This Row],[seketCode]],tblSeket[#All],5,FALSE)</f>
        <v>Kabwum</v>
      </c>
      <c r="L1035" s="1" t="str">
        <f>Paris!L$269</f>
        <v>P02</v>
      </c>
      <c r="M1035" s="1" t="str">
        <f>CONCATENATE(tblCong[[#This Row],[seketCode]],"-",tblCong[[#This Row],[pCode]])</f>
        <v>D06-S02-P02</v>
      </c>
      <c r="N1035" s="1" t="str">
        <f>Paris!M$269</f>
        <v>Gekut</v>
      </c>
      <c r="O1035" s="1" t="s">
        <v>576</v>
      </c>
      <c r="P1035" s="1" t="s">
        <v>1549</v>
      </c>
    </row>
    <row r="1036" spans="6:16" x14ac:dyDescent="0.35">
      <c r="F1036" s="1" t="str">
        <f>CONCATENATE(tblCong[[#This Row],[parishCode]],"-",tblCong[[#This Row],[kCode]])</f>
        <v>D06-S02-P03-K01</v>
      </c>
      <c r="G1036" s="1" t="str">
        <f>Distrik!F$10</f>
        <v>D06</v>
      </c>
      <c r="H1036" s="1" t="str">
        <f>VLOOKUP(tblCong[[#This Row],[distCode]],tblDistrict[#All],2)</f>
        <v>Ukata</v>
      </c>
      <c r="I1036" s="1" t="str">
        <f>Seket!I$44</f>
        <v>S02</v>
      </c>
      <c r="J1036" s="1" t="str">
        <f>CONCATENATE(tblCong[[#This Row],[distCode]],"-",tblCong[[#This Row],[sCode]])</f>
        <v>D06-S02</v>
      </c>
      <c r="K1036" s="1" t="str">
        <f>VLOOKUP(tblCong[[#This Row],[seketCode]],tblSeket[#All],5,FALSE)</f>
        <v>Kabwum</v>
      </c>
      <c r="L1036" s="1" t="str">
        <f>Paris!L$270</f>
        <v>P03</v>
      </c>
      <c r="M1036" s="1" t="str">
        <f>CONCATENATE(tblCong[[#This Row],[seketCode]],"-",tblCong[[#This Row],[pCode]])</f>
        <v>D06-S02-P03</v>
      </c>
      <c r="N1036" s="1" t="str">
        <f>Paris!M$270</f>
        <v>Inweng</v>
      </c>
      <c r="O1036" s="1" t="s">
        <v>567</v>
      </c>
      <c r="P1036" s="1" t="s">
        <v>1550</v>
      </c>
    </row>
    <row r="1037" spans="6:16" x14ac:dyDescent="0.35">
      <c r="F1037" s="1" t="str">
        <f>CONCATENATE(tblCong[[#This Row],[parishCode]],"-",tblCong[[#This Row],[kCode]])</f>
        <v>D06-S02-P03-K02</v>
      </c>
      <c r="G1037" s="1" t="str">
        <f>Distrik!F$10</f>
        <v>D06</v>
      </c>
      <c r="H1037" s="1" t="str">
        <f>VLOOKUP(tblCong[[#This Row],[distCode]],tblDistrict[#All],2)</f>
        <v>Ukata</v>
      </c>
      <c r="I1037" s="1" t="str">
        <f>Seket!I$44</f>
        <v>S02</v>
      </c>
      <c r="J1037" s="1" t="str">
        <f>CONCATENATE(tblCong[[#This Row],[distCode]],"-",tblCong[[#This Row],[sCode]])</f>
        <v>D06-S02</v>
      </c>
      <c r="K1037" s="1" t="str">
        <f>VLOOKUP(tblCong[[#This Row],[seketCode]],tblSeket[#All],5,FALSE)</f>
        <v>Kabwum</v>
      </c>
      <c r="L1037" s="1" t="str">
        <f>Paris!L$270</f>
        <v>P03</v>
      </c>
      <c r="M1037" s="1" t="str">
        <f>CONCATENATE(tblCong[[#This Row],[seketCode]],"-",tblCong[[#This Row],[pCode]])</f>
        <v>D06-S02-P03</v>
      </c>
      <c r="N1037" s="1" t="str">
        <f>Paris!M$270</f>
        <v>Inweng</v>
      </c>
      <c r="O1037" s="1" t="s">
        <v>569</v>
      </c>
      <c r="P1037" s="1" t="s">
        <v>1551</v>
      </c>
    </row>
    <row r="1038" spans="6:16" x14ac:dyDescent="0.35">
      <c r="F1038" s="1" t="str">
        <f>CONCATENATE(tblCong[[#This Row],[parishCode]],"-",tblCong[[#This Row],[kCode]])</f>
        <v>D06-S02-P03-K03</v>
      </c>
      <c r="G1038" s="1" t="str">
        <f>Distrik!F$10</f>
        <v>D06</v>
      </c>
      <c r="H1038" s="1" t="str">
        <f>VLOOKUP(tblCong[[#This Row],[distCode]],tblDistrict[#All],2)</f>
        <v>Ukata</v>
      </c>
      <c r="I1038" s="1" t="str">
        <f>Seket!I$44</f>
        <v>S02</v>
      </c>
      <c r="J1038" s="1" t="str">
        <f>CONCATENATE(tblCong[[#This Row],[distCode]],"-",tblCong[[#This Row],[sCode]])</f>
        <v>D06-S02</v>
      </c>
      <c r="K1038" s="1" t="str">
        <f>VLOOKUP(tblCong[[#This Row],[seketCode]],tblSeket[#All],5,FALSE)</f>
        <v>Kabwum</v>
      </c>
      <c r="L1038" s="1" t="str">
        <f>Paris!L$270</f>
        <v>P03</v>
      </c>
      <c r="M1038" s="1" t="str">
        <f>CONCATENATE(tblCong[[#This Row],[seketCode]],"-",tblCong[[#This Row],[pCode]])</f>
        <v>D06-S02-P03</v>
      </c>
      <c r="N1038" s="1" t="str">
        <f>Paris!M$270</f>
        <v>Inweng</v>
      </c>
      <c r="O1038" s="1" t="s">
        <v>571</v>
      </c>
      <c r="P1038" s="1" t="s">
        <v>1552</v>
      </c>
    </row>
    <row r="1039" spans="6:16" x14ac:dyDescent="0.35">
      <c r="F1039" s="1" t="str">
        <f>CONCATENATE(tblCong[[#This Row],[parishCode]],"-",tblCong[[#This Row],[kCode]])</f>
        <v>D06-S02-P03-K04</v>
      </c>
      <c r="G1039" s="1" t="str">
        <f>Distrik!F$10</f>
        <v>D06</v>
      </c>
      <c r="H1039" s="1" t="str">
        <f>VLOOKUP(tblCong[[#This Row],[distCode]],tblDistrict[#All],2)</f>
        <v>Ukata</v>
      </c>
      <c r="I1039" s="1" t="str">
        <f>Seket!I$44</f>
        <v>S02</v>
      </c>
      <c r="J1039" s="1" t="str">
        <f>CONCATENATE(tblCong[[#This Row],[distCode]],"-",tblCong[[#This Row],[sCode]])</f>
        <v>D06-S02</v>
      </c>
      <c r="K1039" s="1" t="str">
        <f>VLOOKUP(tblCong[[#This Row],[seketCode]],tblSeket[#All],5,FALSE)</f>
        <v>Kabwum</v>
      </c>
      <c r="L1039" s="1" t="str">
        <f>Paris!L$270</f>
        <v>P03</v>
      </c>
      <c r="M1039" s="1" t="str">
        <f>CONCATENATE(tblCong[[#This Row],[seketCode]],"-",tblCong[[#This Row],[pCode]])</f>
        <v>D06-S02-P03</v>
      </c>
      <c r="N1039" s="1" t="str">
        <f>Paris!M$270</f>
        <v>Inweng</v>
      </c>
      <c r="O1039" s="1" t="s">
        <v>573</v>
      </c>
      <c r="P1039" s="1" t="s">
        <v>1553</v>
      </c>
    </row>
    <row r="1040" spans="6:16" x14ac:dyDescent="0.35">
      <c r="F1040" s="1" t="str">
        <f>CONCATENATE(tblCong[[#This Row],[parishCode]],"-",tblCong[[#This Row],[kCode]])</f>
        <v>D06-S02-P04-K01</v>
      </c>
      <c r="G1040" s="1" t="str">
        <f>Distrik!F$10</f>
        <v>D06</v>
      </c>
      <c r="H1040" s="1" t="str">
        <f>VLOOKUP(tblCong[[#This Row],[distCode]],tblDistrict[#All],2)</f>
        <v>Ukata</v>
      </c>
      <c r="I1040" s="1" t="str">
        <f>Seket!I$44</f>
        <v>S02</v>
      </c>
      <c r="J1040" s="1" t="str">
        <f>CONCATENATE(tblCong[[#This Row],[distCode]],"-",tblCong[[#This Row],[sCode]])</f>
        <v>D06-S02</v>
      </c>
      <c r="K1040" s="1" t="str">
        <f>VLOOKUP(tblCong[[#This Row],[seketCode]],tblSeket[#All],5,FALSE)</f>
        <v>Kabwum</v>
      </c>
      <c r="L1040" s="1" t="str">
        <f>Paris!L$271</f>
        <v>P04</v>
      </c>
      <c r="M1040" s="1" t="str">
        <f>CONCATENATE(tblCong[[#This Row],[seketCode]],"-",tblCong[[#This Row],[pCode]])</f>
        <v>D06-S02-P04</v>
      </c>
      <c r="N1040" s="1" t="str">
        <f>Paris!M$271</f>
        <v>Wanbel</v>
      </c>
      <c r="O1040" s="1" t="s">
        <v>567</v>
      </c>
      <c r="P1040" s="1" t="s">
        <v>1554</v>
      </c>
    </row>
    <row r="1041" spans="6:16" x14ac:dyDescent="0.35">
      <c r="F1041" s="1" t="str">
        <f>CONCATENATE(tblCong[[#This Row],[parishCode]],"-",tblCong[[#This Row],[kCode]])</f>
        <v>D06-S02-P04-K02</v>
      </c>
      <c r="G1041" s="1" t="str">
        <f>Distrik!F$10</f>
        <v>D06</v>
      </c>
      <c r="H1041" s="1" t="str">
        <f>VLOOKUP(tblCong[[#This Row],[distCode]],tblDistrict[#All],2)</f>
        <v>Ukata</v>
      </c>
      <c r="I1041" s="1" t="str">
        <f>Seket!I$44</f>
        <v>S02</v>
      </c>
      <c r="J1041" s="1" t="str">
        <f>CONCATENATE(tblCong[[#This Row],[distCode]],"-",tblCong[[#This Row],[sCode]])</f>
        <v>D06-S02</v>
      </c>
      <c r="K1041" s="1" t="str">
        <f>VLOOKUP(tblCong[[#This Row],[seketCode]],tblSeket[#All],5,FALSE)</f>
        <v>Kabwum</v>
      </c>
      <c r="L1041" s="1" t="str">
        <f>Paris!L$271</f>
        <v>P04</v>
      </c>
      <c r="M1041" s="1" t="str">
        <f>CONCATENATE(tblCong[[#This Row],[seketCode]],"-",tblCong[[#This Row],[pCode]])</f>
        <v>D06-S02-P04</v>
      </c>
      <c r="N1041" s="1" t="str">
        <f>Paris!M$271</f>
        <v>Wanbel</v>
      </c>
      <c r="O1041" s="1" t="s">
        <v>569</v>
      </c>
      <c r="P1041" s="1" t="s">
        <v>1555</v>
      </c>
    </row>
    <row r="1042" spans="6:16" x14ac:dyDescent="0.35">
      <c r="F1042" s="1" t="str">
        <f>CONCATENATE(tblCong[[#This Row],[parishCode]],"-",tblCong[[#This Row],[kCode]])</f>
        <v>D06-S02-P04-K03</v>
      </c>
      <c r="G1042" s="1" t="str">
        <f>Distrik!F$10</f>
        <v>D06</v>
      </c>
      <c r="H1042" s="1" t="str">
        <f>VLOOKUP(tblCong[[#This Row],[distCode]],tblDistrict[#All],2)</f>
        <v>Ukata</v>
      </c>
      <c r="I1042" s="1" t="str">
        <f>Seket!I$44</f>
        <v>S02</v>
      </c>
      <c r="J1042" s="1" t="str">
        <f>CONCATENATE(tblCong[[#This Row],[distCode]],"-",tblCong[[#This Row],[sCode]])</f>
        <v>D06-S02</v>
      </c>
      <c r="K1042" s="1" t="str">
        <f>VLOOKUP(tblCong[[#This Row],[seketCode]],tblSeket[#All],5,FALSE)</f>
        <v>Kabwum</v>
      </c>
      <c r="L1042" s="1" t="str">
        <f>Paris!L$271</f>
        <v>P04</v>
      </c>
      <c r="M1042" s="1" t="str">
        <f>CONCATENATE(tblCong[[#This Row],[seketCode]],"-",tblCong[[#This Row],[pCode]])</f>
        <v>D06-S02-P04</v>
      </c>
      <c r="N1042" s="1" t="str">
        <f>Paris!M$271</f>
        <v>Wanbel</v>
      </c>
      <c r="O1042" s="1" t="s">
        <v>571</v>
      </c>
      <c r="P1042" s="1" t="s">
        <v>1556</v>
      </c>
    </row>
    <row r="1043" spans="6:16" x14ac:dyDescent="0.35">
      <c r="F1043" s="1" t="str">
        <f>CONCATENATE(tblCong[[#This Row],[parishCode]],"-",tblCong[[#This Row],[kCode]])</f>
        <v>D06-S02-P05-K01</v>
      </c>
      <c r="G1043" s="1" t="str">
        <f>Distrik!F$10</f>
        <v>D06</v>
      </c>
      <c r="H1043" s="1" t="str">
        <f>VLOOKUP(tblCong[[#This Row],[distCode]],tblDistrict[#All],2)</f>
        <v>Ukata</v>
      </c>
      <c r="I1043" s="1" t="str">
        <f>Seket!I$44</f>
        <v>S02</v>
      </c>
      <c r="J1043" s="1" t="str">
        <f>CONCATENATE(tblCong[[#This Row],[distCode]],"-",tblCong[[#This Row],[sCode]])</f>
        <v>D06-S02</v>
      </c>
      <c r="K1043" s="1" t="str">
        <f>VLOOKUP(tblCong[[#This Row],[seketCode]],tblSeket[#All],5,FALSE)</f>
        <v>Kabwum</v>
      </c>
      <c r="L1043" s="1" t="str">
        <f>Paris!L$272</f>
        <v>P05</v>
      </c>
      <c r="M1043" s="1" t="str">
        <f>CONCATENATE(tblCong[[#This Row],[seketCode]],"-",tblCong[[#This Row],[pCode]])</f>
        <v>D06-S02-P05</v>
      </c>
      <c r="N1043" s="1" t="str">
        <f>Paris!M$272</f>
        <v>Deguso</v>
      </c>
      <c r="O1043" s="1" t="s">
        <v>567</v>
      </c>
      <c r="P1043" s="1" t="s">
        <v>1557</v>
      </c>
    </row>
    <row r="1044" spans="6:16" x14ac:dyDescent="0.35">
      <c r="F1044" s="1" t="str">
        <f>CONCATENATE(tblCong[[#This Row],[parishCode]],"-",tblCong[[#This Row],[kCode]])</f>
        <v>D06-S02-P05-K02</v>
      </c>
      <c r="G1044" s="1" t="str">
        <f>Distrik!F$10</f>
        <v>D06</v>
      </c>
      <c r="H1044" s="1" t="str">
        <f>VLOOKUP(tblCong[[#This Row],[distCode]],tblDistrict[#All],2)</f>
        <v>Ukata</v>
      </c>
      <c r="I1044" s="1" t="str">
        <f>Seket!I$44</f>
        <v>S02</v>
      </c>
      <c r="J1044" s="1" t="str">
        <f>CONCATENATE(tblCong[[#This Row],[distCode]],"-",tblCong[[#This Row],[sCode]])</f>
        <v>D06-S02</v>
      </c>
      <c r="K1044" s="1" t="str">
        <f>VLOOKUP(tblCong[[#This Row],[seketCode]],tblSeket[#All],5,FALSE)</f>
        <v>Kabwum</v>
      </c>
      <c r="L1044" s="1" t="str">
        <f>Paris!L$272</f>
        <v>P05</v>
      </c>
      <c r="M1044" s="1" t="str">
        <f>CONCATENATE(tblCong[[#This Row],[seketCode]],"-",tblCong[[#This Row],[pCode]])</f>
        <v>D06-S02-P05</v>
      </c>
      <c r="N1044" s="1" t="str">
        <f>Paris!M$272</f>
        <v>Deguso</v>
      </c>
      <c r="O1044" s="1" t="s">
        <v>569</v>
      </c>
      <c r="P1044" s="1" t="s">
        <v>1558</v>
      </c>
    </row>
    <row r="1045" spans="6:16" x14ac:dyDescent="0.35">
      <c r="F1045" s="1" t="str">
        <f>CONCATENATE(tblCong[[#This Row],[parishCode]],"-",tblCong[[#This Row],[kCode]])</f>
        <v>D06-S02-P05-K03</v>
      </c>
      <c r="G1045" s="1" t="str">
        <f>Distrik!F$10</f>
        <v>D06</v>
      </c>
      <c r="H1045" s="1" t="str">
        <f>VLOOKUP(tblCong[[#This Row],[distCode]],tblDistrict[#All],2)</f>
        <v>Ukata</v>
      </c>
      <c r="I1045" s="1" t="str">
        <f>Seket!I$44</f>
        <v>S02</v>
      </c>
      <c r="J1045" s="1" t="str">
        <f>CONCATENATE(tblCong[[#This Row],[distCode]],"-",tblCong[[#This Row],[sCode]])</f>
        <v>D06-S02</v>
      </c>
      <c r="K1045" s="1" t="str">
        <f>VLOOKUP(tblCong[[#This Row],[seketCode]],tblSeket[#All],5,FALSE)</f>
        <v>Kabwum</v>
      </c>
      <c r="L1045" s="1" t="str">
        <f>Paris!L$272</f>
        <v>P05</v>
      </c>
      <c r="M1045" s="1" t="str">
        <f>CONCATENATE(tblCong[[#This Row],[seketCode]],"-",tblCong[[#This Row],[pCode]])</f>
        <v>D06-S02-P05</v>
      </c>
      <c r="N1045" s="1" t="str">
        <f>Paris!M$272</f>
        <v>Deguso</v>
      </c>
      <c r="O1045" s="1" t="s">
        <v>571</v>
      </c>
      <c r="P1045" s="1" t="s">
        <v>1559</v>
      </c>
    </row>
    <row r="1046" spans="6:16" x14ac:dyDescent="0.35">
      <c r="F1046" s="1" t="str">
        <f>CONCATENATE(tblCong[[#This Row],[parishCode]],"-",tblCong[[#This Row],[kCode]])</f>
        <v>D06-S02-P06-K01</v>
      </c>
      <c r="G1046" s="1" t="str">
        <f>Distrik!F$10</f>
        <v>D06</v>
      </c>
      <c r="H1046" s="1" t="str">
        <f>VLOOKUP(tblCong[[#This Row],[distCode]],tblDistrict[#All],2)</f>
        <v>Ukata</v>
      </c>
      <c r="I1046" s="1" t="str">
        <f>Seket!I$44</f>
        <v>S02</v>
      </c>
      <c r="J1046" s="1" t="str">
        <f>CONCATENATE(tblCong[[#This Row],[distCode]],"-",tblCong[[#This Row],[sCode]])</f>
        <v>D06-S02</v>
      </c>
      <c r="K1046" s="1" t="str">
        <f>VLOOKUP(tblCong[[#This Row],[seketCode]],tblSeket[#All],5,FALSE)</f>
        <v>Kabwum</v>
      </c>
      <c r="L1046" s="1" t="str">
        <f>Paris!L$273</f>
        <v>P06</v>
      </c>
      <c r="M1046" s="1" t="str">
        <f>CONCATENATE(tblCong[[#This Row],[seketCode]],"-",tblCong[[#This Row],[pCode]])</f>
        <v>D06-S02-P06</v>
      </c>
      <c r="N1046" s="1" t="str">
        <f>Paris!M$273</f>
        <v>Koniwa</v>
      </c>
      <c r="O1046" s="1" t="s">
        <v>567</v>
      </c>
      <c r="P1046" s="1" t="s">
        <v>1560</v>
      </c>
    </row>
    <row r="1047" spans="6:16" x14ac:dyDescent="0.35">
      <c r="F1047" s="1" t="str">
        <f>CONCATENATE(tblCong[[#This Row],[parishCode]],"-",tblCong[[#This Row],[kCode]])</f>
        <v>D06-S02-P06-K02</v>
      </c>
      <c r="G1047" s="1" t="str">
        <f>Distrik!F$10</f>
        <v>D06</v>
      </c>
      <c r="H1047" s="1" t="str">
        <f>VLOOKUP(tblCong[[#This Row],[distCode]],tblDistrict[#All],2)</f>
        <v>Ukata</v>
      </c>
      <c r="I1047" s="1" t="str">
        <f>Seket!I$44</f>
        <v>S02</v>
      </c>
      <c r="J1047" s="1" t="str">
        <f>CONCATENATE(tblCong[[#This Row],[distCode]],"-",tblCong[[#This Row],[sCode]])</f>
        <v>D06-S02</v>
      </c>
      <c r="K1047" s="1" t="str">
        <f>VLOOKUP(tblCong[[#This Row],[seketCode]],tblSeket[#All],5,FALSE)</f>
        <v>Kabwum</v>
      </c>
      <c r="L1047" s="1" t="str">
        <f>Paris!L$273</f>
        <v>P06</v>
      </c>
      <c r="M1047" s="1" t="str">
        <f>CONCATENATE(tblCong[[#This Row],[seketCode]],"-",tblCong[[#This Row],[pCode]])</f>
        <v>D06-S02-P06</v>
      </c>
      <c r="N1047" s="1" t="str">
        <f>Paris!M$273</f>
        <v>Koniwa</v>
      </c>
      <c r="O1047" s="1" t="s">
        <v>569</v>
      </c>
      <c r="P1047" s="1" t="s">
        <v>1561</v>
      </c>
    </row>
    <row r="1048" spans="6:16" x14ac:dyDescent="0.35">
      <c r="F1048" s="1" t="str">
        <f>CONCATENATE(tblCong[[#This Row],[parishCode]],"-",tblCong[[#This Row],[kCode]])</f>
        <v>D06-S02-P06-K03</v>
      </c>
      <c r="G1048" s="1" t="str">
        <f>Distrik!F$10</f>
        <v>D06</v>
      </c>
      <c r="H1048" s="1" t="str">
        <f>VLOOKUP(tblCong[[#This Row],[distCode]],tblDistrict[#All],2)</f>
        <v>Ukata</v>
      </c>
      <c r="I1048" s="1" t="str">
        <f>Seket!I$44</f>
        <v>S02</v>
      </c>
      <c r="J1048" s="1" t="str">
        <f>CONCATENATE(tblCong[[#This Row],[distCode]],"-",tblCong[[#This Row],[sCode]])</f>
        <v>D06-S02</v>
      </c>
      <c r="K1048" s="1" t="str">
        <f>VLOOKUP(tblCong[[#This Row],[seketCode]],tblSeket[#All],5,FALSE)</f>
        <v>Kabwum</v>
      </c>
      <c r="L1048" s="1" t="str">
        <f>Paris!L$273</f>
        <v>P06</v>
      </c>
      <c r="M1048" s="1" t="str">
        <f>CONCATENATE(tblCong[[#This Row],[seketCode]],"-",tblCong[[#This Row],[pCode]])</f>
        <v>D06-S02-P06</v>
      </c>
      <c r="N1048" s="1" t="str">
        <f>Paris!M$273</f>
        <v>Koniwa</v>
      </c>
      <c r="O1048" s="1" t="s">
        <v>571</v>
      </c>
      <c r="P1048" s="1" t="s">
        <v>1562</v>
      </c>
    </row>
    <row r="1049" spans="6:16" x14ac:dyDescent="0.35">
      <c r="F1049" s="1" t="str">
        <f>CONCATENATE(tblCong[[#This Row],[parishCode]],"-",tblCong[[#This Row],[kCode]])</f>
        <v>D06-S02-P06-K04</v>
      </c>
      <c r="G1049" s="1" t="str">
        <f>Distrik!F$10</f>
        <v>D06</v>
      </c>
      <c r="H1049" s="1" t="str">
        <f>VLOOKUP(tblCong[[#This Row],[distCode]],tblDistrict[#All],2)</f>
        <v>Ukata</v>
      </c>
      <c r="I1049" s="1" t="str">
        <f>Seket!I$44</f>
        <v>S02</v>
      </c>
      <c r="J1049" s="1" t="str">
        <f>CONCATENATE(tblCong[[#This Row],[distCode]],"-",tblCong[[#This Row],[sCode]])</f>
        <v>D06-S02</v>
      </c>
      <c r="K1049" s="1" t="str">
        <f>VLOOKUP(tblCong[[#This Row],[seketCode]],tblSeket[#All],5,FALSE)</f>
        <v>Kabwum</v>
      </c>
      <c r="L1049" s="1" t="str">
        <f>Paris!L$273</f>
        <v>P06</v>
      </c>
      <c r="M1049" s="1" t="str">
        <f>CONCATENATE(tblCong[[#This Row],[seketCode]],"-",tblCong[[#This Row],[pCode]])</f>
        <v>D06-S02-P06</v>
      </c>
      <c r="N1049" s="1" t="str">
        <f>Paris!M$273</f>
        <v>Koniwa</v>
      </c>
      <c r="O1049" s="1" t="s">
        <v>573</v>
      </c>
      <c r="P1049" s="1" t="s">
        <v>1563</v>
      </c>
    </row>
    <row r="1050" spans="6:16" x14ac:dyDescent="0.35">
      <c r="F1050" s="1" t="str">
        <f>CONCATENATE(tblCong[[#This Row],[parishCode]],"-",tblCong[[#This Row],[kCode]])</f>
        <v>D06-S02--K01</v>
      </c>
      <c r="G1050" s="1" t="str">
        <f>Distrik!F$10</f>
        <v>D06</v>
      </c>
      <c r="H1050" s="1" t="str">
        <f>VLOOKUP(tblCong[[#This Row],[distCode]],tblDistrict[#All],2)</f>
        <v>Ukata</v>
      </c>
      <c r="I1050" s="1" t="str">
        <f>Seket!I$44</f>
        <v>S02</v>
      </c>
      <c r="J1050" s="1" t="str">
        <f>CONCATENATE(tblCong[[#This Row],[distCode]],"-",tblCong[[#This Row],[sCode]])</f>
        <v>D06-S02</v>
      </c>
      <c r="K1050" s="1" t="str">
        <f>VLOOKUP(tblCong[[#This Row],[seketCode]],tblSeket[#All],5,FALSE)</f>
        <v>Kabwum</v>
      </c>
      <c r="M1050" s="1" t="str">
        <f>CONCATENATE(tblCong[[#This Row],[seketCode]],"-",tblCong[[#This Row],[pCode]])</f>
        <v>D06-S02-</v>
      </c>
      <c r="O1050" s="1" t="s">
        <v>567</v>
      </c>
      <c r="P1050" s="1" t="s">
        <v>1564</v>
      </c>
    </row>
    <row r="1051" spans="6:16" x14ac:dyDescent="0.35">
      <c r="F1051" s="1" t="str">
        <f>CONCATENATE(tblCong[[#This Row],[parishCode]],"-",tblCong[[#This Row],[kCode]])</f>
        <v>D06-S03-P01-K01</v>
      </c>
      <c r="G1051" s="1" t="str">
        <f>Distrik!F$10</f>
        <v>D06</v>
      </c>
      <c r="H1051" s="1" t="str">
        <f>VLOOKUP(tblCong[[#This Row],[distCode]],tblDistrict[#All],2)</f>
        <v>Ukata</v>
      </c>
      <c r="I1051" s="1" t="str">
        <f>Seket!I$45</f>
        <v>S03</v>
      </c>
      <c r="J1051" s="1" t="str">
        <f>CONCATENATE(tblCong[[#This Row],[distCode]],"-",tblCong[[#This Row],[sCode]])</f>
        <v>D06-S03</v>
      </c>
      <c r="K1051" s="1" t="str">
        <f>VLOOKUP(tblCong[[#This Row],[seketCode]],tblSeket[#All],5,FALSE)</f>
        <v>Timbe</v>
      </c>
      <c r="L1051" s="1" t="str">
        <f>Paris!L$274</f>
        <v>P01</v>
      </c>
      <c r="M1051" s="1" t="str">
        <f>CONCATENATE(tblCong[[#This Row],[seketCode]],"-",tblCong[[#This Row],[pCode]])</f>
        <v>D06-S03-P01</v>
      </c>
      <c r="N1051" s="1" t="str">
        <f>Paris!M$274</f>
        <v>Disaen</v>
      </c>
      <c r="O1051" s="1" t="s">
        <v>567</v>
      </c>
      <c r="P1051" s="1" t="s">
        <v>1565</v>
      </c>
    </row>
    <row r="1052" spans="6:16" x14ac:dyDescent="0.35">
      <c r="F1052" s="1" t="str">
        <f>CONCATENATE(tblCong[[#This Row],[parishCode]],"-",tblCong[[#This Row],[kCode]])</f>
        <v>D06-S03-P01-K02</v>
      </c>
      <c r="G1052" s="1" t="str">
        <f>Distrik!F$10</f>
        <v>D06</v>
      </c>
      <c r="H1052" s="1" t="str">
        <f>VLOOKUP(tblCong[[#This Row],[distCode]],tblDistrict[#All],2)</f>
        <v>Ukata</v>
      </c>
      <c r="I1052" s="1" t="str">
        <f>Seket!I$45</f>
        <v>S03</v>
      </c>
      <c r="J1052" s="1" t="str">
        <f>CONCATENATE(tblCong[[#This Row],[distCode]],"-",tblCong[[#This Row],[sCode]])</f>
        <v>D06-S03</v>
      </c>
      <c r="K1052" s="1" t="str">
        <f>VLOOKUP(tblCong[[#This Row],[seketCode]],tblSeket[#All],5,FALSE)</f>
        <v>Timbe</v>
      </c>
      <c r="L1052" s="1" t="str">
        <f>Paris!L$274</f>
        <v>P01</v>
      </c>
      <c r="M1052" s="1" t="str">
        <f>CONCATENATE(tblCong[[#This Row],[seketCode]],"-",tblCong[[#This Row],[pCode]])</f>
        <v>D06-S03-P01</v>
      </c>
      <c r="N1052" s="1" t="str">
        <f>Paris!M$274</f>
        <v>Disaen</v>
      </c>
      <c r="O1052" s="1" t="s">
        <v>569</v>
      </c>
      <c r="P1052" s="1" t="s">
        <v>1566</v>
      </c>
    </row>
    <row r="1053" spans="6:16" x14ac:dyDescent="0.35">
      <c r="F1053" s="1" t="str">
        <f>CONCATENATE(tblCong[[#This Row],[parishCode]],"-",tblCong[[#This Row],[kCode]])</f>
        <v>D06-S03-P01-K03</v>
      </c>
      <c r="G1053" s="1" t="str">
        <f>Distrik!F$10</f>
        <v>D06</v>
      </c>
      <c r="H1053" s="1" t="str">
        <f>VLOOKUP(tblCong[[#This Row],[distCode]],tblDistrict[#All],2)</f>
        <v>Ukata</v>
      </c>
      <c r="I1053" s="1" t="str">
        <f>Seket!I$45</f>
        <v>S03</v>
      </c>
      <c r="J1053" s="1" t="str">
        <f>CONCATENATE(tblCong[[#This Row],[distCode]],"-",tblCong[[#This Row],[sCode]])</f>
        <v>D06-S03</v>
      </c>
      <c r="K1053" s="1" t="str">
        <f>VLOOKUP(tblCong[[#This Row],[seketCode]],tblSeket[#All],5,FALSE)</f>
        <v>Timbe</v>
      </c>
      <c r="L1053" s="1" t="str">
        <f>Paris!L$274</f>
        <v>P01</v>
      </c>
      <c r="M1053" s="1" t="str">
        <f>CONCATENATE(tblCong[[#This Row],[seketCode]],"-",tblCong[[#This Row],[pCode]])</f>
        <v>D06-S03-P01</v>
      </c>
      <c r="N1053" s="1" t="str">
        <f>Paris!M$274</f>
        <v>Disaen</v>
      </c>
      <c r="O1053" s="1" t="s">
        <v>571</v>
      </c>
      <c r="P1053" s="1" t="s">
        <v>1567</v>
      </c>
    </row>
    <row r="1054" spans="6:16" x14ac:dyDescent="0.35">
      <c r="F1054" s="1" t="str">
        <f>CONCATENATE(tblCong[[#This Row],[parishCode]],"-",tblCong[[#This Row],[kCode]])</f>
        <v>D06-S03-P01-K04</v>
      </c>
      <c r="G1054" s="1" t="str">
        <f>Distrik!F$10</f>
        <v>D06</v>
      </c>
      <c r="H1054" s="1" t="str">
        <f>VLOOKUP(tblCong[[#This Row],[distCode]],tblDistrict[#All],2)</f>
        <v>Ukata</v>
      </c>
      <c r="I1054" s="1" t="str">
        <f>Seket!I$45</f>
        <v>S03</v>
      </c>
      <c r="J1054" s="1" t="str">
        <f>CONCATENATE(tblCong[[#This Row],[distCode]],"-",tblCong[[#This Row],[sCode]])</f>
        <v>D06-S03</v>
      </c>
      <c r="K1054" s="1" t="str">
        <f>VLOOKUP(tblCong[[#This Row],[seketCode]],tblSeket[#All],5,FALSE)</f>
        <v>Timbe</v>
      </c>
      <c r="L1054" s="1" t="str">
        <f>Paris!L$274</f>
        <v>P01</v>
      </c>
      <c r="M1054" s="1" t="str">
        <f>CONCATENATE(tblCong[[#This Row],[seketCode]],"-",tblCong[[#This Row],[pCode]])</f>
        <v>D06-S03-P01</v>
      </c>
      <c r="N1054" s="1" t="str">
        <f>Paris!M$274</f>
        <v>Disaen</v>
      </c>
      <c r="O1054" s="1" t="s">
        <v>573</v>
      </c>
      <c r="P1054" s="1" t="s">
        <v>1568</v>
      </c>
    </row>
    <row r="1055" spans="6:16" x14ac:dyDescent="0.35">
      <c r="F1055" s="1" t="str">
        <f>CONCATENATE(tblCong[[#This Row],[parishCode]],"-",tblCong[[#This Row],[kCode]])</f>
        <v>D06-S03-P01-K05</v>
      </c>
      <c r="G1055" s="1" t="str">
        <f>Distrik!F$10</f>
        <v>D06</v>
      </c>
      <c r="H1055" s="1" t="str">
        <f>VLOOKUP(tblCong[[#This Row],[distCode]],tblDistrict[#All],2)</f>
        <v>Ukata</v>
      </c>
      <c r="I1055" s="1" t="str">
        <f>Seket!I$45</f>
        <v>S03</v>
      </c>
      <c r="J1055" s="1" t="str">
        <f>CONCATENATE(tblCong[[#This Row],[distCode]],"-",tblCong[[#This Row],[sCode]])</f>
        <v>D06-S03</v>
      </c>
      <c r="K1055" s="1" t="str">
        <f>VLOOKUP(tblCong[[#This Row],[seketCode]],tblSeket[#All],5,FALSE)</f>
        <v>Timbe</v>
      </c>
      <c r="L1055" s="1" t="str">
        <f>Paris!L$274</f>
        <v>P01</v>
      </c>
      <c r="M1055" s="1" t="str">
        <f>CONCATENATE(tblCong[[#This Row],[seketCode]],"-",tblCong[[#This Row],[pCode]])</f>
        <v>D06-S03-P01</v>
      </c>
      <c r="N1055" s="1" t="str">
        <f>Paris!M$274</f>
        <v>Disaen</v>
      </c>
      <c r="O1055" s="1" t="s">
        <v>575</v>
      </c>
      <c r="P1055" s="1" t="s">
        <v>1569</v>
      </c>
    </row>
    <row r="1056" spans="6:16" x14ac:dyDescent="0.35">
      <c r="F1056" s="1" t="str">
        <f>CONCATENATE(tblCong[[#This Row],[parishCode]],"-",tblCong[[#This Row],[kCode]])</f>
        <v>D06-S03-P02-K01</v>
      </c>
      <c r="G1056" s="1" t="str">
        <f>Distrik!F$10</f>
        <v>D06</v>
      </c>
      <c r="H1056" s="1" t="str">
        <f>VLOOKUP(tblCong[[#This Row],[distCode]],tblDistrict[#All],2)</f>
        <v>Ukata</v>
      </c>
      <c r="I1056" s="1" t="str">
        <f>Seket!I$45</f>
        <v>S03</v>
      </c>
      <c r="J1056" s="1" t="str">
        <f>CONCATENATE(tblCong[[#This Row],[distCode]],"-",tblCong[[#This Row],[sCode]])</f>
        <v>D06-S03</v>
      </c>
      <c r="K1056" s="1" t="str">
        <f>VLOOKUP(tblCong[[#This Row],[seketCode]],tblSeket[#All],5,FALSE)</f>
        <v>Timbe</v>
      </c>
      <c r="L1056" s="1" t="str">
        <f>Paris!L$275</f>
        <v>P02</v>
      </c>
      <c r="M1056" s="1" t="str">
        <f>CONCATENATE(tblCong[[#This Row],[seketCode]],"-",tblCong[[#This Row],[pCode]])</f>
        <v>D06-S03-P02</v>
      </c>
      <c r="N1056" s="1" t="str">
        <f>Paris!M$275</f>
        <v>Timowon</v>
      </c>
      <c r="O1056" s="1" t="s">
        <v>567</v>
      </c>
      <c r="P1056" s="1" t="s">
        <v>1570</v>
      </c>
    </row>
    <row r="1057" spans="6:16" x14ac:dyDescent="0.35">
      <c r="F1057" s="1" t="str">
        <f>CONCATENATE(tblCong[[#This Row],[parishCode]],"-",tblCong[[#This Row],[kCode]])</f>
        <v>D06-S03-P02-K02</v>
      </c>
      <c r="G1057" s="1" t="str">
        <f>Distrik!F$10</f>
        <v>D06</v>
      </c>
      <c r="H1057" s="1" t="str">
        <f>VLOOKUP(tblCong[[#This Row],[distCode]],tblDistrict[#All],2)</f>
        <v>Ukata</v>
      </c>
      <c r="I1057" s="1" t="str">
        <f>Seket!I$45</f>
        <v>S03</v>
      </c>
      <c r="J1057" s="1" t="str">
        <f>CONCATENATE(tblCong[[#This Row],[distCode]],"-",tblCong[[#This Row],[sCode]])</f>
        <v>D06-S03</v>
      </c>
      <c r="K1057" s="1" t="str">
        <f>VLOOKUP(tblCong[[#This Row],[seketCode]],tblSeket[#All],5,FALSE)</f>
        <v>Timbe</v>
      </c>
      <c r="L1057" s="1" t="str">
        <f>Paris!L$275</f>
        <v>P02</v>
      </c>
      <c r="M1057" s="1" t="str">
        <f>CONCATENATE(tblCong[[#This Row],[seketCode]],"-",tblCong[[#This Row],[pCode]])</f>
        <v>D06-S03-P02</v>
      </c>
      <c r="N1057" s="1" t="str">
        <f>Paris!M$275</f>
        <v>Timowon</v>
      </c>
      <c r="O1057" s="1" t="s">
        <v>569</v>
      </c>
      <c r="P1057" s="1" t="s">
        <v>1571</v>
      </c>
    </row>
    <row r="1058" spans="6:16" x14ac:dyDescent="0.35">
      <c r="F1058" s="1" t="str">
        <f>CONCATENATE(tblCong[[#This Row],[parishCode]],"-",tblCong[[#This Row],[kCode]])</f>
        <v>D06-S03-P02-K03</v>
      </c>
      <c r="G1058" s="1" t="str">
        <f>Distrik!F$10</f>
        <v>D06</v>
      </c>
      <c r="H1058" s="1" t="str">
        <f>VLOOKUP(tblCong[[#This Row],[distCode]],tblDistrict[#All],2)</f>
        <v>Ukata</v>
      </c>
      <c r="I1058" s="1" t="str">
        <f>Seket!I$45</f>
        <v>S03</v>
      </c>
      <c r="J1058" s="1" t="str">
        <f>CONCATENATE(tblCong[[#This Row],[distCode]],"-",tblCong[[#This Row],[sCode]])</f>
        <v>D06-S03</v>
      </c>
      <c r="K1058" s="1" t="str">
        <f>VLOOKUP(tblCong[[#This Row],[seketCode]],tblSeket[#All],5,FALSE)</f>
        <v>Timbe</v>
      </c>
      <c r="L1058" s="1" t="str">
        <f>Paris!L$275</f>
        <v>P02</v>
      </c>
      <c r="M1058" s="1" t="str">
        <f>CONCATENATE(tblCong[[#This Row],[seketCode]],"-",tblCong[[#This Row],[pCode]])</f>
        <v>D06-S03-P02</v>
      </c>
      <c r="N1058" s="1" t="str">
        <f>Paris!M$275</f>
        <v>Timowon</v>
      </c>
      <c r="O1058" s="1" t="s">
        <v>571</v>
      </c>
      <c r="P1058" s="1" t="s">
        <v>1572</v>
      </c>
    </row>
    <row r="1059" spans="6:16" x14ac:dyDescent="0.35">
      <c r="F1059" s="1" t="str">
        <f>CONCATENATE(tblCong[[#This Row],[parishCode]],"-",tblCong[[#This Row],[kCode]])</f>
        <v>D06-S03-P02-K04</v>
      </c>
      <c r="G1059" s="1" t="str">
        <f>Distrik!F$10</f>
        <v>D06</v>
      </c>
      <c r="H1059" s="1" t="str">
        <f>VLOOKUP(tblCong[[#This Row],[distCode]],tblDistrict[#All],2)</f>
        <v>Ukata</v>
      </c>
      <c r="I1059" s="1" t="str">
        <f>Seket!I$45</f>
        <v>S03</v>
      </c>
      <c r="J1059" s="1" t="str">
        <f>CONCATENATE(tblCong[[#This Row],[distCode]],"-",tblCong[[#This Row],[sCode]])</f>
        <v>D06-S03</v>
      </c>
      <c r="K1059" s="1" t="str">
        <f>VLOOKUP(tblCong[[#This Row],[seketCode]],tblSeket[#All],5,FALSE)</f>
        <v>Timbe</v>
      </c>
      <c r="L1059" s="1" t="str">
        <f>Paris!L$275</f>
        <v>P02</v>
      </c>
      <c r="M1059" s="1" t="str">
        <f>CONCATENATE(tblCong[[#This Row],[seketCode]],"-",tblCong[[#This Row],[pCode]])</f>
        <v>D06-S03-P02</v>
      </c>
      <c r="N1059" s="1" t="str">
        <f>Paris!M$275</f>
        <v>Timowon</v>
      </c>
      <c r="O1059" s="1" t="s">
        <v>573</v>
      </c>
      <c r="P1059" s="1" t="s">
        <v>1573</v>
      </c>
    </row>
    <row r="1060" spans="6:16" x14ac:dyDescent="0.35">
      <c r="F1060" s="1" t="str">
        <f>CONCATENATE(tblCong[[#This Row],[parishCode]],"-",tblCong[[#This Row],[kCode]])</f>
        <v>D06-S03-P03-K01</v>
      </c>
      <c r="G1060" s="1" t="str">
        <f>Distrik!F$10</f>
        <v>D06</v>
      </c>
      <c r="H1060" s="1" t="str">
        <f>VLOOKUP(tblCong[[#This Row],[distCode]],tblDistrict[#All],2)</f>
        <v>Ukata</v>
      </c>
      <c r="I1060" s="1" t="str">
        <f>Seket!I$45</f>
        <v>S03</v>
      </c>
      <c r="J1060" s="1" t="str">
        <f>CONCATENATE(tblCong[[#This Row],[distCode]],"-",tblCong[[#This Row],[sCode]])</f>
        <v>D06-S03</v>
      </c>
      <c r="K1060" s="1" t="str">
        <f>VLOOKUP(tblCong[[#This Row],[seketCode]],tblSeket[#All],5,FALSE)</f>
        <v>Timbe</v>
      </c>
      <c r="L1060" s="1" t="str">
        <f>Paris!L$276</f>
        <v>P03</v>
      </c>
      <c r="M1060" s="1" t="str">
        <f>CONCATENATE(tblCong[[#This Row],[seketCode]],"-",tblCong[[#This Row],[pCode]])</f>
        <v>D06-S03-P03</v>
      </c>
      <c r="N1060" s="1" t="str">
        <f>Paris!M$276</f>
        <v>Motu</v>
      </c>
      <c r="O1060" s="1" t="s">
        <v>567</v>
      </c>
      <c r="P1060" s="1" t="s">
        <v>1574</v>
      </c>
    </row>
    <row r="1061" spans="6:16" x14ac:dyDescent="0.35">
      <c r="F1061" s="1" t="str">
        <f>CONCATENATE(tblCong[[#This Row],[parishCode]],"-",tblCong[[#This Row],[kCode]])</f>
        <v>D06-S03-P03-K02</v>
      </c>
      <c r="G1061" s="1" t="str">
        <f>Distrik!F$10</f>
        <v>D06</v>
      </c>
      <c r="H1061" s="1" t="str">
        <f>VLOOKUP(tblCong[[#This Row],[distCode]],tblDistrict[#All],2)</f>
        <v>Ukata</v>
      </c>
      <c r="I1061" s="1" t="str">
        <f>Seket!I$45</f>
        <v>S03</v>
      </c>
      <c r="J1061" s="1" t="str">
        <f>CONCATENATE(tblCong[[#This Row],[distCode]],"-",tblCong[[#This Row],[sCode]])</f>
        <v>D06-S03</v>
      </c>
      <c r="K1061" s="1" t="str">
        <f>VLOOKUP(tblCong[[#This Row],[seketCode]],tblSeket[#All],5,FALSE)</f>
        <v>Timbe</v>
      </c>
      <c r="L1061" s="1" t="str">
        <f>Paris!L$276</f>
        <v>P03</v>
      </c>
      <c r="M1061" s="1" t="str">
        <f>CONCATENATE(tblCong[[#This Row],[seketCode]],"-",tblCong[[#This Row],[pCode]])</f>
        <v>D06-S03-P03</v>
      </c>
      <c r="N1061" s="1" t="str">
        <f>Paris!M$276</f>
        <v>Motu</v>
      </c>
      <c r="O1061" s="1" t="s">
        <v>569</v>
      </c>
      <c r="P1061" s="1" t="s">
        <v>485</v>
      </c>
    </row>
    <row r="1062" spans="6:16" x14ac:dyDescent="0.35">
      <c r="F1062" s="1" t="str">
        <f>CONCATENATE(tblCong[[#This Row],[parishCode]],"-",tblCong[[#This Row],[kCode]])</f>
        <v>D06-S03-P03-K03</v>
      </c>
      <c r="G1062" s="1" t="str">
        <f>Distrik!F$10</f>
        <v>D06</v>
      </c>
      <c r="H1062" s="1" t="str">
        <f>VLOOKUP(tblCong[[#This Row],[distCode]],tblDistrict[#All],2)</f>
        <v>Ukata</v>
      </c>
      <c r="I1062" s="1" t="str">
        <f>Seket!I$45</f>
        <v>S03</v>
      </c>
      <c r="J1062" s="1" t="str">
        <f>CONCATENATE(tblCong[[#This Row],[distCode]],"-",tblCong[[#This Row],[sCode]])</f>
        <v>D06-S03</v>
      </c>
      <c r="K1062" s="1" t="str">
        <f>VLOOKUP(tblCong[[#This Row],[seketCode]],tblSeket[#All],5,FALSE)</f>
        <v>Timbe</v>
      </c>
      <c r="L1062" s="1" t="str">
        <f>Paris!L$276</f>
        <v>P03</v>
      </c>
      <c r="M1062" s="1" t="str">
        <f>CONCATENATE(tblCong[[#This Row],[seketCode]],"-",tblCong[[#This Row],[pCode]])</f>
        <v>D06-S03-P03</v>
      </c>
      <c r="N1062" s="1" t="str">
        <f>Paris!M$276</f>
        <v>Motu</v>
      </c>
      <c r="O1062" s="1" t="s">
        <v>571</v>
      </c>
      <c r="P1062" s="1" t="s">
        <v>1575</v>
      </c>
    </row>
    <row r="1063" spans="6:16" x14ac:dyDescent="0.35">
      <c r="F1063" s="1" t="str">
        <f>CONCATENATE(tblCong[[#This Row],[parishCode]],"-",tblCong[[#This Row],[kCode]])</f>
        <v>D06-S03-P03-K04</v>
      </c>
      <c r="G1063" s="1" t="str">
        <f>Distrik!F$10</f>
        <v>D06</v>
      </c>
      <c r="H1063" s="1" t="str">
        <f>VLOOKUP(tblCong[[#This Row],[distCode]],tblDistrict[#All],2)</f>
        <v>Ukata</v>
      </c>
      <c r="I1063" s="1" t="str">
        <f>Seket!I$45</f>
        <v>S03</v>
      </c>
      <c r="J1063" s="1" t="str">
        <f>CONCATENATE(tblCong[[#This Row],[distCode]],"-",tblCong[[#This Row],[sCode]])</f>
        <v>D06-S03</v>
      </c>
      <c r="K1063" s="1" t="str">
        <f>VLOOKUP(tblCong[[#This Row],[seketCode]],tblSeket[#All],5,FALSE)</f>
        <v>Timbe</v>
      </c>
      <c r="L1063" s="1" t="str">
        <f>Paris!L$276</f>
        <v>P03</v>
      </c>
      <c r="M1063" s="1" t="str">
        <f>CONCATENATE(tblCong[[#This Row],[seketCode]],"-",tblCong[[#This Row],[pCode]])</f>
        <v>D06-S03-P03</v>
      </c>
      <c r="N1063" s="1" t="str">
        <f>Paris!M$276</f>
        <v>Motu</v>
      </c>
      <c r="O1063" s="1" t="s">
        <v>573</v>
      </c>
      <c r="P1063" s="1" t="s">
        <v>1576</v>
      </c>
    </row>
    <row r="1064" spans="6:16" x14ac:dyDescent="0.35">
      <c r="F1064" s="1" t="str">
        <f>CONCATENATE(tblCong[[#This Row],[parishCode]],"-",tblCong[[#This Row],[kCode]])</f>
        <v>D06-S03-P04-K01</v>
      </c>
      <c r="G1064" s="1" t="str">
        <f>Distrik!F$10</f>
        <v>D06</v>
      </c>
      <c r="H1064" s="1" t="str">
        <f>VLOOKUP(tblCong[[#This Row],[distCode]],tblDistrict[#All],2)</f>
        <v>Ukata</v>
      </c>
      <c r="I1064" s="1" t="str">
        <f>Seket!I$45</f>
        <v>S03</v>
      </c>
      <c r="J1064" s="1" t="str">
        <f>CONCATENATE(tblCong[[#This Row],[distCode]],"-",tblCong[[#This Row],[sCode]])</f>
        <v>D06-S03</v>
      </c>
      <c r="K1064" s="1" t="str">
        <f>VLOOKUP(tblCong[[#This Row],[seketCode]],tblSeket[#All],5,FALSE)</f>
        <v>Timbe</v>
      </c>
      <c r="L1064" s="1" t="str">
        <f>Paris!L$277</f>
        <v>P04</v>
      </c>
      <c r="M1064" s="1" t="str">
        <f>CONCATENATE(tblCong[[#This Row],[seketCode]],"-",tblCong[[#This Row],[pCode]])</f>
        <v>D06-S03-P04</v>
      </c>
      <c r="N1064" s="1" t="str">
        <f>Paris!M$277</f>
        <v>Songin</v>
      </c>
      <c r="O1064" s="1" t="s">
        <v>567</v>
      </c>
      <c r="P1064" s="1" t="s">
        <v>1577</v>
      </c>
    </row>
    <row r="1065" spans="6:16" x14ac:dyDescent="0.35">
      <c r="F1065" s="1" t="str">
        <f>CONCATENATE(tblCong[[#This Row],[parishCode]],"-",tblCong[[#This Row],[kCode]])</f>
        <v>D06-S03-P04-K02</v>
      </c>
      <c r="G1065" s="1" t="str">
        <f>Distrik!F$10</f>
        <v>D06</v>
      </c>
      <c r="H1065" s="1" t="str">
        <f>VLOOKUP(tblCong[[#This Row],[distCode]],tblDistrict[#All],2)</f>
        <v>Ukata</v>
      </c>
      <c r="I1065" s="1" t="str">
        <f>Seket!I$45</f>
        <v>S03</v>
      </c>
      <c r="J1065" s="1" t="str">
        <f>CONCATENATE(tblCong[[#This Row],[distCode]],"-",tblCong[[#This Row],[sCode]])</f>
        <v>D06-S03</v>
      </c>
      <c r="K1065" s="1" t="str">
        <f>VLOOKUP(tblCong[[#This Row],[seketCode]],tblSeket[#All],5,FALSE)</f>
        <v>Timbe</v>
      </c>
      <c r="L1065" s="1" t="str">
        <f>Paris!L$277</f>
        <v>P04</v>
      </c>
      <c r="M1065" s="1" t="str">
        <f>CONCATENATE(tblCong[[#This Row],[seketCode]],"-",tblCong[[#This Row],[pCode]])</f>
        <v>D06-S03-P04</v>
      </c>
      <c r="N1065" s="1" t="str">
        <f>Paris!M$277</f>
        <v>Songin</v>
      </c>
      <c r="O1065" s="1" t="s">
        <v>569</v>
      </c>
      <c r="P1065" s="1" t="s">
        <v>1578</v>
      </c>
    </row>
    <row r="1066" spans="6:16" x14ac:dyDescent="0.35">
      <c r="F1066" s="1" t="str">
        <f>CONCATENATE(tblCong[[#This Row],[parishCode]],"-",tblCong[[#This Row],[kCode]])</f>
        <v>D06-S03-P04-K03</v>
      </c>
      <c r="G1066" s="1" t="str">
        <f>Distrik!F$10</f>
        <v>D06</v>
      </c>
      <c r="H1066" s="1" t="str">
        <f>VLOOKUP(tblCong[[#This Row],[distCode]],tblDistrict[#All],2)</f>
        <v>Ukata</v>
      </c>
      <c r="I1066" s="1" t="str">
        <f>Seket!I$45</f>
        <v>S03</v>
      </c>
      <c r="J1066" s="1" t="str">
        <f>CONCATENATE(tblCong[[#This Row],[distCode]],"-",tblCong[[#This Row],[sCode]])</f>
        <v>D06-S03</v>
      </c>
      <c r="K1066" s="1" t="str">
        <f>VLOOKUP(tblCong[[#This Row],[seketCode]],tblSeket[#All],5,FALSE)</f>
        <v>Timbe</v>
      </c>
      <c r="L1066" s="1" t="str">
        <f>Paris!L$277</f>
        <v>P04</v>
      </c>
      <c r="M1066" s="1" t="str">
        <f>CONCATENATE(tblCong[[#This Row],[seketCode]],"-",tblCong[[#This Row],[pCode]])</f>
        <v>D06-S03-P04</v>
      </c>
      <c r="N1066" s="1" t="str">
        <f>Paris!M$277</f>
        <v>Songin</v>
      </c>
      <c r="O1066" s="1" t="s">
        <v>571</v>
      </c>
      <c r="P1066" s="1" t="s">
        <v>1579</v>
      </c>
    </row>
    <row r="1067" spans="6:16" x14ac:dyDescent="0.35">
      <c r="F1067" s="1" t="str">
        <f>CONCATENATE(tblCong[[#This Row],[parishCode]],"-",tblCong[[#This Row],[kCode]])</f>
        <v>D06-S03-P04-K04</v>
      </c>
      <c r="G1067" s="1" t="str">
        <f>Distrik!F$10</f>
        <v>D06</v>
      </c>
      <c r="H1067" s="1" t="str">
        <f>VLOOKUP(tblCong[[#This Row],[distCode]],tblDistrict[#All],2)</f>
        <v>Ukata</v>
      </c>
      <c r="I1067" s="1" t="str">
        <f>Seket!I$45</f>
        <v>S03</v>
      </c>
      <c r="J1067" s="1" t="str">
        <f>CONCATENATE(tblCong[[#This Row],[distCode]],"-",tblCong[[#This Row],[sCode]])</f>
        <v>D06-S03</v>
      </c>
      <c r="K1067" s="1" t="str">
        <f>VLOOKUP(tblCong[[#This Row],[seketCode]],tblSeket[#All],5,FALSE)</f>
        <v>Timbe</v>
      </c>
      <c r="L1067" s="1" t="str">
        <f>Paris!L$277</f>
        <v>P04</v>
      </c>
      <c r="M1067" s="1" t="str">
        <f>CONCATENATE(tblCong[[#This Row],[seketCode]],"-",tblCong[[#This Row],[pCode]])</f>
        <v>D06-S03-P04</v>
      </c>
      <c r="N1067" s="1" t="str">
        <f>Paris!M$277</f>
        <v>Songin</v>
      </c>
      <c r="O1067" s="1" t="s">
        <v>573</v>
      </c>
      <c r="P1067" s="1" t="s">
        <v>486</v>
      </c>
    </row>
    <row r="1068" spans="6:16" x14ac:dyDescent="0.35">
      <c r="F1068" s="1" t="str">
        <f>CONCATENATE(tblCong[[#This Row],[parishCode]],"-",tblCong[[#This Row],[kCode]])</f>
        <v>D06-S03-P04-K05</v>
      </c>
      <c r="G1068" s="1" t="str">
        <f>Distrik!F$10</f>
        <v>D06</v>
      </c>
      <c r="H1068" s="1" t="str">
        <f>VLOOKUP(tblCong[[#This Row],[distCode]],tblDistrict[#All],2)</f>
        <v>Ukata</v>
      </c>
      <c r="I1068" s="1" t="str">
        <f>Seket!I$45</f>
        <v>S03</v>
      </c>
      <c r="J1068" s="1" t="str">
        <f>CONCATENATE(tblCong[[#This Row],[distCode]],"-",tblCong[[#This Row],[sCode]])</f>
        <v>D06-S03</v>
      </c>
      <c r="K1068" s="1" t="str">
        <f>VLOOKUP(tblCong[[#This Row],[seketCode]],tblSeket[#All],5,FALSE)</f>
        <v>Timbe</v>
      </c>
      <c r="L1068" s="1" t="str">
        <f>Paris!L$277</f>
        <v>P04</v>
      </c>
      <c r="M1068" s="1" t="str">
        <f>CONCATENATE(tblCong[[#This Row],[seketCode]],"-",tblCong[[#This Row],[pCode]])</f>
        <v>D06-S03-P04</v>
      </c>
      <c r="N1068" s="1" t="str">
        <f>Paris!M$277</f>
        <v>Songin</v>
      </c>
      <c r="O1068" s="1" t="s">
        <v>575</v>
      </c>
      <c r="P1068" s="1" t="s">
        <v>1580</v>
      </c>
    </row>
    <row r="1069" spans="6:16" x14ac:dyDescent="0.35">
      <c r="F1069" s="1" t="str">
        <f>CONCATENATE(tblCong[[#This Row],[parishCode]],"-",tblCong[[#This Row],[kCode]])</f>
        <v>D06-S03-P05-K01</v>
      </c>
      <c r="G1069" s="1" t="str">
        <f>Distrik!F$10</f>
        <v>D06</v>
      </c>
      <c r="H1069" s="1" t="str">
        <f>VLOOKUP(tblCong[[#This Row],[distCode]],tblDistrict[#All],2)</f>
        <v>Ukata</v>
      </c>
      <c r="I1069" s="1" t="str">
        <f>Seket!I$45</f>
        <v>S03</v>
      </c>
      <c r="J1069" s="1" t="str">
        <f>CONCATENATE(tblCong[[#This Row],[distCode]],"-",tblCong[[#This Row],[sCode]])</f>
        <v>D06-S03</v>
      </c>
      <c r="K1069" s="1" t="str">
        <f>VLOOKUP(tblCong[[#This Row],[seketCode]],tblSeket[#All],5,FALSE)</f>
        <v>Timbe</v>
      </c>
      <c r="L1069" s="1" t="str">
        <f>Paris!L$278</f>
        <v>P05</v>
      </c>
      <c r="M1069" s="1" t="str">
        <f>CONCATENATE(tblCong[[#This Row],[seketCode]],"-",tblCong[[#This Row],[pCode]])</f>
        <v>D06-S03-P05</v>
      </c>
      <c r="N1069" s="1" t="str">
        <f>Paris!M$278</f>
        <v>Derim Stesin</v>
      </c>
      <c r="O1069" s="1" t="s">
        <v>567</v>
      </c>
      <c r="P1069" s="1" t="s">
        <v>1581</v>
      </c>
    </row>
    <row r="1070" spans="6:16" x14ac:dyDescent="0.35">
      <c r="F1070" s="1" t="str">
        <f>CONCATENATE(tblCong[[#This Row],[parishCode]],"-",tblCong[[#This Row],[kCode]])</f>
        <v>D06-S03-P05-K02</v>
      </c>
      <c r="G1070" s="1" t="str">
        <f>Distrik!F$10</f>
        <v>D06</v>
      </c>
      <c r="H1070" s="1" t="str">
        <f>VLOOKUP(tblCong[[#This Row],[distCode]],tblDistrict[#All],2)</f>
        <v>Ukata</v>
      </c>
      <c r="I1070" s="1" t="str">
        <f>Seket!I$45</f>
        <v>S03</v>
      </c>
      <c r="J1070" s="1" t="str">
        <f>CONCATENATE(tblCong[[#This Row],[distCode]],"-",tblCong[[#This Row],[sCode]])</f>
        <v>D06-S03</v>
      </c>
      <c r="K1070" s="1" t="str">
        <f>VLOOKUP(tblCong[[#This Row],[seketCode]],tblSeket[#All],5,FALSE)</f>
        <v>Timbe</v>
      </c>
      <c r="L1070" s="1" t="str">
        <f>Paris!L$278</f>
        <v>P05</v>
      </c>
      <c r="M1070" s="1" t="str">
        <f>CONCATENATE(tblCong[[#This Row],[seketCode]],"-",tblCong[[#This Row],[pCode]])</f>
        <v>D06-S03-P05</v>
      </c>
      <c r="N1070" s="1" t="str">
        <f>Paris!M$278</f>
        <v>Derim Stesin</v>
      </c>
      <c r="O1070" s="1" t="s">
        <v>569</v>
      </c>
      <c r="P1070" s="1" t="s">
        <v>1581</v>
      </c>
    </row>
    <row r="1071" spans="6:16" x14ac:dyDescent="0.35">
      <c r="F1071" s="1" t="str">
        <f>CONCATENATE(tblCong[[#This Row],[parishCode]],"-",tblCong[[#This Row],[kCode]])</f>
        <v>D06-S03-P05-K03</v>
      </c>
      <c r="G1071" s="1" t="str">
        <f>Distrik!F$10</f>
        <v>D06</v>
      </c>
      <c r="H1071" s="1" t="str">
        <f>VLOOKUP(tblCong[[#This Row],[distCode]],tblDistrict[#All],2)</f>
        <v>Ukata</v>
      </c>
      <c r="I1071" s="1" t="str">
        <f>Seket!I$45</f>
        <v>S03</v>
      </c>
      <c r="J1071" s="1" t="str">
        <f>CONCATENATE(tblCong[[#This Row],[distCode]],"-",tblCong[[#This Row],[sCode]])</f>
        <v>D06-S03</v>
      </c>
      <c r="K1071" s="1" t="str">
        <f>VLOOKUP(tblCong[[#This Row],[seketCode]],tblSeket[#All],5,FALSE)</f>
        <v>Timbe</v>
      </c>
      <c r="L1071" s="1" t="str">
        <f>Paris!L$278</f>
        <v>P05</v>
      </c>
      <c r="M1071" s="1" t="str">
        <f>CONCATENATE(tblCong[[#This Row],[seketCode]],"-",tblCong[[#This Row],[pCode]])</f>
        <v>D06-S03-P05</v>
      </c>
      <c r="N1071" s="1" t="str">
        <f>Paris!M$278</f>
        <v>Derim Stesin</v>
      </c>
      <c r="O1071" s="1" t="s">
        <v>571</v>
      </c>
      <c r="P1071" s="1" t="s">
        <v>1582</v>
      </c>
    </row>
    <row r="1072" spans="6:16" x14ac:dyDescent="0.35">
      <c r="F1072" s="1" t="str">
        <f>CONCATENATE(tblCong[[#This Row],[parishCode]],"-",tblCong[[#This Row],[kCode]])</f>
        <v>D06-S03-P05-K04</v>
      </c>
      <c r="G1072" s="1" t="str">
        <f>Distrik!F$10</f>
        <v>D06</v>
      </c>
      <c r="H1072" s="1" t="str">
        <f>VLOOKUP(tblCong[[#This Row],[distCode]],tblDistrict[#All],2)</f>
        <v>Ukata</v>
      </c>
      <c r="I1072" s="1" t="str">
        <f>Seket!I$45</f>
        <v>S03</v>
      </c>
      <c r="J1072" s="1" t="str">
        <f>CONCATENATE(tblCong[[#This Row],[distCode]],"-",tblCong[[#This Row],[sCode]])</f>
        <v>D06-S03</v>
      </c>
      <c r="K1072" s="1" t="str">
        <f>VLOOKUP(tblCong[[#This Row],[seketCode]],tblSeket[#All],5,FALSE)</f>
        <v>Timbe</v>
      </c>
      <c r="L1072" s="1" t="str">
        <f>Paris!L$278</f>
        <v>P05</v>
      </c>
      <c r="M1072" s="1" t="str">
        <f>CONCATENATE(tblCong[[#This Row],[seketCode]],"-",tblCong[[#This Row],[pCode]])</f>
        <v>D06-S03-P05</v>
      </c>
      <c r="N1072" s="1" t="str">
        <f>Paris!M$278</f>
        <v>Derim Stesin</v>
      </c>
      <c r="O1072" s="1" t="s">
        <v>573</v>
      </c>
      <c r="P1072" s="1" t="s">
        <v>1583</v>
      </c>
    </row>
    <row r="1073" spans="6:16" x14ac:dyDescent="0.35">
      <c r="F1073" s="1" t="str">
        <f>CONCATENATE(tblCong[[#This Row],[parishCode]],"-",tblCong[[#This Row],[kCode]])</f>
        <v>D06-S03-P05-K05</v>
      </c>
      <c r="G1073" s="1" t="str">
        <f>Distrik!F$10</f>
        <v>D06</v>
      </c>
      <c r="H1073" s="1" t="str">
        <f>VLOOKUP(tblCong[[#This Row],[distCode]],tblDistrict[#All],2)</f>
        <v>Ukata</v>
      </c>
      <c r="I1073" s="1" t="str">
        <f>Seket!I$45</f>
        <v>S03</v>
      </c>
      <c r="J1073" s="1" t="str">
        <f>CONCATENATE(tblCong[[#This Row],[distCode]],"-",tblCong[[#This Row],[sCode]])</f>
        <v>D06-S03</v>
      </c>
      <c r="K1073" s="1" t="str">
        <f>VLOOKUP(tblCong[[#This Row],[seketCode]],tblSeket[#All],5,FALSE)</f>
        <v>Timbe</v>
      </c>
      <c r="L1073" s="1" t="str">
        <f>Paris!L$278</f>
        <v>P05</v>
      </c>
      <c r="M1073" s="1" t="str">
        <f>CONCATENATE(tblCong[[#This Row],[seketCode]],"-",tblCong[[#This Row],[pCode]])</f>
        <v>D06-S03-P05</v>
      </c>
      <c r="N1073" s="1" t="str">
        <f>Paris!M$278</f>
        <v>Derim Stesin</v>
      </c>
      <c r="O1073" s="1" t="s">
        <v>575</v>
      </c>
      <c r="P1073" s="1" t="s">
        <v>1584</v>
      </c>
    </row>
    <row r="1074" spans="6:16" x14ac:dyDescent="0.35">
      <c r="F1074" s="1" t="str">
        <f>CONCATENATE(tblCong[[#This Row],[parishCode]],"-",tblCong[[#This Row],[kCode]])</f>
        <v>D06-S03-P05-K06</v>
      </c>
      <c r="G1074" s="1" t="str">
        <f>Distrik!F$10</f>
        <v>D06</v>
      </c>
      <c r="H1074" s="1" t="str">
        <f>VLOOKUP(tblCong[[#This Row],[distCode]],tblDistrict[#All],2)</f>
        <v>Ukata</v>
      </c>
      <c r="I1074" s="1" t="str">
        <f>Seket!I$45</f>
        <v>S03</v>
      </c>
      <c r="J1074" s="1" t="str">
        <f>CONCATENATE(tblCong[[#This Row],[distCode]],"-",tblCong[[#This Row],[sCode]])</f>
        <v>D06-S03</v>
      </c>
      <c r="K1074" s="1" t="str">
        <f>VLOOKUP(tblCong[[#This Row],[seketCode]],tblSeket[#All],5,FALSE)</f>
        <v>Timbe</v>
      </c>
      <c r="L1074" s="1" t="str">
        <f>Paris!L$278</f>
        <v>P05</v>
      </c>
      <c r="M1074" s="1" t="str">
        <f>CONCATENATE(tblCong[[#This Row],[seketCode]],"-",tblCong[[#This Row],[pCode]])</f>
        <v>D06-S03-P05</v>
      </c>
      <c r="N1074" s="1" t="str">
        <f>Paris!M$278</f>
        <v>Derim Stesin</v>
      </c>
      <c r="O1074" s="1" t="s">
        <v>576</v>
      </c>
      <c r="P1074" s="1" t="s">
        <v>1585</v>
      </c>
    </row>
    <row r="1075" spans="6:16" x14ac:dyDescent="0.35">
      <c r="F1075" s="1" t="str">
        <f>CONCATENATE(tblCong[[#This Row],[parishCode]],"-",tblCong[[#This Row],[kCode]])</f>
        <v>D06-S03-P05-K07</v>
      </c>
      <c r="G1075" s="1" t="str">
        <f>Distrik!F$10</f>
        <v>D06</v>
      </c>
      <c r="H1075" s="1" t="str">
        <f>VLOOKUP(tblCong[[#This Row],[distCode]],tblDistrict[#All],2)</f>
        <v>Ukata</v>
      </c>
      <c r="I1075" s="1" t="str">
        <f>Seket!I$45</f>
        <v>S03</v>
      </c>
      <c r="J1075" s="1" t="str">
        <f>CONCATENATE(tblCong[[#This Row],[distCode]],"-",tblCong[[#This Row],[sCode]])</f>
        <v>D06-S03</v>
      </c>
      <c r="K1075" s="1" t="str">
        <f>VLOOKUP(tblCong[[#This Row],[seketCode]],tblSeket[#All],5,FALSE)</f>
        <v>Timbe</v>
      </c>
      <c r="L1075" s="1" t="str">
        <f>Paris!L$278</f>
        <v>P05</v>
      </c>
      <c r="M1075" s="1" t="str">
        <f>CONCATENATE(tblCong[[#This Row],[seketCode]],"-",tblCong[[#This Row],[pCode]])</f>
        <v>D06-S03-P05</v>
      </c>
      <c r="N1075" s="1" t="str">
        <f>Paris!M$278</f>
        <v>Derim Stesin</v>
      </c>
      <c r="O1075" s="1" t="s">
        <v>578</v>
      </c>
      <c r="P1075" s="1" t="s">
        <v>1586</v>
      </c>
    </row>
    <row r="1076" spans="6:16" x14ac:dyDescent="0.35">
      <c r="F1076" s="1" t="str">
        <f>CONCATENATE(tblCong[[#This Row],[parishCode]],"-",tblCong[[#This Row],[kCode]])</f>
        <v>D06-S03-P06-K01</v>
      </c>
      <c r="G1076" s="1" t="str">
        <f>Distrik!F$10</f>
        <v>D06</v>
      </c>
      <c r="H1076" s="1" t="str">
        <f>VLOOKUP(tblCong[[#This Row],[distCode]],tblDistrict[#All],2)</f>
        <v>Ukata</v>
      </c>
      <c r="I1076" s="1" t="str">
        <f>Seket!I$45</f>
        <v>S03</v>
      </c>
      <c r="J1076" s="1" t="str">
        <f>CONCATENATE(tblCong[[#This Row],[distCode]],"-",tblCong[[#This Row],[sCode]])</f>
        <v>D06-S03</v>
      </c>
      <c r="K1076" s="1" t="str">
        <f>VLOOKUP(tblCong[[#This Row],[seketCode]],tblSeket[#All],5,FALSE)</f>
        <v>Timbe</v>
      </c>
      <c r="L1076" s="1" t="str">
        <f>Paris!L$279</f>
        <v>P06</v>
      </c>
      <c r="M1076" s="1" t="str">
        <f>CONCATENATE(tblCong[[#This Row],[seketCode]],"-",tblCong[[#This Row],[pCode]])</f>
        <v>D06-S03-P06</v>
      </c>
      <c r="N1076" s="1" t="str">
        <f>Paris!M$279</f>
        <v>Hengune</v>
      </c>
      <c r="O1076" s="1" t="s">
        <v>567</v>
      </c>
      <c r="P1076" s="1" t="s">
        <v>1587</v>
      </c>
    </row>
    <row r="1077" spans="6:16" x14ac:dyDescent="0.35">
      <c r="F1077" s="1" t="str">
        <f>CONCATENATE(tblCong[[#This Row],[parishCode]],"-",tblCong[[#This Row],[kCode]])</f>
        <v>D06-S03-P06-K02</v>
      </c>
      <c r="G1077" s="1" t="str">
        <f>Distrik!F$10</f>
        <v>D06</v>
      </c>
      <c r="H1077" s="1" t="str">
        <f>VLOOKUP(tblCong[[#This Row],[distCode]],tblDistrict[#All],2)</f>
        <v>Ukata</v>
      </c>
      <c r="I1077" s="1" t="str">
        <f>Seket!I$45</f>
        <v>S03</v>
      </c>
      <c r="J1077" s="1" t="str">
        <f>CONCATENATE(tblCong[[#This Row],[distCode]],"-",tblCong[[#This Row],[sCode]])</f>
        <v>D06-S03</v>
      </c>
      <c r="K1077" s="1" t="str">
        <f>VLOOKUP(tblCong[[#This Row],[seketCode]],tblSeket[#All],5,FALSE)</f>
        <v>Timbe</v>
      </c>
      <c r="L1077" s="1" t="str">
        <f>Paris!L$279</f>
        <v>P06</v>
      </c>
      <c r="M1077" s="1" t="str">
        <f>CONCATENATE(tblCong[[#This Row],[seketCode]],"-",tblCong[[#This Row],[pCode]])</f>
        <v>D06-S03-P06</v>
      </c>
      <c r="N1077" s="1" t="str">
        <f>Paris!M$279</f>
        <v>Hengune</v>
      </c>
      <c r="O1077" s="1" t="s">
        <v>569</v>
      </c>
      <c r="P1077" s="1" t="s">
        <v>1588</v>
      </c>
    </row>
    <row r="1078" spans="6:16" x14ac:dyDescent="0.35">
      <c r="F1078" s="1" t="str">
        <f>CONCATENATE(tblCong[[#This Row],[parishCode]],"-",tblCong[[#This Row],[kCode]])</f>
        <v>D06-S03-P07-K01</v>
      </c>
      <c r="G1078" s="1" t="str">
        <f>Distrik!F$10</f>
        <v>D06</v>
      </c>
      <c r="H1078" s="1" t="str">
        <f>VLOOKUP(tblCong[[#This Row],[distCode]],tblDistrict[#All],2)</f>
        <v>Ukata</v>
      </c>
      <c r="I1078" s="1" t="str">
        <f>Seket!I$45</f>
        <v>S03</v>
      </c>
      <c r="J1078" s="1" t="str">
        <f>CONCATENATE(tblCong[[#This Row],[distCode]],"-",tblCong[[#This Row],[sCode]])</f>
        <v>D06-S03</v>
      </c>
      <c r="K1078" s="1" t="str">
        <f>VLOOKUP(tblCong[[#This Row],[seketCode]],tblSeket[#All],5,FALSE)</f>
        <v>Timbe</v>
      </c>
      <c r="L1078" s="1" t="str">
        <f>Paris!L$280</f>
        <v>P07</v>
      </c>
      <c r="M1078" s="1" t="str">
        <f>CONCATENATE(tblCong[[#This Row],[seketCode]],"-",tblCong[[#This Row],[pCode]])</f>
        <v>D06-S03-P07</v>
      </c>
      <c r="N1078" s="1" t="str">
        <f>Paris!M$280</f>
        <v>Yandu</v>
      </c>
      <c r="O1078" s="1" t="s">
        <v>567</v>
      </c>
      <c r="P1078" s="1" t="s">
        <v>1589</v>
      </c>
    </row>
    <row r="1079" spans="6:16" x14ac:dyDescent="0.35">
      <c r="F1079" s="1" t="str">
        <f>CONCATENATE(tblCong[[#This Row],[parishCode]],"-",tblCong[[#This Row],[kCode]])</f>
        <v>D06-S03-P07-K02</v>
      </c>
      <c r="G1079" s="1" t="str">
        <f>Distrik!F$10</f>
        <v>D06</v>
      </c>
      <c r="H1079" s="1" t="str">
        <f>VLOOKUP(tblCong[[#This Row],[distCode]],tblDistrict[#All],2)</f>
        <v>Ukata</v>
      </c>
      <c r="I1079" s="1" t="str">
        <f>Seket!I$45</f>
        <v>S03</v>
      </c>
      <c r="J1079" s="1" t="str">
        <f>CONCATENATE(tblCong[[#This Row],[distCode]],"-",tblCong[[#This Row],[sCode]])</f>
        <v>D06-S03</v>
      </c>
      <c r="K1079" s="1" t="str">
        <f>VLOOKUP(tblCong[[#This Row],[seketCode]],tblSeket[#All],5,FALSE)</f>
        <v>Timbe</v>
      </c>
      <c r="L1079" s="1" t="str">
        <f>Paris!L$280</f>
        <v>P07</v>
      </c>
      <c r="M1079" s="1" t="str">
        <f>CONCATENATE(tblCong[[#This Row],[seketCode]],"-",tblCong[[#This Row],[pCode]])</f>
        <v>D06-S03-P07</v>
      </c>
      <c r="N1079" s="1" t="str">
        <f>Paris!M$280</f>
        <v>Yandu</v>
      </c>
      <c r="O1079" s="1" t="s">
        <v>569</v>
      </c>
      <c r="P1079" s="1" t="s">
        <v>1590</v>
      </c>
    </row>
    <row r="1080" spans="6:16" x14ac:dyDescent="0.35">
      <c r="F1080" s="1" t="str">
        <f>CONCATENATE(tblCong[[#This Row],[parishCode]],"-",tblCong[[#This Row],[kCode]])</f>
        <v>D06-S03-P07-K03</v>
      </c>
      <c r="G1080" s="1" t="str">
        <f>Distrik!F$10</f>
        <v>D06</v>
      </c>
      <c r="H1080" s="1" t="str">
        <f>VLOOKUP(tblCong[[#This Row],[distCode]],tblDistrict[#All],2)</f>
        <v>Ukata</v>
      </c>
      <c r="I1080" s="1" t="str">
        <f>Seket!I$45</f>
        <v>S03</v>
      </c>
      <c r="J1080" s="1" t="str">
        <f>CONCATENATE(tblCong[[#This Row],[distCode]],"-",tblCong[[#This Row],[sCode]])</f>
        <v>D06-S03</v>
      </c>
      <c r="K1080" s="1" t="str">
        <f>VLOOKUP(tblCong[[#This Row],[seketCode]],tblSeket[#All],5,FALSE)</f>
        <v>Timbe</v>
      </c>
      <c r="L1080" s="1" t="str">
        <f>Paris!L$280</f>
        <v>P07</v>
      </c>
      <c r="M1080" s="1" t="str">
        <f>CONCATENATE(tblCong[[#This Row],[seketCode]],"-",tblCong[[#This Row],[pCode]])</f>
        <v>D06-S03-P07</v>
      </c>
      <c r="N1080" s="1" t="str">
        <f>Paris!M$280</f>
        <v>Yandu</v>
      </c>
      <c r="O1080" s="1" t="s">
        <v>571</v>
      </c>
      <c r="P1080" s="1" t="s">
        <v>1591</v>
      </c>
    </row>
    <row r="1081" spans="6:16" x14ac:dyDescent="0.35">
      <c r="F1081" s="1" t="str">
        <f>CONCATENATE(tblCong[[#This Row],[parishCode]],"-",tblCong[[#This Row],[kCode]])</f>
        <v>D06-S03-P07-K04</v>
      </c>
      <c r="G1081" s="1" t="str">
        <f>Distrik!F$10</f>
        <v>D06</v>
      </c>
      <c r="H1081" s="1" t="str">
        <f>VLOOKUP(tblCong[[#This Row],[distCode]],tblDistrict[#All],2)</f>
        <v>Ukata</v>
      </c>
      <c r="I1081" s="1" t="str">
        <f>Seket!I$45</f>
        <v>S03</v>
      </c>
      <c r="J1081" s="1" t="str">
        <f>CONCATENATE(tblCong[[#This Row],[distCode]],"-",tblCong[[#This Row],[sCode]])</f>
        <v>D06-S03</v>
      </c>
      <c r="K1081" s="1" t="str">
        <f>VLOOKUP(tblCong[[#This Row],[seketCode]],tblSeket[#All],5,FALSE)</f>
        <v>Timbe</v>
      </c>
      <c r="L1081" s="1" t="str">
        <f>Paris!L$280</f>
        <v>P07</v>
      </c>
      <c r="M1081" s="1" t="str">
        <f>CONCATENATE(tblCong[[#This Row],[seketCode]],"-",tblCong[[#This Row],[pCode]])</f>
        <v>D06-S03-P07</v>
      </c>
      <c r="N1081" s="1" t="str">
        <f>Paris!M$280</f>
        <v>Yandu</v>
      </c>
      <c r="O1081" s="1" t="s">
        <v>573</v>
      </c>
      <c r="P1081" s="1" t="s">
        <v>1592</v>
      </c>
    </row>
    <row r="1082" spans="6:16" x14ac:dyDescent="0.35">
      <c r="F1082" s="1" t="str">
        <f>CONCATENATE(tblCong[[#This Row],[parishCode]],"-",tblCong[[#This Row],[kCode]])</f>
        <v>D06-S03-P08-K01</v>
      </c>
      <c r="G1082" s="1" t="str">
        <f>Distrik!F$10</f>
        <v>D06</v>
      </c>
      <c r="H1082" s="1" t="str">
        <f>VLOOKUP(tblCong[[#This Row],[distCode]],tblDistrict[#All],2)</f>
        <v>Ukata</v>
      </c>
      <c r="I1082" s="1" t="str">
        <f>Seket!I$45</f>
        <v>S03</v>
      </c>
      <c r="J1082" s="1" t="str">
        <f>CONCATENATE(tblCong[[#This Row],[distCode]],"-",tblCong[[#This Row],[sCode]])</f>
        <v>D06-S03</v>
      </c>
      <c r="K1082" s="1" t="str">
        <f>VLOOKUP(tblCong[[#This Row],[seketCode]],tblSeket[#All],5,FALSE)</f>
        <v>Timbe</v>
      </c>
      <c r="L1082" s="1" t="str">
        <f>Paris!L$281</f>
        <v>P08</v>
      </c>
      <c r="M1082" s="1" t="str">
        <f>CONCATENATE(tblCong[[#This Row],[seketCode]],"-",tblCong[[#This Row],[pCode]])</f>
        <v>D06-S03-P08</v>
      </c>
      <c r="N1082" s="1" t="str">
        <f>Paris!M$281</f>
        <v>Ondakey</v>
      </c>
      <c r="O1082" s="1" t="s">
        <v>567</v>
      </c>
      <c r="P1082" s="1" t="s">
        <v>490</v>
      </c>
    </row>
    <row r="1083" spans="6:16" x14ac:dyDescent="0.35">
      <c r="F1083" s="1" t="str">
        <f>CONCATENATE(tblCong[[#This Row],[parishCode]],"-",tblCong[[#This Row],[kCode]])</f>
        <v>D06-S03-P08-K02</v>
      </c>
      <c r="G1083" s="1" t="str">
        <f>Distrik!F$10</f>
        <v>D06</v>
      </c>
      <c r="H1083" s="1" t="str">
        <f>VLOOKUP(tblCong[[#This Row],[distCode]],tblDistrict[#All],2)</f>
        <v>Ukata</v>
      </c>
      <c r="I1083" s="1" t="str">
        <f>Seket!I$45</f>
        <v>S03</v>
      </c>
      <c r="J1083" s="1" t="str">
        <f>CONCATENATE(tblCong[[#This Row],[distCode]],"-",tblCong[[#This Row],[sCode]])</f>
        <v>D06-S03</v>
      </c>
      <c r="K1083" s="1" t="str">
        <f>VLOOKUP(tblCong[[#This Row],[seketCode]],tblSeket[#All],5,FALSE)</f>
        <v>Timbe</v>
      </c>
      <c r="L1083" s="1" t="str">
        <f>Paris!L$281</f>
        <v>P08</v>
      </c>
      <c r="M1083" s="1" t="str">
        <f>CONCATENATE(tblCong[[#This Row],[seketCode]],"-",tblCong[[#This Row],[pCode]])</f>
        <v>D06-S03-P08</v>
      </c>
      <c r="N1083" s="1" t="str">
        <f>Paris!M$281</f>
        <v>Ondakey</v>
      </c>
      <c r="O1083" s="1" t="s">
        <v>569</v>
      </c>
      <c r="P1083" s="1" t="s">
        <v>1593</v>
      </c>
    </row>
    <row r="1084" spans="6:16" x14ac:dyDescent="0.35">
      <c r="F1084" s="1" t="str">
        <f>CONCATENATE(tblCong[[#This Row],[parishCode]],"-",tblCong[[#This Row],[kCode]])</f>
        <v>D06-S03-P08-K03</v>
      </c>
      <c r="G1084" s="1" t="str">
        <f>Distrik!F$10</f>
        <v>D06</v>
      </c>
      <c r="H1084" s="1" t="str">
        <f>VLOOKUP(tblCong[[#This Row],[distCode]],tblDistrict[#All],2)</f>
        <v>Ukata</v>
      </c>
      <c r="I1084" s="1" t="str">
        <f>Seket!I$45</f>
        <v>S03</v>
      </c>
      <c r="J1084" s="1" t="str">
        <f>CONCATENATE(tblCong[[#This Row],[distCode]],"-",tblCong[[#This Row],[sCode]])</f>
        <v>D06-S03</v>
      </c>
      <c r="K1084" s="1" t="str">
        <f>VLOOKUP(tblCong[[#This Row],[seketCode]],tblSeket[#All],5,FALSE)</f>
        <v>Timbe</v>
      </c>
      <c r="L1084" s="1" t="str">
        <f>Paris!L$281</f>
        <v>P08</v>
      </c>
      <c r="M1084" s="1" t="str">
        <f>CONCATENATE(tblCong[[#This Row],[seketCode]],"-",tblCong[[#This Row],[pCode]])</f>
        <v>D06-S03-P08</v>
      </c>
      <c r="N1084" s="1" t="str">
        <f>Paris!M$281</f>
        <v>Ondakey</v>
      </c>
      <c r="O1084" s="1" t="s">
        <v>571</v>
      </c>
      <c r="P1084" s="1" t="s">
        <v>1594</v>
      </c>
    </row>
    <row r="1085" spans="6:16" x14ac:dyDescent="0.35">
      <c r="F1085" s="1" t="str">
        <f>CONCATENATE(tblCong[[#This Row],[parishCode]],"-",tblCong[[#This Row],[kCode]])</f>
        <v>D06-S03-P08-K04</v>
      </c>
      <c r="G1085" s="1" t="str">
        <f>Distrik!F$10</f>
        <v>D06</v>
      </c>
      <c r="H1085" s="1" t="str">
        <f>VLOOKUP(tblCong[[#This Row],[distCode]],tblDistrict[#All],2)</f>
        <v>Ukata</v>
      </c>
      <c r="I1085" s="1" t="str">
        <f>Seket!I$45</f>
        <v>S03</v>
      </c>
      <c r="J1085" s="1" t="str">
        <f>CONCATENATE(tblCong[[#This Row],[distCode]],"-",tblCong[[#This Row],[sCode]])</f>
        <v>D06-S03</v>
      </c>
      <c r="K1085" s="1" t="str">
        <f>VLOOKUP(tblCong[[#This Row],[seketCode]],tblSeket[#All],5,FALSE)</f>
        <v>Timbe</v>
      </c>
      <c r="L1085" s="1" t="str">
        <f>Paris!L$281</f>
        <v>P08</v>
      </c>
      <c r="M1085" s="1" t="str">
        <f>CONCATENATE(tblCong[[#This Row],[seketCode]],"-",tblCong[[#This Row],[pCode]])</f>
        <v>D06-S03-P08</v>
      </c>
      <c r="N1085" s="1" t="str">
        <f>Paris!M$281</f>
        <v>Ondakey</v>
      </c>
      <c r="O1085" s="1" t="s">
        <v>573</v>
      </c>
      <c r="P1085" s="1" t="s">
        <v>1595</v>
      </c>
    </row>
    <row r="1086" spans="6:16" x14ac:dyDescent="0.35">
      <c r="F1086" s="1" t="str">
        <f>CONCATENATE(tblCong[[#This Row],[parishCode]],"-",tblCong[[#This Row],[kCode]])</f>
        <v>D06-S08-P01-K01</v>
      </c>
      <c r="G1086" s="1" t="str">
        <f>Distrik!F$10</f>
        <v>D06</v>
      </c>
      <c r="H1086" s="1" t="str">
        <f>VLOOKUP(tblCong[[#This Row],[distCode]],tblDistrict[#All],2)</f>
        <v>Ukata</v>
      </c>
      <c r="I1086" s="1" t="str">
        <f>Seket!I$50</f>
        <v>S08</v>
      </c>
      <c r="J1086" s="1" t="str">
        <f>CONCATENATE(tblCong[[#This Row],[distCode]],"-",tblCong[[#This Row],[sCode]])</f>
        <v>D06-S08</v>
      </c>
      <c r="K1086" s="1" t="str">
        <f>VLOOKUP(tblCong[[#This Row],[seketCode]],tblSeket[#All],5,FALSE)</f>
        <v>Tapen</v>
      </c>
      <c r="L1086" s="1" t="str">
        <f>Paris!L$282</f>
        <v>P01</v>
      </c>
      <c r="M1086" s="1" t="str">
        <f>CONCATENATE(tblCong[[#This Row],[seketCode]],"-",tblCong[[#This Row],[pCode]])</f>
        <v>D06-S08-P01</v>
      </c>
      <c r="N1086" s="1" t="str">
        <f>Paris!M$282</f>
        <v>Munser</v>
      </c>
      <c r="O1086" s="1" t="s">
        <v>567</v>
      </c>
      <c r="P1086" s="1" t="s">
        <v>1596</v>
      </c>
    </row>
    <row r="1087" spans="6:16" x14ac:dyDescent="0.35">
      <c r="F1087" s="1" t="str">
        <f>CONCATENATE(tblCong[[#This Row],[parishCode]],"-",tblCong[[#This Row],[kCode]])</f>
        <v>D06-S08-P01-K02</v>
      </c>
      <c r="G1087" s="1" t="str">
        <f>Distrik!F$10</f>
        <v>D06</v>
      </c>
      <c r="H1087" s="1" t="str">
        <f>VLOOKUP(tblCong[[#This Row],[distCode]],tblDistrict[#All],2)</f>
        <v>Ukata</v>
      </c>
      <c r="I1087" s="1" t="str">
        <f>Seket!I$50</f>
        <v>S08</v>
      </c>
      <c r="J1087" s="1" t="str">
        <f>CONCATENATE(tblCong[[#This Row],[distCode]],"-",tblCong[[#This Row],[sCode]])</f>
        <v>D06-S08</v>
      </c>
      <c r="K1087" s="1" t="str">
        <f>VLOOKUP(tblCong[[#This Row],[seketCode]],tblSeket[#All],5,FALSE)</f>
        <v>Tapen</v>
      </c>
      <c r="L1087" s="1" t="str">
        <f>Paris!L$282</f>
        <v>P01</v>
      </c>
      <c r="M1087" s="1" t="str">
        <f>CONCATENATE(tblCong[[#This Row],[seketCode]],"-",tblCong[[#This Row],[pCode]])</f>
        <v>D06-S08-P01</v>
      </c>
      <c r="N1087" s="1" t="str">
        <f>Paris!M$282</f>
        <v>Munser</v>
      </c>
      <c r="O1087" s="1" t="s">
        <v>569</v>
      </c>
      <c r="P1087" s="1" t="s">
        <v>1597</v>
      </c>
    </row>
    <row r="1088" spans="6:16" x14ac:dyDescent="0.35">
      <c r="F1088" s="1" t="str">
        <f>CONCATENATE(tblCong[[#This Row],[parishCode]],"-",tblCong[[#This Row],[kCode]])</f>
        <v>D06-S08-P01-K03</v>
      </c>
      <c r="G1088" s="1" t="str">
        <f>Distrik!F$10</f>
        <v>D06</v>
      </c>
      <c r="H1088" s="1" t="str">
        <f>VLOOKUP(tblCong[[#This Row],[distCode]],tblDistrict[#All],2)</f>
        <v>Ukata</v>
      </c>
      <c r="I1088" s="1" t="str">
        <f>Seket!I$50</f>
        <v>S08</v>
      </c>
      <c r="J1088" s="1" t="str">
        <f>CONCATENATE(tblCong[[#This Row],[distCode]],"-",tblCong[[#This Row],[sCode]])</f>
        <v>D06-S08</v>
      </c>
      <c r="K1088" s="1" t="str">
        <f>VLOOKUP(tblCong[[#This Row],[seketCode]],tblSeket[#All],5,FALSE)</f>
        <v>Tapen</v>
      </c>
      <c r="L1088" s="1" t="str">
        <f>Paris!L$282</f>
        <v>P01</v>
      </c>
      <c r="M1088" s="1" t="str">
        <f>CONCATENATE(tblCong[[#This Row],[seketCode]],"-",tblCong[[#This Row],[pCode]])</f>
        <v>D06-S08-P01</v>
      </c>
      <c r="N1088" s="1" t="str">
        <f>Paris!M$282</f>
        <v>Munser</v>
      </c>
      <c r="O1088" s="1" t="s">
        <v>571</v>
      </c>
      <c r="P1088" s="1" t="s">
        <v>1598</v>
      </c>
    </row>
    <row r="1089" spans="6:16" x14ac:dyDescent="0.35">
      <c r="F1089" s="1" t="str">
        <f>CONCATENATE(tblCong[[#This Row],[parishCode]],"-",tblCong[[#This Row],[kCode]])</f>
        <v>D06-S08-P01-K04</v>
      </c>
      <c r="G1089" s="1" t="str">
        <f>Distrik!F$10</f>
        <v>D06</v>
      </c>
      <c r="H1089" s="1" t="str">
        <f>VLOOKUP(tblCong[[#This Row],[distCode]],tblDistrict[#All],2)</f>
        <v>Ukata</v>
      </c>
      <c r="I1089" s="1" t="str">
        <f>Seket!I$50</f>
        <v>S08</v>
      </c>
      <c r="J1089" s="1" t="str">
        <f>CONCATENATE(tblCong[[#This Row],[distCode]],"-",tblCong[[#This Row],[sCode]])</f>
        <v>D06-S08</v>
      </c>
      <c r="K1089" s="1" t="str">
        <f>VLOOKUP(tblCong[[#This Row],[seketCode]],tblSeket[#All],5,FALSE)</f>
        <v>Tapen</v>
      </c>
      <c r="L1089" s="1" t="str">
        <f>Paris!L$282</f>
        <v>P01</v>
      </c>
      <c r="M1089" s="1" t="str">
        <f>CONCATENATE(tblCong[[#This Row],[seketCode]],"-",tblCong[[#This Row],[pCode]])</f>
        <v>D06-S08-P01</v>
      </c>
      <c r="N1089" s="1" t="str">
        <f>Paris!M$282</f>
        <v>Munser</v>
      </c>
      <c r="O1089" s="1" t="s">
        <v>573</v>
      </c>
      <c r="P1089" s="1" t="s">
        <v>1599</v>
      </c>
    </row>
    <row r="1090" spans="6:16" x14ac:dyDescent="0.35">
      <c r="F1090" s="1" t="str">
        <f>CONCATENATE(tblCong[[#This Row],[parishCode]],"-",tblCong[[#This Row],[kCode]])</f>
        <v>D06-S08-P01-K05</v>
      </c>
      <c r="G1090" s="1" t="str">
        <f>Distrik!F$10</f>
        <v>D06</v>
      </c>
      <c r="H1090" s="1" t="str">
        <f>VLOOKUP(tblCong[[#This Row],[distCode]],tblDistrict[#All],2)</f>
        <v>Ukata</v>
      </c>
      <c r="I1090" s="1" t="str">
        <f>Seket!I$50</f>
        <v>S08</v>
      </c>
      <c r="J1090" s="1" t="str">
        <f>CONCATENATE(tblCong[[#This Row],[distCode]],"-",tblCong[[#This Row],[sCode]])</f>
        <v>D06-S08</v>
      </c>
      <c r="K1090" s="1" t="str">
        <f>VLOOKUP(tblCong[[#This Row],[seketCode]],tblSeket[#All],5,FALSE)</f>
        <v>Tapen</v>
      </c>
      <c r="L1090" s="1" t="str">
        <f>Paris!L$282</f>
        <v>P01</v>
      </c>
      <c r="M1090" s="1" t="str">
        <f>CONCATENATE(tblCong[[#This Row],[seketCode]],"-",tblCong[[#This Row],[pCode]])</f>
        <v>D06-S08-P01</v>
      </c>
      <c r="N1090" s="1" t="str">
        <f>Paris!M$282</f>
        <v>Munser</v>
      </c>
      <c r="O1090" s="1" t="s">
        <v>575</v>
      </c>
      <c r="P1090" s="1" t="s">
        <v>1600</v>
      </c>
    </row>
    <row r="1091" spans="6:16" x14ac:dyDescent="0.35">
      <c r="F1091" s="1" t="str">
        <f>CONCATENATE(tblCong[[#This Row],[parishCode]],"-",tblCong[[#This Row],[kCode]])</f>
        <v>D06-S08-P01-K06</v>
      </c>
      <c r="G1091" s="1" t="str">
        <f>Distrik!F$10</f>
        <v>D06</v>
      </c>
      <c r="H1091" s="1" t="str">
        <f>VLOOKUP(tblCong[[#This Row],[distCode]],tblDistrict[#All],2)</f>
        <v>Ukata</v>
      </c>
      <c r="I1091" s="1" t="str">
        <f>Seket!I$50</f>
        <v>S08</v>
      </c>
      <c r="J1091" s="1" t="str">
        <f>CONCATENATE(tblCong[[#This Row],[distCode]],"-",tblCong[[#This Row],[sCode]])</f>
        <v>D06-S08</v>
      </c>
      <c r="K1091" s="1" t="str">
        <f>VLOOKUP(tblCong[[#This Row],[seketCode]],tblSeket[#All],5,FALSE)</f>
        <v>Tapen</v>
      </c>
      <c r="L1091" s="1" t="str">
        <f>Paris!L$282</f>
        <v>P01</v>
      </c>
      <c r="M1091" s="1" t="str">
        <f>CONCATENATE(tblCong[[#This Row],[seketCode]],"-",tblCong[[#This Row],[pCode]])</f>
        <v>D06-S08-P01</v>
      </c>
      <c r="N1091" s="1" t="str">
        <f>Paris!M$282</f>
        <v>Munser</v>
      </c>
      <c r="O1091" s="1" t="s">
        <v>576</v>
      </c>
      <c r="P1091" s="1" t="s">
        <v>1601</v>
      </c>
    </row>
    <row r="1092" spans="6:16" x14ac:dyDescent="0.35">
      <c r="F1092" s="1" t="str">
        <f>CONCATENATE(tblCong[[#This Row],[parishCode]],"-",tblCong[[#This Row],[kCode]])</f>
        <v>D06-S08-P01-K07</v>
      </c>
      <c r="G1092" s="1" t="str">
        <f>Distrik!F$10</f>
        <v>D06</v>
      </c>
      <c r="H1092" s="1" t="str">
        <f>VLOOKUP(tblCong[[#This Row],[distCode]],tblDistrict[#All],2)</f>
        <v>Ukata</v>
      </c>
      <c r="I1092" s="1" t="str">
        <f>Seket!I$50</f>
        <v>S08</v>
      </c>
      <c r="J1092" s="1" t="str">
        <f>CONCATENATE(tblCong[[#This Row],[distCode]],"-",tblCong[[#This Row],[sCode]])</f>
        <v>D06-S08</v>
      </c>
      <c r="K1092" s="1" t="str">
        <f>VLOOKUP(tblCong[[#This Row],[seketCode]],tblSeket[#All],5,FALSE)</f>
        <v>Tapen</v>
      </c>
      <c r="L1092" s="1" t="str">
        <f>Paris!L$282</f>
        <v>P01</v>
      </c>
      <c r="M1092" s="1" t="str">
        <f>CONCATENATE(tblCong[[#This Row],[seketCode]],"-",tblCong[[#This Row],[pCode]])</f>
        <v>D06-S08-P01</v>
      </c>
      <c r="N1092" s="1" t="str">
        <f>Paris!M$282</f>
        <v>Munser</v>
      </c>
      <c r="O1092" s="1" t="s">
        <v>578</v>
      </c>
      <c r="P1092" s="1" t="s">
        <v>1602</v>
      </c>
    </row>
    <row r="1093" spans="6:16" x14ac:dyDescent="0.35">
      <c r="F1093" s="1" t="str">
        <f>CONCATENATE(tblCong[[#This Row],[parishCode]],"-",tblCong[[#This Row],[kCode]])</f>
        <v>D06-S08-P01-K08</v>
      </c>
      <c r="G1093" s="1" t="str">
        <f>Distrik!F$10</f>
        <v>D06</v>
      </c>
      <c r="H1093" s="1" t="str">
        <f>VLOOKUP(tblCong[[#This Row],[distCode]],tblDistrict[#All],2)</f>
        <v>Ukata</v>
      </c>
      <c r="I1093" s="1" t="str">
        <f>Seket!I$50</f>
        <v>S08</v>
      </c>
      <c r="J1093" s="1" t="str">
        <f>CONCATENATE(tblCong[[#This Row],[distCode]],"-",tblCong[[#This Row],[sCode]])</f>
        <v>D06-S08</v>
      </c>
      <c r="K1093" s="1" t="str">
        <f>VLOOKUP(tblCong[[#This Row],[seketCode]],tblSeket[#All],5,FALSE)</f>
        <v>Tapen</v>
      </c>
      <c r="L1093" s="1" t="str">
        <f>Paris!L$282</f>
        <v>P01</v>
      </c>
      <c r="M1093" s="1" t="str">
        <f>CONCATENATE(tblCong[[#This Row],[seketCode]],"-",tblCong[[#This Row],[pCode]])</f>
        <v>D06-S08-P01</v>
      </c>
      <c r="N1093" s="1" t="str">
        <f>Paris!M$282</f>
        <v>Munser</v>
      </c>
      <c r="O1093" s="1" t="s">
        <v>651</v>
      </c>
      <c r="P1093" s="1" t="s">
        <v>1603</v>
      </c>
    </row>
    <row r="1094" spans="6:16" x14ac:dyDescent="0.35">
      <c r="F1094" s="1" t="str">
        <f>CONCATENATE(tblCong[[#This Row],[parishCode]],"-",tblCong[[#This Row],[kCode]])</f>
        <v>D06-S08-P02-K01</v>
      </c>
      <c r="G1094" s="1" t="str">
        <f>Distrik!F$10</f>
        <v>D06</v>
      </c>
      <c r="H1094" s="1" t="str">
        <f>VLOOKUP(tblCong[[#This Row],[distCode]],tblDistrict[#All],2)</f>
        <v>Ukata</v>
      </c>
      <c r="I1094" s="1" t="str">
        <f>Seket!I$50</f>
        <v>S08</v>
      </c>
      <c r="J1094" s="1" t="str">
        <f>CONCATENATE(tblCong[[#This Row],[distCode]],"-",tblCong[[#This Row],[sCode]])</f>
        <v>D06-S08</v>
      </c>
      <c r="K1094" s="1" t="str">
        <f>VLOOKUP(tblCong[[#This Row],[seketCode]],tblSeket[#All],5,FALSE)</f>
        <v>Tapen</v>
      </c>
      <c r="L1094" s="1" t="str">
        <f>Paris!L$283</f>
        <v>P02</v>
      </c>
      <c r="M1094" s="1" t="str">
        <f>CONCATENATE(tblCong[[#This Row],[seketCode]],"-",tblCong[[#This Row],[pCode]])</f>
        <v>D06-S08-P02</v>
      </c>
      <c r="N1094" s="1" t="str">
        <f>Paris!M$283</f>
        <v>Gaptamon</v>
      </c>
      <c r="O1094" s="1" t="s">
        <v>567</v>
      </c>
      <c r="P1094" s="1" t="s">
        <v>1604</v>
      </c>
    </row>
    <row r="1095" spans="6:16" x14ac:dyDescent="0.35">
      <c r="F1095" s="1" t="str">
        <f>CONCATENATE(tblCong[[#This Row],[parishCode]],"-",tblCong[[#This Row],[kCode]])</f>
        <v>D06-S08-P02-K02</v>
      </c>
      <c r="G1095" s="1" t="str">
        <f>Distrik!F$10</f>
        <v>D06</v>
      </c>
      <c r="H1095" s="1" t="str">
        <f>VLOOKUP(tblCong[[#This Row],[distCode]],tblDistrict[#All],2)</f>
        <v>Ukata</v>
      </c>
      <c r="I1095" s="1" t="str">
        <f>Seket!I$50</f>
        <v>S08</v>
      </c>
      <c r="J1095" s="1" t="str">
        <f>CONCATENATE(tblCong[[#This Row],[distCode]],"-",tblCong[[#This Row],[sCode]])</f>
        <v>D06-S08</v>
      </c>
      <c r="K1095" s="1" t="str">
        <f>VLOOKUP(tblCong[[#This Row],[seketCode]],tblSeket[#All],5,FALSE)</f>
        <v>Tapen</v>
      </c>
      <c r="L1095" s="1" t="str">
        <f>Paris!L$283</f>
        <v>P02</v>
      </c>
      <c r="M1095" s="1" t="str">
        <f>CONCATENATE(tblCong[[#This Row],[seketCode]],"-",tblCong[[#This Row],[pCode]])</f>
        <v>D06-S08-P02</v>
      </c>
      <c r="N1095" s="1" t="str">
        <f>Paris!M$283</f>
        <v>Gaptamon</v>
      </c>
      <c r="O1095" s="1" t="s">
        <v>569</v>
      </c>
      <c r="P1095" s="1" t="s">
        <v>492</v>
      </c>
    </row>
    <row r="1096" spans="6:16" x14ac:dyDescent="0.35">
      <c r="F1096" s="1" t="str">
        <f>CONCATENATE(tblCong[[#This Row],[parishCode]],"-",tblCong[[#This Row],[kCode]])</f>
        <v>D06-S08-P02-K03</v>
      </c>
      <c r="G1096" s="1" t="str">
        <f>Distrik!F$10</f>
        <v>D06</v>
      </c>
      <c r="H1096" s="1" t="str">
        <f>VLOOKUP(tblCong[[#This Row],[distCode]],tblDistrict[#All],2)</f>
        <v>Ukata</v>
      </c>
      <c r="I1096" s="1" t="str">
        <f>Seket!I$50</f>
        <v>S08</v>
      </c>
      <c r="J1096" s="1" t="str">
        <f>CONCATENATE(tblCong[[#This Row],[distCode]],"-",tblCong[[#This Row],[sCode]])</f>
        <v>D06-S08</v>
      </c>
      <c r="K1096" s="1" t="str">
        <f>VLOOKUP(tblCong[[#This Row],[seketCode]],tblSeket[#All],5,FALSE)</f>
        <v>Tapen</v>
      </c>
      <c r="L1096" s="1" t="str">
        <f>Paris!L$283</f>
        <v>P02</v>
      </c>
      <c r="M1096" s="1" t="str">
        <f>CONCATENATE(tblCong[[#This Row],[seketCode]],"-",tblCong[[#This Row],[pCode]])</f>
        <v>D06-S08-P02</v>
      </c>
      <c r="N1096" s="1" t="str">
        <f>Paris!M$283</f>
        <v>Gaptamon</v>
      </c>
      <c r="O1096" s="1" t="s">
        <v>571</v>
      </c>
      <c r="P1096" s="1" t="s">
        <v>1605</v>
      </c>
    </row>
    <row r="1097" spans="6:16" x14ac:dyDescent="0.35">
      <c r="F1097" s="1" t="str">
        <f>CONCATENATE(tblCong[[#This Row],[parishCode]],"-",tblCong[[#This Row],[kCode]])</f>
        <v>D06-S08-P02-K04</v>
      </c>
      <c r="G1097" s="1" t="str">
        <f>Distrik!F$10</f>
        <v>D06</v>
      </c>
      <c r="H1097" s="1" t="str">
        <f>VLOOKUP(tblCong[[#This Row],[distCode]],tblDistrict[#All],2)</f>
        <v>Ukata</v>
      </c>
      <c r="I1097" s="1" t="str">
        <f>Seket!I$50</f>
        <v>S08</v>
      </c>
      <c r="J1097" s="1" t="str">
        <f>CONCATENATE(tblCong[[#This Row],[distCode]],"-",tblCong[[#This Row],[sCode]])</f>
        <v>D06-S08</v>
      </c>
      <c r="K1097" s="1" t="str">
        <f>VLOOKUP(tblCong[[#This Row],[seketCode]],tblSeket[#All],5,FALSE)</f>
        <v>Tapen</v>
      </c>
      <c r="L1097" s="1" t="str">
        <f>Paris!L$283</f>
        <v>P02</v>
      </c>
      <c r="M1097" s="1" t="str">
        <f>CONCATENATE(tblCong[[#This Row],[seketCode]],"-",tblCong[[#This Row],[pCode]])</f>
        <v>D06-S08-P02</v>
      </c>
      <c r="N1097" s="1" t="str">
        <f>Paris!M$283</f>
        <v>Gaptamon</v>
      </c>
      <c r="O1097" s="1" t="s">
        <v>573</v>
      </c>
      <c r="P1097" s="1" t="s">
        <v>1606</v>
      </c>
    </row>
    <row r="1098" spans="6:16" x14ac:dyDescent="0.35">
      <c r="F1098" s="1" t="str">
        <f>CONCATENATE(tblCong[[#This Row],[parishCode]],"-",tblCong[[#This Row],[kCode]])</f>
        <v>D06-S08-P02-K05</v>
      </c>
      <c r="G1098" s="1" t="str">
        <f>Distrik!F$10</f>
        <v>D06</v>
      </c>
      <c r="H1098" s="1" t="str">
        <f>VLOOKUP(tblCong[[#This Row],[distCode]],tblDistrict[#All],2)</f>
        <v>Ukata</v>
      </c>
      <c r="I1098" s="1" t="str">
        <f>Seket!I$50</f>
        <v>S08</v>
      </c>
      <c r="J1098" s="1" t="str">
        <f>CONCATENATE(tblCong[[#This Row],[distCode]],"-",tblCong[[#This Row],[sCode]])</f>
        <v>D06-S08</v>
      </c>
      <c r="K1098" s="1" t="str">
        <f>VLOOKUP(tblCong[[#This Row],[seketCode]],tblSeket[#All],5,FALSE)</f>
        <v>Tapen</v>
      </c>
      <c r="L1098" s="1" t="str">
        <f>Paris!L$283</f>
        <v>P02</v>
      </c>
      <c r="M1098" s="1" t="str">
        <f>CONCATENATE(tblCong[[#This Row],[seketCode]],"-",tblCong[[#This Row],[pCode]])</f>
        <v>D06-S08-P02</v>
      </c>
      <c r="N1098" s="1" t="str">
        <f>Paris!M$283</f>
        <v>Gaptamon</v>
      </c>
      <c r="O1098" s="1" t="s">
        <v>575</v>
      </c>
      <c r="P1098" s="1" t="s">
        <v>1607</v>
      </c>
    </row>
    <row r="1099" spans="6:16" x14ac:dyDescent="0.35">
      <c r="F1099" s="1" t="str">
        <f>CONCATENATE(tblCong[[#This Row],[parishCode]],"-",tblCong[[#This Row],[kCode]])</f>
        <v>D06-S08-P03-K01</v>
      </c>
      <c r="G1099" s="1" t="str">
        <f>Distrik!F$10</f>
        <v>D06</v>
      </c>
      <c r="H1099" s="1" t="str">
        <f>VLOOKUP(tblCong[[#This Row],[distCode]],tblDistrict[#All],2)</f>
        <v>Ukata</v>
      </c>
      <c r="I1099" s="1" t="str">
        <f>Seket!I$50</f>
        <v>S08</v>
      </c>
      <c r="J1099" s="1" t="str">
        <f>CONCATENATE(tblCong[[#This Row],[distCode]],"-",tblCong[[#This Row],[sCode]])</f>
        <v>D06-S08</v>
      </c>
      <c r="K1099" s="1" t="str">
        <f>VLOOKUP(tblCong[[#This Row],[seketCode]],tblSeket[#All],5,FALSE)</f>
        <v>Tapen</v>
      </c>
      <c r="L1099" s="1" t="str">
        <f>Paris!L$284</f>
        <v>P03</v>
      </c>
      <c r="M1099" s="1" t="str">
        <f>CONCATENATE(tblCong[[#This Row],[seketCode]],"-",tblCong[[#This Row],[pCode]])</f>
        <v>D06-S08-P03</v>
      </c>
      <c r="N1099" s="1" t="str">
        <f>Paris!M$284</f>
        <v>Mabogaro</v>
      </c>
      <c r="O1099" s="1" t="s">
        <v>567</v>
      </c>
      <c r="P1099" s="1" t="s">
        <v>1608</v>
      </c>
    </row>
    <row r="1100" spans="6:16" x14ac:dyDescent="0.35">
      <c r="F1100" s="1" t="str">
        <f>CONCATENATE(tblCong[[#This Row],[parishCode]],"-",tblCong[[#This Row],[kCode]])</f>
        <v>D06-S08-P03-K02</v>
      </c>
      <c r="G1100" s="1" t="str">
        <f>Distrik!F$10</f>
        <v>D06</v>
      </c>
      <c r="H1100" s="1" t="str">
        <f>VLOOKUP(tblCong[[#This Row],[distCode]],tblDistrict[#All],2)</f>
        <v>Ukata</v>
      </c>
      <c r="I1100" s="1" t="str">
        <f>Seket!I$50</f>
        <v>S08</v>
      </c>
      <c r="J1100" s="1" t="str">
        <f>CONCATENATE(tblCong[[#This Row],[distCode]],"-",tblCong[[#This Row],[sCode]])</f>
        <v>D06-S08</v>
      </c>
      <c r="K1100" s="1" t="str">
        <f>VLOOKUP(tblCong[[#This Row],[seketCode]],tblSeket[#All],5,FALSE)</f>
        <v>Tapen</v>
      </c>
      <c r="L1100" s="1" t="str">
        <f>Paris!L$284</f>
        <v>P03</v>
      </c>
      <c r="M1100" s="1" t="str">
        <f>CONCATENATE(tblCong[[#This Row],[seketCode]],"-",tblCong[[#This Row],[pCode]])</f>
        <v>D06-S08-P03</v>
      </c>
      <c r="N1100" s="1" t="str">
        <f>Paris!M$284</f>
        <v>Mabogaro</v>
      </c>
      <c r="O1100" s="1" t="s">
        <v>569</v>
      </c>
      <c r="P1100" s="1" t="s">
        <v>664</v>
      </c>
    </row>
    <row r="1101" spans="6:16" x14ac:dyDescent="0.35">
      <c r="F1101" s="1" t="str">
        <f>CONCATENATE(tblCong[[#This Row],[parishCode]],"-",tblCong[[#This Row],[kCode]])</f>
        <v>D06-S08-P03-K03</v>
      </c>
      <c r="G1101" s="1" t="str">
        <f>Distrik!F$10</f>
        <v>D06</v>
      </c>
      <c r="H1101" s="1" t="str">
        <f>VLOOKUP(tblCong[[#This Row],[distCode]],tblDistrict[#All],2)</f>
        <v>Ukata</v>
      </c>
      <c r="I1101" s="1" t="str">
        <f>Seket!I$50</f>
        <v>S08</v>
      </c>
      <c r="J1101" s="1" t="str">
        <f>CONCATENATE(tblCong[[#This Row],[distCode]],"-",tblCong[[#This Row],[sCode]])</f>
        <v>D06-S08</v>
      </c>
      <c r="K1101" s="1" t="str">
        <f>VLOOKUP(tblCong[[#This Row],[seketCode]],tblSeket[#All],5,FALSE)</f>
        <v>Tapen</v>
      </c>
      <c r="L1101" s="1" t="str">
        <f>Paris!L$284</f>
        <v>P03</v>
      </c>
      <c r="M1101" s="1" t="str">
        <f>CONCATENATE(tblCong[[#This Row],[seketCode]],"-",tblCong[[#This Row],[pCode]])</f>
        <v>D06-S08-P03</v>
      </c>
      <c r="N1101" s="1" t="str">
        <f>Paris!M$284</f>
        <v>Mabogaro</v>
      </c>
      <c r="O1101" s="1" t="s">
        <v>571</v>
      </c>
      <c r="P1101" s="1" t="s">
        <v>1609</v>
      </c>
    </row>
    <row r="1102" spans="6:16" x14ac:dyDescent="0.35">
      <c r="F1102" s="1" t="str">
        <f>CONCATENATE(tblCong[[#This Row],[parishCode]],"-",tblCong[[#This Row],[kCode]])</f>
        <v>D06-S08-P03-K04</v>
      </c>
      <c r="G1102" s="1" t="str">
        <f>Distrik!F$10</f>
        <v>D06</v>
      </c>
      <c r="H1102" s="1" t="str">
        <f>VLOOKUP(tblCong[[#This Row],[distCode]],tblDistrict[#All],2)</f>
        <v>Ukata</v>
      </c>
      <c r="I1102" s="1" t="str">
        <f>Seket!I$50</f>
        <v>S08</v>
      </c>
      <c r="J1102" s="1" t="str">
        <f>CONCATENATE(tblCong[[#This Row],[distCode]],"-",tblCong[[#This Row],[sCode]])</f>
        <v>D06-S08</v>
      </c>
      <c r="K1102" s="1" t="str">
        <f>VLOOKUP(tblCong[[#This Row],[seketCode]],tblSeket[#All],5,FALSE)</f>
        <v>Tapen</v>
      </c>
      <c r="L1102" s="1" t="str">
        <f>Paris!L$284</f>
        <v>P03</v>
      </c>
      <c r="M1102" s="1" t="str">
        <f>CONCATENATE(tblCong[[#This Row],[seketCode]],"-",tblCong[[#This Row],[pCode]])</f>
        <v>D06-S08-P03</v>
      </c>
      <c r="N1102" s="1" t="str">
        <f>Paris!M$284</f>
        <v>Mabogaro</v>
      </c>
      <c r="O1102" s="1" t="s">
        <v>573</v>
      </c>
      <c r="P1102" s="1" t="s">
        <v>1610</v>
      </c>
    </row>
    <row r="1103" spans="6:16" x14ac:dyDescent="0.35">
      <c r="F1103" s="1" t="str">
        <f>CONCATENATE(tblCong[[#This Row],[parishCode]],"-",tblCong[[#This Row],[kCode]])</f>
        <v>D06-S08-P04-K01</v>
      </c>
      <c r="G1103" s="1" t="str">
        <f>Distrik!F$10</f>
        <v>D06</v>
      </c>
      <c r="H1103" s="1" t="str">
        <f>VLOOKUP(tblCong[[#This Row],[distCode]],tblDistrict[#All],2)</f>
        <v>Ukata</v>
      </c>
      <c r="I1103" s="1" t="str">
        <f>Seket!I$50</f>
        <v>S08</v>
      </c>
      <c r="J1103" s="1" t="str">
        <f>CONCATENATE(tblCong[[#This Row],[distCode]],"-",tblCong[[#This Row],[sCode]])</f>
        <v>D06-S08</v>
      </c>
      <c r="K1103" s="1" t="str">
        <f>VLOOKUP(tblCong[[#This Row],[seketCode]],tblSeket[#All],5,FALSE)</f>
        <v>Tapen</v>
      </c>
      <c r="L1103" s="1" t="str">
        <f>Paris!L$285</f>
        <v>P04</v>
      </c>
      <c r="M1103" s="1" t="str">
        <f>CONCATENATE(tblCong[[#This Row],[seketCode]],"-",tblCong[[#This Row],[pCode]])</f>
        <v>D06-S08-P04</v>
      </c>
      <c r="N1103" s="1" t="str">
        <f>Paris!M$285</f>
        <v>Yaseta</v>
      </c>
      <c r="O1103" s="1" t="s">
        <v>567</v>
      </c>
      <c r="P1103" s="1" t="s">
        <v>1611</v>
      </c>
    </row>
    <row r="1104" spans="6:16" x14ac:dyDescent="0.35">
      <c r="F1104" s="1" t="str">
        <f>CONCATENATE(tblCong[[#This Row],[parishCode]],"-",tblCong[[#This Row],[kCode]])</f>
        <v>D06-S08-P04-K02</v>
      </c>
      <c r="G1104" s="1" t="str">
        <f>Distrik!F$10</f>
        <v>D06</v>
      </c>
      <c r="H1104" s="1" t="str">
        <f>VLOOKUP(tblCong[[#This Row],[distCode]],tblDistrict[#All],2)</f>
        <v>Ukata</v>
      </c>
      <c r="I1104" s="1" t="str">
        <f>Seket!I$50</f>
        <v>S08</v>
      </c>
      <c r="J1104" s="1" t="str">
        <f>CONCATENATE(tblCong[[#This Row],[distCode]],"-",tblCong[[#This Row],[sCode]])</f>
        <v>D06-S08</v>
      </c>
      <c r="K1104" s="1" t="str">
        <f>VLOOKUP(tblCong[[#This Row],[seketCode]],tblSeket[#All],5,FALSE)</f>
        <v>Tapen</v>
      </c>
      <c r="L1104" s="1" t="str">
        <f>Paris!L$285</f>
        <v>P04</v>
      </c>
      <c r="M1104" s="1" t="str">
        <f>CONCATENATE(tblCong[[#This Row],[seketCode]],"-",tblCong[[#This Row],[pCode]])</f>
        <v>D06-S08-P04</v>
      </c>
      <c r="N1104" s="1" t="str">
        <f>Paris!M$285</f>
        <v>Yaseta</v>
      </c>
      <c r="O1104" s="1" t="s">
        <v>569</v>
      </c>
      <c r="P1104" s="1" t="s">
        <v>1612</v>
      </c>
    </row>
    <row r="1105" spans="6:16" x14ac:dyDescent="0.35">
      <c r="F1105" s="1" t="str">
        <f>CONCATENATE(tblCong[[#This Row],[parishCode]],"-",tblCong[[#This Row],[kCode]])</f>
        <v>D06-S08-P04-K03</v>
      </c>
      <c r="G1105" s="1" t="str">
        <f>Distrik!F$10</f>
        <v>D06</v>
      </c>
      <c r="H1105" s="1" t="str">
        <f>VLOOKUP(tblCong[[#This Row],[distCode]],tblDistrict[#All],2)</f>
        <v>Ukata</v>
      </c>
      <c r="I1105" s="1" t="str">
        <f>Seket!I$50</f>
        <v>S08</v>
      </c>
      <c r="J1105" s="1" t="str">
        <f>CONCATENATE(tblCong[[#This Row],[distCode]],"-",tblCong[[#This Row],[sCode]])</f>
        <v>D06-S08</v>
      </c>
      <c r="K1105" s="1" t="str">
        <f>VLOOKUP(tblCong[[#This Row],[seketCode]],tblSeket[#All],5,FALSE)</f>
        <v>Tapen</v>
      </c>
      <c r="L1105" s="1" t="str">
        <f>Paris!L$285</f>
        <v>P04</v>
      </c>
      <c r="M1105" s="1" t="str">
        <f>CONCATENATE(tblCong[[#This Row],[seketCode]],"-",tblCong[[#This Row],[pCode]])</f>
        <v>D06-S08-P04</v>
      </c>
      <c r="N1105" s="1" t="str">
        <f>Paris!M$285</f>
        <v>Yaseta</v>
      </c>
      <c r="O1105" s="1" t="s">
        <v>571</v>
      </c>
      <c r="P1105" s="1" t="s">
        <v>1613</v>
      </c>
    </row>
    <row r="1106" spans="6:16" x14ac:dyDescent="0.35">
      <c r="F1106" s="1" t="str">
        <f>CONCATENATE(tblCong[[#This Row],[parishCode]],"-",tblCong[[#This Row],[kCode]])</f>
        <v>D06-S08-P04-K04</v>
      </c>
      <c r="G1106" s="1" t="str">
        <f>Distrik!F$10</f>
        <v>D06</v>
      </c>
      <c r="H1106" s="1" t="str">
        <f>VLOOKUP(tblCong[[#This Row],[distCode]],tblDistrict[#All],2)</f>
        <v>Ukata</v>
      </c>
      <c r="I1106" s="1" t="str">
        <f>Seket!I$50</f>
        <v>S08</v>
      </c>
      <c r="J1106" s="1" t="str">
        <f>CONCATENATE(tblCong[[#This Row],[distCode]],"-",tblCong[[#This Row],[sCode]])</f>
        <v>D06-S08</v>
      </c>
      <c r="K1106" s="1" t="str">
        <f>VLOOKUP(tblCong[[#This Row],[seketCode]],tblSeket[#All],5,FALSE)</f>
        <v>Tapen</v>
      </c>
      <c r="L1106" s="1" t="str">
        <f>Paris!L$285</f>
        <v>P04</v>
      </c>
      <c r="M1106" s="1" t="str">
        <f>CONCATENATE(tblCong[[#This Row],[seketCode]],"-",tblCong[[#This Row],[pCode]])</f>
        <v>D06-S08-P04</v>
      </c>
      <c r="N1106" s="1" t="str">
        <f>Paris!M$285</f>
        <v>Yaseta</v>
      </c>
      <c r="O1106" s="1" t="s">
        <v>573</v>
      </c>
      <c r="P1106" s="1" t="s">
        <v>1614</v>
      </c>
    </row>
    <row r="1107" spans="6:16" x14ac:dyDescent="0.35">
      <c r="F1107" s="1" t="str">
        <f>CONCATENATE(tblCong[[#This Row],[parishCode]],"-",tblCong[[#This Row],[kCode]])</f>
        <v>D06-S09-P01-K01</v>
      </c>
      <c r="G1107" s="1" t="str">
        <f>Distrik!F$10</f>
        <v>D06</v>
      </c>
      <c r="H1107" s="1" t="str">
        <f>VLOOKUP(tblCong[[#This Row],[distCode]],tblDistrict[#All],2)</f>
        <v>Ukata</v>
      </c>
      <c r="I1107" s="1" t="str">
        <f>Seket!I$51</f>
        <v>S09</v>
      </c>
      <c r="J1107" s="1" t="str">
        <f>CONCATENATE(tblCong[[#This Row],[distCode]],"-",tblCong[[#This Row],[sCode]])</f>
        <v>D06-S09</v>
      </c>
      <c r="K1107" s="1" t="str">
        <f>VLOOKUP(tblCong[[#This Row],[seketCode]],tblSeket[#All],5,FALSE)</f>
        <v>Teptep</v>
      </c>
      <c r="L1107" s="1" t="str">
        <f>Paris!L$286</f>
        <v>P01</v>
      </c>
      <c r="M1107" s="1" t="str">
        <f>CONCATENATE(tblCong[[#This Row],[seketCode]],"-",tblCong[[#This Row],[pCode]])</f>
        <v>D06-S09-P01</v>
      </c>
      <c r="N1107" s="1" t="str">
        <f>Paris!M$286</f>
        <v>Wandabong</v>
      </c>
      <c r="O1107" s="1" t="s">
        <v>567</v>
      </c>
      <c r="P1107" s="1" t="s">
        <v>1615</v>
      </c>
    </row>
    <row r="1108" spans="6:16" x14ac:dyDescent="0.35">
      <c r="F1108" s="1" t="str">
        <f>CONCATENATE(tblCong[[#This Row],[parishCode]],"-",tblCong[[#This Row],[kCode]])</f>
        <v>D06-S09-P01-K02</v>
      </c>
      <c r="G1108" s="1" t="str">
        <f>Distrik!F$10</f>
        <v>D06</v>
      </c>
      <c r="H1108" s="1" t="str">
        <f>VLOOKUP(tblCong[[#This Row],[distCode]],tblDistrict[#All],2)</f>
        <v>Ukata</v>
      </c>
      <c r="I1108" s="1" t="str">
        <f>Seket!I$51</f>
        <v>S09</v>
      </c>
      <c r="J1108" s="1" t="str">
        <f>CONCATENATE(tblCong[[#This Row],[distCode]],"-",tblCong[[#This Row],[sCode]])</f>
        <v>D06-S09</v>
      </c>
      <c r="K1108" s="1" t="str">
        <f>VLOOKUP(tblCong[[#This Row],[seketCode]],tblSeket[#All],5,FALSE)</f>
        <v>Teptep</v>
      </c>
      <c r="L1108" s="1" t="str">
        <f>Paris!L$286</f>
        <v>P01</v>
      </c>
      <c r="M1108" s="1" t="str">
        <f>CONCATENATE(tblCong[[#This Row],[seketCode]],"-",tblCong[[#This Row],[pCode]])</f>
        <v>D06-S09-P01</v>
      </c>
      <c r="N1108" s="1" t="str">
        <f>Paris!M$286</f>
        <v>Wandabong</v>
      </c>
      <c r="O1108" s="1" t="s">
        <v>569</v>
      </c>
      <c r="P1108" s="1" t="s">
        <v>1616</v>
      </c>
    </row>
    <row r="1109" spans="6:16" x14ac:dyDescent="0.35">
      <c r="F1109" s="1" t="str">
        <f>CONCATENATE(tblCong[[#This Row],[parishCode]],"-",tblCong[[#This Row],[kCode]])</f>
        <v>D06-S09-P01-K03</v>
      </c>
      <c r="G1109" s="1" t="str">
        <f>Distrik!F$10</f>
        <v>D06</v>
      </c>
      <c r="H1109" s="1" t="str">
        <f>VLOOKUP(tblCong[[#This Row],[distCode]],tblDistrict[#All],2)</f>
        <v>Ukata</v>
      </c>
      <c r="I1109" s="1" t="str">
        <f>Seket!I$51</f>
        <v>S09</v>
      </c>
      <c r="J1109" s="1" t="str">
        <f>CONCATENATE(tblCong[[#This Row],[distCode]],"-",tblCong[[#This Row],[sCode]])</f>
        <v>D06-S09</v>
      </c>
      <c r="K1109" s="1" t="str">
        <f>VLOOKUP(tblCong[[#This Row],[seketCode]],tblSeket[#All],5,FALSE)</f>
        <v>Teptep</v>
      </c>
      <c r="L1109" s="1" t="str">
        <f>Paris!L$286</f>
        <v>P01</v>
      </c>
      <c r="M1109" s="1" t="str">
        <f>CONCATENATE(tblCong[[#This Row],[seketCode]],"-",tblCong[[#This Row],[pCode]])</f>
        <v>D06-S09-P01</v>
      </c>
      <c r="N1109" s="1" t="str">
        <f>Paris!M$286</f>
        <v>Wandabong</v>
      </c>
      <c r="O1109" s="1" t="s">
        <v>571</v>
      </c>
      <c r="P1109" s="1" t="s">
        <v>1617</v>
      </c>
    </row>
    <row r="1110" spans="6:16" x14ac:dyDescent="0.35">
      <c r="F1110" s="1" t="str">
        <f>CONCATENATE(tblCong[[#This Row],[parishCode]],"-",tblCong[[#This Row],[kCode]])</f>
        <v>D06-S09-P01-K04</v>
      </c>
      <c r="G1110" s="1" t="str">
        <f>Distrik!F$10</f>
        <v>D06</v>
      </c>
      <c r="H1110" s="1" t="str">
        <f>VLOOKUP(tblCong[[#This Row],[distCode]],tblDistrict[#All],2)</f>
        <v>Ukata</v>
      </c>
      <c r="I1110" s="1" t="str">
        <f>Seket!I$51</f>
        <v>S09</v>
      </c>
      <c r="J1110" s="1" t="str">
        <f>CONCATENATE(tblCong[[#This Row],[distCode]],"-",tblCong[[#This Row],[sCode]])</f>
        <v>D06-S09</v>
      </c>
      <c r="K1110" s="1" t="str">
        <f>VLOOKUP(tblCong[[#This Row],[seketCode]],tblSeket[#All],5,FALSE)</f>
        <v>Teptep</v>
      </c>
      <c r="L1110" s="1" t="str">
        <f>Paris!L$286</f>
        <v>P01</v>
      </c>
      <c r="M1110" s="1" t="str">
        <f>CONCATENATE(tblCong[[#This Row],[seketCode]],"-",tblCong[[#This Row],[pCode]])</f>
        <v>D06-S09-P01</v>
      </c>
      <c r="N1110" s="1" t="str">
        <f>Paris!M$286</f>
        <v>Wandabong</v>
      </c>
      <c r="O1110" s="1" t="s">
        <v>573</v>
      </c>
      <c r="P1110" s="1" t="s">
        <v>1618</v>
      </c>
    </row>
    <row r="1111" spans="6:16" x14ac:dyDescent="0.35">
      <c r="F1111" s="1" t="str">
        <f>CONCATENATE(tblCong[[#This Row],[parishCode]],"-",tblCong[[#This Row],[kCode]])</f>
        <v>D06-S09-P01-K05</v>
      </c>
      <c r="G1111" s="1" t="str">
        <f>Distrik!F$10</f>
        <v>D06</v>
      </c>
      <c r="H1111" s="1" t="str">
        <f>VLOOKUP(tblCong[[#This Row],[distCode]],tblDistrict[#All],2)</f>
        <v>Ukata</v>
      </c>
      <c r="I1111" s="1" t="str">
        <f>Seket!I$51</f>
        <v>S09</v>
      </c>
      <c r="J1111" s="1" t="str">
        <f>CONCATENATE(tblCong[[#This Row],[distCode]],"-",tblCong[[#This Row],[sCode]])</f>
        <v>D06-S09</v>
      </c>
      <c r="K1111" s="1" t="str">
        <f>VLOOKUP(tblCong[[#This Row],[seketCode]],tblSeket[#All],5,FALSE)</f>
        <v>Teptep</v>
      </c>
      <c r="L1111" s="1" t="str">
        <f>Paris!L$286</f>
        <v>P01</v>
      </c>
      <c r="M1111" s="1" t="str">
        <f>CONCATENATE(tblCong[[#This Row],[seketCode]],"-",tblCong[[#This Row],[pCode]])</f>
        <v>D06-S09-P01</v>
      </c>
      <c r="N1111" s="1" t="str">
        <f>Paris!M$286</f>
        <v>Wandabong</v>
      </c>
      <c r="O1111" s="1" t="s">
        <v>575</v>
      </c>
      <c r="P1111" s="1" t="s">
        <v>1619</v>
      </c>
    </row>
    <row r="1112" spans="6:16" x14ac:dyDescent="0.35">
      <c r="F1112" s="1" t="str">
        <f>CONCATENATE(tblCong[[#This Row],[parishCode]],"-",tblCong[[#This Row],[kCode]])</f>
        <v>D06-S09-P01-K06</v>
      </c>
      <c r="G1112" s="1" t="str">
        <f>Distrik!F$10</f>
        <v>D06</v>
      </c>
      <c r="H1112" s="1" t="str">
        <f>VLOOKUP(tblCong[[#This Row],[distCode]],tblDistrict[#All],2)</f>
        <v>Ukata</v>
      </c>
      <c r="I1112" s="1" t="str">
        <f>Seket!I$51</f>
        <v>S09</v>
      </c>
      <c r="J1112" s="1" t="str">
        <f>CONCATENATE(tblCong[[#This Row],[distCode]],"-",tblCong[[#This Row],[sCode]])</f>
        <v>D06-S09</v>
      </c>
      <c r="K1112" s="1" t="str">
        <f>VLOOKUP(tblCong[[#This Row],[seketCode]],tblSeket[#All],5,FALSE)</f>
        <v>Teptep</v>
      </c>
      <c r="L1112" s="1" t="str">
        <f>Paris!L$286</f>
        <v>P01</v>
      </c>
      <c r="M1112" s="1" t="str">
        <f>CONCATENATE(tblCong[[#This Row],[seketCode]],"-",tblCong[[#This Row],[pCode]])</f>
        <v>D06-S09-P01</v>
      </c>
      <c r="N1112" s="1" t="str">
        <f>Paris!M$286</f>
        <v>Wandabong</v>
      </c>
      <c r="O1112" s="1" t="s">
        <v>576</v>
      </c>
      <c r="P1112" s="1" t="s">
        <v>1620</v>
      </c>
    </row>
    <row r="1113" spans="6:16" x14ac:dyDescent="0.35">
      <c r="F1113" s="1" t="str">
        <f>CONCATENATE(tblCong[[#This Row],[parishCode]],"-",tblCong[[#This Row],[kCode]])</f>
        <v>D06-S09-P02-K01</v>
      </c>
      <c r="G1113" s="1" t="str">
        <f>Distrik!F$10</f>
        <v>D06</v>
      </c>
      <c r="H1113" s="1" t="str">
        <f>VLOOKUP(tblCong[[#This Row],[distCode]],tblDistrict[#All],2)</f>
        <v>Ukata</v>
      </c>
      <c r="I1113" s="1" t="str">
        <f>Seket!I$51</f>
        <v>S09</v>
      </c>
      <c r="J1113" s="1" t="str">
        <f>CONCATENATE(tblCong[[#This Row],[distCode]],"-",tblCong[[#This Row],[sCode]])</f>
        <v>D06-S09</v>
      </c>
      <c r="K1113" s="1" t="str">
        <f>VLOOKUP(tblCong[[#This Row],[seketCode]],tblSeket[#All],5,FALSE)</f>
        <v>Teptep</v>
      </c>
      <c r="L1113" s="1" t="str">
        <f>Paris!L$287</f>
        <v>P02</v>
      </c>
      <c r="M1113" s="1" t="str">
        <f>CONCATENATE(tblCong[[#This Row],[seketCode]],"-",tblCong[[#This Row],[pCode]])</f>
        <v>D06-S09-P02</v>
      </c>
      <c r="N1113" s="1" t="str">
        <f>Paris!M$287</f>
        <v>Isan</v>
      </c>
      <c r="O1113" s="1" t="s">
        <v>567</v>
      </c>
      <c r="P1113" s="1" t="s">
        <v>1621</v>
      </c>
    </row>
    <row r="1114" spans="6:16" x14ac:dyDescent="0.35">
      <c r="F1114" s="1" t="str">
        <f>CONCATENATE(tblCong[[#This Row],[parishCode]],"-",tblCong[[#This Row],[kCode]])</f>
        <v>D06-S09-P02-K02</v>
      </c>
      <c r="G1114" s="1" t="str">
        <f>Distrik!F$10</f>
        <v>D06</v>
      </c>
      <c r="H1114" s="1" t="str">
        <f>VLOOKUP(tblCong[[#This Row],[distCode]],tblDistrict[#All],2)</f>
        <v>Ukata</v>
      </c>
      <c r="I1114" s="1" t="str">
        <f>Seket!I$51</f>
        <v>S09</v>
      </c>
      <c r="J1114" s="1" t="str">
        <f>CONCATENATE(tblCong[[#This Row],[distCode]],"-",tblCong[[#This Row],[sCode]])</f>
        <v>D06-S09</v>
      </c>
      <c r="K1114" s="1" t="str">
        <f>VLOOKUP(tblCong[[#This Row],[seketCode]],tblSeket[#All],5,FALSE)</f>
        <v>Teptep</v>
      </c>
      <c r="L1114" s="1" t="str">
        <f>Paris!L$287</f>
        <v>P02</v>
      </c>
      <c r="M1114" s="1" t="str">
        <f>CONCATENATE(tblCong[[#This Row],[seketCode]],"-",tblCong[[#This Row],[pCode]])</f>
        <v>D06-S09-P02</v>
      </c>
      <c r="N1114" s="1" t="str">
        <f>Paris!M$287</f>
        <v>Isan</v>
      </c>
      <c r="O1114" s="1" t="s">
        <v>569</v>
      </c>
      <c r="P1114" s="1" t="s">
        <v>1622</v>
      </c>
    </row>
    <row r="1115" spans="6:16" x14ac:dyDescent="0.35">
      <c r="F1115" s="1" t="str">
        <f>CONCATENATE(tblCong[[#This Row],[parishCode]],"-",tblCong[[#This Row],[kCode]])</f>
        <v>D06-S09-P02-K03</v>
      </c>
      <c r="G1115" s="1" t="str">
        <f>Distrik!F$10</f>
        <v>D06</v>
      </c>
      <c r="H1115" s="1" t="str">
        <f>VLOOKUP(tblCong[[#This Row],[distCode]],tblDistrict[#All],2)</f>
        <v>Ukata</v>
      </c>
      <c r="I1115" s="1" t="str">
        <f>Seket!I$51</f>
        <v>S09</v>
      </c>
      <c r="J1115" s="1" t="str">
        <f>CONCATENATE(tblCong[[#This Row],[distCode]],"-",tblCong[[#This Row],[sCode]])</f>
        <v>D06-S09</v>
      </c>
      <c r="K1115" s="1" t="str">
        <f>VLOOKUP(tblCong[[#This Row],[seketCode]],tblSeket[#All],5,FALSE)</f>
        <v>Teptep</v>
      </c>
      <c r="L1115" s="1" t="str">
        <f>Paris!L$287</f>
        <v>P02</v>
      </c>
      <c r="M1115" s="1" t="str">
        <f>CONCATENATE(tblCong[[#This Row],[seketCode]],"-",tblCong[[#This Row],[pCode]])</f>
        <v>D06-S09-P02</v>
      </c>
      <c r="N1115" s="1" t="str">
        <f>Paris!M$287</f>
        <v>Isan</v>
      </c>
      <c r="O1115" s="1" t="s">
        <v>571</v>
      </c>
      <c r="P1115" s="1" t="s">
        <v>1623</v>
      </c>
    </row>
    <row r="1116" spans="6:16" x14ac:dyDescent="0.35">
      <c r="F1116" s="1" t="str">
        <f>CONCATENATE(tblCong[[#This Row],[parishCode]],"-",tblCong[[#This Row],[kCode]])</f>
        <v>D06-S09-P02-K04</v>
      </c>
      <c r="G1116" s="1" t="str">
        <f>Distrik!F$10</f>
        <v>D06</v>
      </c>
      <c r="H1116" s="1" t="str">
        <f>VLOOKUP(tblCong[[#This Row],[distCode]],tblDistrict[#All],2)</f>
        <v>Ukata</v>
      </c>
      <c r="I1116" s="1" t="str">
        <f>Seket!I$51</f>
        <v>S09</v>
      </c>
      <c r="J1116" s="1" t="str">
        <f>CONCATENATE(tblCong[[#This Row],[distCode]],"-",tblCong[[#This Row],[sCode]])</f>
        <v>D06-S09</v>
      </c>
      <c r="K1116" s="1" t="str">
        <f>VLOOKUP(tblCong[[#This Row],[seketCode]],tblSeket[#All],5,FALSE)</f>
        <v>Teptep</v>
      </c>
      <c r="L1116" s="1" t="str">
        <f>Paris!L$287</f>
        <v>P02</v>
      </c>
      <c r="M1116" s="1" t="str">
        <f>CONCATENATE(tblCong[[#This Row],[seketCode]],"-",tblCong[[#This Row],[pCode]])</f>
        <v>D06-S09-P02</v>
      </c>
      <c r="N1116" s="1" t="str">
        <f>Paris!M$287</f>
        <v>Isan</v>
      </c>
      <c r="O1116" s="1" t="s">
        <v>573</v>
      </c>
      <c r="P1116" s="1" t="s">
        <v>1624</v>
      </c>
    </row>
    <row r="1117" spans="6:16" x14ac:dyDescent="0.35">
      <c r="F1117" s="1" t="str">
        <f>CONCATENATE(tblCong[[#This Row],[parishCode]],"-",tblCong[[#This Row],[kCode]])</f>
        <v>D06-S09-P02-K05</v>
      </c>
      <c r="G1117" s="1" t="str">
        <f>Distrik!F$10</f>
        <v>D06</v>
      </c>
      <c r="H1117" s="1" t="str">
        <f>VLOOKUP(tblCong[[#This Row],[distCode]],tblDistrict[#All],2)</f>
        <v>Ukata</v>
      </c>
      <c r="I1117" s="1" t="str">
        <f>Seket!I$51</f>
        <v>S09</v>
      </c>
      <c r="J1117" s="1" t="str">
        <f>CONCATENATE(tblCong[[#This Row],[distCode]],"-",tblCong[[#This Row],[sCode]])</f>
        <v>D06-S09</v>
      </c>
      <c r="K1117" s="1" t="str">
        <f>VLOOKUP(tblCong[[#This Row],[seketCode]],tblSeket[#All],5,FALSE)</f>
        <v>Teptep</v>
      </c>
      <c r="L1117" s="1" t="str">
        <f>Paris!L$287</f>
        <v>P02</v>
      </c>
      <c r="M1117" s="1" t="str">
        <f>CONCATENATE(tblCong[[#This Row],[seketCode]],"-",tblCong[[#This Row],[pCode]])</f>
        <v>D06-S09-P02</v>
      </c>
      <c r="N1117" s="1" t="str">
        <f>Paris!M$287</f>
        <v>Isan</v>
      </c>
      <c r="O1117" s="1" t="s">
        <v>575</v>
      </c>
      <c r="P1117" s="1" t="s">
        <v>1625</v>
      </c>
    </row>
    <row r="1118" spans="6:16" x14ac:dyDescent="0.35">
      <c r="F1118" s="1" t="str">
        <f>CONCATENATE(tblCong[[#This Row],[parishCode]],"-",tblCong[[#This Row],[kCode]])</f>
        <v>D06-S09-P02-K06</v>
      </c>
      <c r="G1118" s="1" t="str">
        <f>Distrik!F$10</f>
        <v>D06</v>
      </c>
      <c r="H1118" s="1" t="str">
        <f>VLOOKUP(tblCong[[#This Row],[distCode]],tblDistrict[#All],2)</f>
        <v>Ukata</v>
      </c>
      <c r="I1118" s="1" t="str">
        <f>Seket!I$51</f>
        <v>S09</v>
      </c>
      <c r="J1118" s="1" t="str">
        <f>CONCATENATE(tblCong[[#This Row],[distCode]],"-",tblCong[[#This Row],[sCode]])</f>
        <v>D06-S09</v>
      </c>
      <c r="K1118" s="1" t="str">
        <f>VLOOKUP(tblCong[[#This Row],[seketCode]],tblSeket[#All],5,FALSE)</f>
        <v>Teptep</v>
      </c>
      <c r="L1118" s="1" t="str">
        <f>Paris!L$287</f>
        <v>P02</v>
      </c>
      <c r="M1118" s="1" t="str">
        <f>CONCATENATE(tblCong[[#This Row],[seketCode]],"-",tblCong[[#This Row],[pCode]])</f>
        <v>D06-S09-P02</v>
      </c>
      <c r="N1118" s="1" t="str">
        <f>Paris!M$287</f>
        <v>Isan</v>
      </c>
      <c r="O1118" s="1" t="s">
        <v>576</v>
      </c>
      <c r="P1118" s="1" t="s">
        <v>1626</v>
      </c>
    </row>
    <row r="1119" spans="6:16" x14ac:dyDescent="0.35">
      <c r="F1119" s="1" t="str">
        <f>CONCATENATE(tblCong[[#This Row],[parishCode]],"-",tblCong[[#This Row],[kCode]])</f>
        <v>D06-S09-P03-K01</v>
      </c>
      <c r="G1119" s="1" t="str">
        <f>Distrik!F$10</f>
        <v>D06</v>
      </c>
      <c r="H1119" s="1" t="str">
        <f>VLOOKUP(tblCong[[#This Row],[distCode]],tblDistrict[#All],2)</f>
        <v>Ukata</v>
      </c>
      <c r="I1119" s="1" t="str">
        <f>Seket!I$51</f>
        <v>S09</v>
      </c>
      <c r="J1119" s="1" t="str">
        <f>CONCATENATE(tblCong[[#This Row],[distCode]],"-",tblCong[[#This Row],[sCode]])</f>
        <v>D06-S09</v>
      </c>
      <c r="K1119" s="1" t="str">
        <f>VLOOKUP(tblCong[[#This Row],[seketCode]],tblSeket[#All],5,FALSE)</f>
        <v>Teptep</v>
      </c>
      <c r="L1119" s="1" t="str">
        <f>Paris!L$288</f>
        <v>P03</v>
      </c>
      <c r="M1119" s="1" t="str">
        <f>CONCATENATE(tblCong[[#This Row],[seketCode]],"-",tblCong[[#This Row],[pCode]])</f>
        <v>D06-S09-P03</v>
      </c>
      <c r="N1119" s="1" t="str">
        <f>Paris!M$288</f>
        <v>Keweng</v>
      </c>
      <c r="O1119" s="1" t="s">
        <v>567</v>
      </c>
      <c r="P1119" s="1" t="s">
        <v>1627</v>
      </c>
    </row>
    <row r="1120" spans="6:16" x14ac:dyDescent="0.35">
      <c r="F1120" s="1" t="str">
        <f>CONCATENATE(tblCong[[#This Row],[parishCode]],"-",tblCong[[#This Row],[kCode]])</f>
        <v>D06-S09-P03-K02</v>
      </c>
      <c r="G1120" s="1" t="str">
        <f>Distrik!F$10</f>
        <v>D06</v>
      </c>
      <c r="H1120" s="1" t="str">
        <f>VLOOKUP(tblCong[[#This Row],[distCode]],tblDistrict[#All],2)</f>
        <v>Ukata</v>
      </c>
      <c r="I1120" s="1" t="str">
        <f>Seket!I$51</f>
        <v>S09</v>
      </c>
      <c r="J1120" s="1" t="str">
        <f>CONCATENATE(tblCong[[#This Row],[distCode]],"-",tblCong[[#This Row],[sCode]])</f>
        <v>D06-S09</v>
      </c>
      <c r="K1120" s="1" t="str">
        <f>VLOOKUP(tblCong[[#This Row],[seketCode]],tblSeket[#All],5,FALSE)</f>
        <v>Teptep</v>
      </c>
      <c r="L1120" s="1" t="str">
        <f>Paris!L$288</f>
        <v>P03</v>
      </c>
      <c r="M1120" s="1" t="str">
        <f>CONCATENATE(tblCong[[#This Row],[seketCode]],"-",tblCong[[#This Row],[pCode]])</f>
        <v>D06-S09-P03</v>
      </c>
      <c r="N1120" s="1" t="str">
        <f>Paris!M$288</f>
        <v>Keweng</v>
      </c>
      <c r="O1120" s="1" t="s">
        <v>569</v>
      </c>
      <c r="P1120" s="1" t="s">
        <v>1628</v>
      </c>
    </row>
    <row r="1121" spans="6:16" x14ac:dyDescent="0.35">
      <c r="F1121" s="1" t="str">
        <f>CONCATENATE(tblCong[[#This Row],[parishCode]],"-",tblCong[[#This Row],[kCode]])</f>
        <v>D06-S09-P03-K03</v>
      </c>
      <c r="G1121" s="1" t="str">
        <f>Distrik!F$10</f>
        <v>D06</v>
      </c>
      <c r="H1121" s="1" t="str">
        <f>VLOOKUP(tblCong[[#This Row],[distCode]],tblDistrict[#All],2)</f>
        <v>Ukata</v>
      </c>
      <c r="I1121" s="1" t="str">
        <f>Seket!I$51</f>
        <v>S09</v>
      </c>
      <c r="J1121" s="1" t="str">
        <f>CONCATENATE(tblCong[[#This Row],[distCode]],"-",tblCong[[#This Row],[sCode]])</f>
        <v>D06-S09</v>
      </c>
      <c r="K1121" s="1" t="str">
        <f>VLOOKUP(tblCong[[#This Row],[seketCode]],tblSeket[#All],5,FALSE)</f>
        <v>Teptep</v>
      </c>
      <c r="L1121" s="1" t="str">
        <f>Paris!L$288</f>
        <v>P03</v>
      </c>
      <c r="M1121" s="1" t="str">
        <f>CONCATENATE(tblCong[[#This Row],[seketCode]],"-",tblCong[[#This Row],[pCode]])</f>
        <v>D06-S09-P03</v>
      </c>
      <c r="N1121" s="1" t="str">
        <f>Paris!M$288</f>
        <v>Keweng</v>
      </c>
      <c r="O1121" s="1" t="s">
        <v>571</v>
      </c>
      <c r="P1121" s="1" t="s">
        <v>1629</v>
      </c>
    </row>
    <row r="1122" spans="6:16" x14ac:dyDescent="0.35">
      <c r="F1122" s="1" t="str">
        <f>CONCATENATE(tblCong[[#This Row],[parishCode]],"-",tblCong[[#This Row],[kCode]])</f>
        <v>D06-S09-P03-K04</v>
      </c>
      <c r="G1122" s="1" t="str">
        <f>Distrik!F$10</f>
        <v>D06</v>
      </c>
      <c r="H1122" s="1" t="str">
        <f>VLOOKUP(tblCong[[#This Row],[distCode]],tblDistrict[#All],2)</f>
        <v>Ukata</v>
      </c>
      <c r="I1122" s="1" t="str">
        <f>Seket!I$51</f>
        <v>S09</v>
      </c>
      <c r="J1122" s="1" t="str">
        <f>CONCATENATE(tblCong[[#This Row],[distCode]],"-",tblCong[[#This Row],[sCode]])</f>
        <v>D06-S09</v>
      </c>
      <c r="K1122" s="1" t="str">
        <f>VLOOKUP(tblCong[[#This Row],[seketCode]],tblSeket[#All],5,FALSE)</f>
        <v>Teptep</v>
      </c>
      <c r="L1122" s="1" t="str">
        <f>Paris!L$288</f>
        <v>P03</v>
      </c>
      <c r="M1122" s="1" t="str">
        <f>CONCATENATE(tblCong[[#This Row],[seketCode]],"-",tblCong[[#This Row],[pCode]])</f>
        <v>D06-S09-P03</v>
      </c>
      <c r="N1122" s="1" t="str">
        <f>Paris!M$288</f>
        <v>Keweng</v>
      </c>
      <c r="O1122" s="1" t="s">
        <v>573</v>
      </c>
      <c r="P1122" s="1" t="s">
        <v>1630</v>
      </c>
    </row>
    <row r="1123" spans="6:16" x14ac:dyDescent="0.35">
      <c r="F1123" s="1" t="str">
        <f>CONCATENATE(tblCong[[#This Row],[parishCode]],"-",tblCong[[#This Row],[kCode]])</f>
        <v>D06-S09-P03-K05</v>
      </c>
      <c r="G1123" s="1" t="str">
        <f>Distrik!F$10</f>
        <v>D06</v>
      </c>
      <c r="H1123" s="1" t="str">
        <f>VLOOKUP(tblCong[[#This Row],[distCode]],tblDistrict[#All],2)</f>
        <v>Ukata</v>
      </c>
      <c r="I1123" s="1" t="str">
        <f>Seket!I$51</f>
        <v>S09</v>
      </c>
      <c r="J1123" s="1" t="str">
        <f>CONCATENATE(tblCong[[#This Row],[distCode]],"-",tblCong[[#This Row],[sCode]])</f>
        <v>D06-S09</v>
      </c>
      <c r="K1123" s="1" t="str">
        <f>VLOOKUP(tblCong[[#This Row],[seketCode]],tblSeket[#All],5,FALSE)</f>
        <v>Teptep</v>
      </c>
      <c r="L1123" s="1" t="str">
        <f>Paris!L$288</f>
        <v>P03</v>
      </c>
      <c r="M1123" s="1" t="str">
        <f>CONCATENATE(tblCong[[#This Row],[seketCode]],"-",tblCong[[#This Row],[pCode]])</f>
        <v>D06-S09-P03</v>
      </c>
      <c r="N1123" s="1" t="str">
        <f>Paris!M$288</f>
        <v>Keweng</v>
      </c>
      <c r="O1123" s="1" t="s">
        <v>575</v>
      </c>
      <c r="P1123" s="1" t="s">
        <v>1631</v>
      </c>
    </row>
    <row r="1124" spans="6:16" x14ac:dyDescent="0.35">
      <c r="F1124" s="1" t="str">
        <f>CONCATENATE(tblCong[[#This Row],[parishCode]],"-",tblCong[[#This Row],[kCode]])</f>
        <v>D06-S09-P04-K01</v>
      </c>
      <c r="G1124" s="1" t="str">
        <f>Distrik!F$10</f>
        <v>D06</v>
      </c>
      <c r="H1124" s="1" t="str">
        <f>VLOOKUP(tblCong[[#This Row],[distCode]],tblDistrict[#All],2)</f>
        <v>Ukata</v>
      </c>
      <c r="I1124" s="1" t="str">
        <f>Seket!I$51</f>
        <v>S09</v>
      </c>
      <c r="J1124" s="1" t="str">
        <f>CONCATENATE(tblCong[[#This Row],[distCode]],"-",tblCong[[#This Row],[sCode]])</f>
        <v>D06-S09</v>
      </c>
      <c r="K1124" s="1" t="str">
        <f>VLOOKUP(tblCong[[#This Row],[seketCode]],tblSeket[#All],5,FALSE)</f>
        <v>Teptep</v>
      </c>
      <c r="L1124" s="1" t="str">
        <f>Paris!L$289</f>
        <v>P04</v>
      </c>
      <c r="M1124" s="1" t="str">
        <f>CONCATENATE(tblCong[[#This Row],[seketCode]],"-",tblCong[[#This Row],[pCode]])</f>
        <v>D06-S09-P04</v>
      </c>
      <c r="N1124" s="1" t="str">
        <f>Paris!M$289</f>
        <v>Utaguka</v>
      </c>
      <c r="O1124" s="1" t="s">
        <v>567</v>
      </c>
      <c r="P1124" s="1" t="s">
        <v>1632</v>
      </c>
    </row>
    <row r="1125" spans="6:16" x14ac:dyDescent="0.35">
      <c r="F1125" s="1" t="str">
        <f>CONCATENATE(tblCong[[#This Row],[parishCode]],"-",tblCong[[#This Row],[kCode]])</f>
        <v>D06-S09-P04-K02</v>
      </c>
      <c r="G1125" s="1" t="str">
        <f>Distrik!F$10</f>
        <v>D06</v>
      </c>
      <c r="H1125" s="1" t="str">
        <f>VLOOKUP(tblCong[[#This Row],[distCode]],tblDistrict[#All],2)</f>
        <v>Ukata</v>
      </c>
      <c r="I1125" s="1" t="str">
        <f>Seket!I$51</f>
        <v>S09</v>
      </c>
      <c r="J1125" s="1" t="str">
        <f>CONCATENATE(tblCong[[#This Row],[distCode]],"-",tblCong[[#This Row],[sCode]])</f>
        <v>D06-S09</v>
      </c>
      <c r="K1125" s="1" t="str">
        <f>VLOOKUP(tblCong[[#This Row],[seketCode]],tblSeket[#All],5,FALSE)</f>
        <v>Teptep</v>
      </c>
      <c r="L1125" s="1" t="str">
        <f>Paris!L$289</f>
        <v>P04</v>
      </c>
      <c r="M1125" s="1" t="str">
        <f>CONCATENATE(tblCong[[#This Row],[seketCode]],"-",tblCong[[#This Row],[pCode]])</f>
        <v>D06-S09-P04</v>
      </c>
      <c r="N1125" s="1" t="str">
        <f>Paris!M$289</f>
        <v>Utaguka</v>
      </c>
      <c r="O1125" s="1" t="s">
        <v>569</v>
      </c>
      <c r="P1125" s="1" t="s">
        <v>1633</v>
      </c>
    </row>
    <row r="1126" spans="6:16" x14ac:dyDescent="0.35">
      <c r="F1126" s="1" t="str">
        <f>CONCATENATE(tblCong[[#This Row],[parishCode]],"-",tblCong[[#This Row],[kCode]])</f>
        <v>D06-S09-P04-K03</v>
      </c>
      <c r="G1126" s="1" t="str">
        <f>Distrik!F$10</f>
        <v>D06</v>
      </c>
      <c r="H1126" s="1" t="str">
        <f>VLOOKUP(tblCong[[#This Row],[distCode]],tblDistrict[#All],2)</f>
        <v>Ukata</v>
      </c>
      <c r="I1126" s="1" t="str">
        <f>Seket!I$51</f>
        <v>S09</v>
      </c>
      <c r="J1126" s="1" t="str">
        <f>CONCATENATE(tblCong[[#This Row],[distCode]],"-",tblCong[[#This Row],[sCode]])</f>
        <v>D06-S09</v>
      </c>
      <c r="K1126" s="1" t="str">
        <f>VLOOKUP(tblCong[[#This Row],[seketCode]],tblSeket[#All],5,FALSE)</f>
        <v>Teptep</v>
      </c>
      <c r="L1126" s="1" t="str">
        <f>Paris!L$289</f>
        <v>P04</v>
      </c>
      <c r="M1126" s="1" t="str">
        <f>CONCATENATE(tblCong[[#This Row],[seketCode]],"-",tblCong[[#This Row],[pCode]])</f>
        <v>D06-S09-P04</v>
      </c>
      <c r="N1126" s="1" t="str">
        <f>Paris!M$289</f>
        <v>Utaguka</v>
      </c>
      <c r="O1126" s="1" t="s">
        <v>571</v>
      </c>
      <c r="P1126" s="1" t="s">
        <v>1634</v>
      </c>
    </row>
    <row r="1127" spans="6:16" x14ac:dyDescent="0.35">
      <c r="F1127" s="1" t="str">
        <f>CONCATENATE(tblCong[[#This Row],[parishCode]],"-",tblCong[[#This Row],[kCode]])</f>
        <v>D06-S09-P04-K04</v>
      </c>
      <c r="G1127" s="1" t="str">
        <f>Distrik!F$10</f>
        <v>D06</v>
      </c>
      <c r="H1127" s="1" t="str">
        <f>VLOOKUP(tblCong[[#This Row],[distCode]],tblDistrict[#All],2)</f>
        <v>Ukata</v>
      </c>
      <c r="I1127" s="1" t="str">
        <f>Seket!I$51</f>
        <v>S09</v>
      </c>
      <c r="J1127" s="1" t="str">
        <f>CONCATENATE(tblCong[[#This Row],[distCode]],"-",tblCong[[#This Row],[sCode]])</f>
        <v>D06-S09</v>
      </c>
      <c r="K1127" s="1" t="str">
        <f>VLOOKUP(tblCong[[#This Row],[seketCode]],tblSeket[#All],5,FALSE)</f>
        <v>Teptep</v>
      </c>
      <c r="L1127" s="1" t="str">
        <f>Paris!L$289</f>
        <v>P04</v>
      </c>
      <c r="M1127" s="1" t="str">
        <f>CONCATENATE(tblCong[[#This Row],[seketCode]],"-",tblCong[[#This Row],[pCode]])</f>
        <v>D06-S09-P04</v>
      </c>
      <c r="N1127" s="1" t="str">
        <f>Paris!M$289</f>
        <v>Utaguka</v>
      </c>
      <c r="O1127" s="1" t="s">
        <v>573</v>
      </c>
      <c r="P1127" s="1" t="s">
        <v>1635</v>
      </c>
    </row>
    <row r="1128" spans="6:16" x14ac:dyDescent="0.35">
      <c r="F1128" s="1" t="str">
        <f>CONCATENATE(tblCong[[#This Row],[parishCode]],"-",tblCong[[#This Row],[kCode]])</f>
        <v>D06-S09-P05-K01</v>
      </c>
      <c r="G1128" s="1" t="str">
        <f>Distrik!F$10</f>
        <v>D06</v>
      </c>
      <c r="H1128" s="1" t="str">
        <f>VLOOKUP(tblCong[[#This Row],[distCode]],tblDistrict[#All],2)</f>
        <v>Ukata</v>
      </c>
      <c r="I1128" s="1" t="str">
        <f>Seket!I$51</f>
        <v>S09</v>
      </c>
      <c r="J1128" s="1" t="str">
        <f>CONCATENATE(tblCong[[#This Row],[distCode]],"-",tblCong[[#This Row],[sCode]])</f>
        <v>D06-S09</v>
      </c>
      <c r="K1128" s="1" t="str">
        <f>VLOOKUP(tblCong[[#This Row],[seketCode]],tblSeket[#All],5,FALSE)</f>
        <v>Teptep</v>
      </c>
      <c r="L1128" s="1" t="str">
        <f>Paris!L$290</f>
        <v>P05</v>
      </c>
      <c r="M1128" s="1" t="str">
        <f>CONCATENATE(tblCong[[#This Row],[seketCode]],"-",tblCong[[#This Row],[pCode]])</f>
        <v>D06-S09-P05</v>
      </c>
      <c r="N1128" s="1" t="str">
        <f>Paris!M$290</f>
        <v>Bungawat</v>
      </c>
      <c r="O1128" s="1" t="s">
        <v>567</v>
      </c>
      <c r="P1128" s="1" t="s">
        <v>1636</v>
      </c>
    </row>
    <row r="1129" spans="6:16" x14ac:dyDescent="0.35">
      <c r="F1129" s="1" t="str">
        <f>CONCATENATE(tblCong[[#This Row],[parishCode]],"-",tblCong[[#This Row],[kCode]])</f>
        <v>D06-S09-P05-K02</v>
      </c>
      <c r="G1129" s="1" t="str">
        <f>Distrik!F$10</f>
        <v>D06</v>
      </c>
      <c r="H1129" s="1" t="str">
        <f>VLOOKUP(tblCong[[#This Row],[distCode]],tblDistrict[#All],2)</f>
        <v>Ukata</v>
      </c>
      <c r="I1129" s="1" t="str">
        <f>Seket!I$51</f>
        <v>S09</v>
      </c>
      <c r="J1129" s="1" t="str">
        <f>CONCATENATE(tblCong[[#This Row],[distCode]],"-",tblCong[[#This Row],[sCode]])</f>
        <v>D06-S09</v>
      </c>
      <c r="K1129" s="1" t="str">
        <f>VLOOKUP(tblCong[[#This Row],[seketCode]],tblSeket[#All],5,FALSE)</f>
        <v>Teptep</v>
      </c>
      <c r="L1129" s="1" t="str">
        <f>Paris!L$290</f>
        <v>P05</v>
      </c>
      <c r="M1129" s="1" t="str">
        <f>CONCATENATE(tblCong[[#This Row],[seketCode]],"-",tblCong[[#This Row],[pCode]])</f>
        <v>D06-S09-P05</v>
      </c>
      <c r="N1129" s="1" t="str">
        <f>Paris!M$290</f>
        <v>Bungawat</v>
      </c>
      <c r="O1129" s="1" t="s">
        <v>569</v>
      </c>
      <c r="P1129" s="1" t="s">
        <v>1637</v>
      </c>
    </row>
    <row r="1130" spans="6:16" x14ac:dyDescent="0.35">
      <c r="F1130" s="1" t="str">
        <f>CONCATENATE(tblCong[[#This Row],[parishCode]],"-",tblCong[[#This Row],[kCode]])</f>
        <v>D06-S09-P06-K01</v>
      </c>
      <c r="G1130" s="1" t="str">
        <f>Distrik!F$10</f>
        <v>D06</v>
      </c>
      <c r="H1130" s="1" t="str">
        <f>VLOOKUP(tblCong[[#This Row],[distCode]],tblDistrict[#All],2)</f>
        <v>Ukata</v>
      </c>
      <c r="I1130" s="1" t="str">
        <f>Seket!I$51</f>
        <v>S09</v>
      </c>
      <c r="J1130" s="1" t="str">
        <f>CONCATENATE(tblCong[[#This Row],[distCode]],"-",tblCong[[#This Row],[sCode]])</f>
        <v>D06-S09</v>
      </c>
      <c r="K1130" s="1" t="str">
        <f>VLOOKUP(tblCong[[#This Row],[seketCode]],tblSeket[#All],5,FALSE)</f>
        <v>Teptep</v>
      </c>
      <c r="L1130" s="1" t="str">
        <f>Paris!L$291</f>
        <v>P06</v>
      </c>
      <c r="M1130" s="1" t="str">
        <f>CONCATENATE(tblCong[[#This Row],[seketCode]],"-",tblCong[[#This Row],[pCode]])</f>
        <v>D06-S09-P06</v>
      </c>
      <c r="N1130" s="1" t="str">
        <f>Paris!M$291</f>
        <v>Gogiok</v>
      </c>
      <c r="O1130" s="1" t="s">
        <v>567</v>
      </c>
      <c r="P1130" s="1" t="s">
        <v>500</v>
      </c>
    </row>
    <row r="1131" spans="6:16" x14ac:dyDescent="0.35">
      <c r="F1131" s="1" t="str">
        <f>CONCATENATE(tblCong[[#This Row],[parishCode]],"-",tblCong[[#This Row],[kCode]])</f>
        <v>D06-S09-P06-K02</v>
      </c>
      <c r="G1131" s="1" t="str">
        <f>Distrik!F$10</f>
        <v>D06</v>
      </c>
      <c r="H1131" s="1" t="str">
        <f>VLOOKUP(tblCong[[#This Row],[distCode]],tblDistrict[#All],2)</f>
        <v>Ukata</v>
      </c>
      <c r="I1131" s="1" t="str">
        <f>Seket!I$51</f>
        <v>S09</v>
      </c>
      <c r="J1131" s="1" t="str">
        <f>CONCATENATE(tblCong[[#This Row],[distCode]],"-",tblCong[[#This Row],[sCode]])</f>
        <v>D06-S09</v>
      </c>
      <c r="K1131" s="1" t="str">
        <f>VLOOKUP(tblCong[[#This Row],[seketCode]],tblSeket[#All],5,FALSE)</f>
        <v>Teptep</v>
      </c>
      <c r="L1131" s="1" t="str">
        <f>Paris!L$291</f>
        <v>P06</v>
      </c>
      <c r="M1131" s="1" t="str">
        <f>CONCATENATE(tblCong[[#This Row],[seketCode]],"-",tblCong[[#This Row],[pCode]])</f>
        <v>D06-S09-P06</v>
      </c>
      <c r="N1131" s="1" t="str">
        <f>Paris!M$291</f>
        <v>Gogiok</v>
      </c>
      <c r="O1131" s="1" t="s">
        <v>569</v>
      </c>
      <c r="P1131" s="1" t="s">
        <v>1638</v>
      </c>
    </row>
    <row r="1132" spans="6:16" x14ac:dyDescent="0.35">
      <c r="F1132" s="1" t="str">
        <f>CONCATENATE(tblCong[[#This Row],[parishCode]],"-",tblCong[[#This Row],[kCode]])</f>
        <v>D06-S09-P06-K03</v>
      </c>
      <c r="G1132" s="1" t="str">
        <f>Distrik!F$10</f>
        <v>D06</v>
      </c>
      <c r="H1132" s="1" t="str">
        <f>VLOOKUP(tblCong[[#This Row],[distCode]],tblDistrict[#All],2)</f>
        <v>Ukata</v>
      </c>
      <c r="I1132" s="1" t="str">
        <f>Seket!I$51</f>
        <v>S09</v>
      </c>
      <c r="J1132" s="1" t="str">
        <f>CONCATENATE(tblCong[[#This Row],[distCode]],"-",tblCong[[#This Row],[sCode]])</f>
        <v>D06-S09</v>
      </c>
      <c r="K1132" s="1" t="str">
        <f>VLOOKUP(tblCong[[#This Row],[seketCode]],tblSeket[#All],5,FALSE)</f>
        <v>Teptep</v>
      </c>
      <c r="L1132" s="1" t="str">
        <f>Paris!L$291</f>
        <v>P06</v>
      </c>
      <c r="M1132" s="1" t="str">
        <f>CONCATENATE(tblCong[[#This Row],[seketCode]],"-",tblCong[[#This Row],[pCode]])</f>
        <v>D06-S09-P06</v>
      </c>
      <c r="N1132" s="1" t="str">
        <f>Paris!M$291</f>
        <v>Gogiok</v>
      </c>
      <c r="O1132" s="1" t="s">
        <v>571</v>
      </c>
      <c r="P1132" s="1" t="s">
        <v>1639</v>
      </c>
    </row>
    <row r="1133" spans="6:16" x14ac:dyDescent="0.35">
      <c r="F1133" s="1" t="str">
        <f>CONCATENATE(tblCong[[#This Row],[parishCode]],"-",tblCong[[#This Row],[kCode]])</f>
        <v>D06-S09-P07-K01</v>
      </c>
      <c r="G1133" s="1" t="str">
        <f>Distrik!F$10</f>
        <v>D06</v>
      </c>
      <c r="H1133" s="1" t="str">
        <f>VLOOKUP(tblCong[[#This Row],[distCode]],tblDistrict[#All],2)</f>
        <v>Ukata</v>
      </c>
      <c r="I1133" s="1" t="str">
        <f>Seket!I$51</f>
        <v>S09</v>
      </c>
      <c r="J1133" s="1" t="str">
        <f>CONCATENATE(tblCong[[#This Row],[distCode]],"-",tblCong[[#This Row],[sCode]])</f>
        <v>D06-S09</v>
      </c>
      <c r="K1133" s="1" t="str">
        <f>VLOOKUP(tblCong[[#This Row],[seketCode]],tblSeket[#All],5,FALSE)</f>
        <v>Teptep</v>
      </c>
      <c r="L1133" s="1" t="str">
        <f>Paris!L$292</f>
        <v>P07</v>
      </c>
      <c r="M1133" s="1" t="str">
        <f>CONCATENATE(tblCong[[#This Row],[seketCode]],"-",tblCong[[#This Row],[pCode]])</f>
        <v>D06-S09-P07</v>
      </c>
      <c r="N1133" s="1" t="str">
        <f>Paris!M$292</f>
        <v>Dinangat</v>
      </c>
      <c r="O1133" s="1" t="s">
        <v>567</v>
      </c>
      <c r="P1133" s="1" t="s">
        <v>1640</v>
      </c>
    </row>
    <row r="1134" spans="6:16" x14ac:dyDescent="0.35">
      <c r="F1134" s="1" t="str">
        <f>CONCATENATE(tblCong[[#This Row],[parishCode]],"-",tblCong[[#This Row],[kCode]])</f>
        <v>D06-S09-P07-K02</v>
      </c>
      <c r="G1134" s="1" t="str">
        <f>Distrik!F$10</f>
        <v>D06</v>
      </c>
      <c r="H1134" s="1" t="str">
        <f>VLOOKUP(tblCong[[#This Row],[distCode]],tblDistrict[#All],2)</f>
        <v>Ukata</v>
      </c>
      <c r="I1134" s="1" t="str">
        <f>Seket!I$51</f>
        <v>S09</v>
      </c>
      <c r="J1134" s="1" t="str">
        <f>CONCATENATE(tblCong[[#This Row],[distCode]],"-",tblCong[[#This Row],[sCode]])</f>
        <v>D06-S09</v>
      </c>
      <c r="K1134" s="1" t="str">
        <f>VLOOKUP(tblCong[[#This Row],[seketCode]],tblSeket[#All],5,FALSE)</f>
        <v>Teptep</v>
      </c>
      <c r="L1134" s="1" t="str">
        <f>Paris!L$292</f>
        <v>P07</v>
      </c>
      <c r="M1134" s="1" t="str">
        <f>CONCATENATE(tblCong[[#This Row],[seketCode]],"-",tblCong[[#This Row],[pCode]])</f>
        <v>D06-S09-P07</v>
      </c>
      <c r="N1134" s="1" t="str">
        <f>Paris!M$292</f>
        <v>Dinangat</v>
      </c>
      <c r="O1134" s="1" t="s">
        <v>569</v>
      </c>
      <c r="P1134" s="1" t="s">
        <v>1641</v>
      </c>
    </row>
    <row r="1135" spans="6:16" x14ac:dyDescent="0.35">
      <c r="F1135" s="1" t="str">
        <f>CONCATENATE(tblCong[[#This Row],[parishCode]],"-",tblCong[[#This Row],[kCode]])</f>
        <v>D06-S09-P07-K03</v>
      </c>
      <c r="G1135" s="1" t="str">
        <f>Distrik!F$10</f>
        <v>D06</v>
      </c>
      <c r="H1135" s="1" t="str">
        <f>VLOOKUP(tblCong[[#This Row],[distCode]],tblDistrict[#All],2)</f>
        <v>Ukata</v>
      </c>
      <c r="I1135" s="1" t="str">
        <f>Seket!I$51</f>
        <v>S09</v>
      </c>
      <c r="J1135" s="1" t="str">
        <f>CONCATENATE(tblCong[[#This Row],[distCode]],"-",tblCong[[#This Row],[sCode]])</f>
        <v>D06-S09</v>
      </c>
      <c r="K1135" s="1" t="str">
        <f>VLOOKUP(tblCong[[#This Row],[seketCode]],tblSeket[#All],5,FALSE)</f>
        <v>Teptep</v>
      </c>
      <c r="L1135" s="1" t="str">
        <f>Paris!L$292</f>
        <v>P07</v>
      </c>
      <c r="M1135" s="1" t="str">
        <f>CONCATENATE(tblCong[[#This Row],[seketCode]],"-",tblCong[[#This Row],[pCode]])</f>
        <v>D06-S09-P07</v>
      </c>
      <c r="N1135" s="1" t="str">
        <f>Paris!M$292</f>
        <v>Dinangat</v>
      </c>
      <c r="O1135" s="1" t="s">
        <v>571</v>
      </c>
      <c r="P1135" s="1" t="s">
        <v>1642</v>
      </c>
    </row>
    <row r="1136" spans="6:16" x14ac:dyDescent="0.35">
      <c r="F1136" s="1" t="str">
        <f>CONCATENATE(tblCong[[#This Row],[parishCode]],"-",tblCong[[#This Row],[kCode]])</f>
        <v>D06-S09-P07-K04</v>
      </c>
      <c r="G1136" s="1" t="str">
        <f>Distrik!F$10</f>
        <v>D06</v>
      </c>
      <c r="H1136" s="1" t="str">
        <f>VLOOKUP(tblCong[[#This Row],[distCode]],tblDistrict[#All],2)</f>
        <v>Ukata</v>
      </c>
      <c r="I1136" s="1" t="str">
        <f>Seket!I$51</f>
        <v>S09</v>
      </c>
      <c r="J1136" s="1" t="str">
        <f>CONCATENATE(tblCong[[#This Row],[distCode]],"-",tblCong[[#This Row],[sCode]])</f>
        <v>D06-S09</v>
      </c>
      <c r="K1136" s="1" t="str">
        <f>VLOOKUP(tblCong[[#This Row],[seketCode]],tblSeket[#All],5,FALSE)</f>
        <v>Teptep</v>
      </c>
      <c r="L1136" s="1" t="str">
        <f>Paris!L$292</f>
        <v>P07</v>
      </c>
      <c r="M1136" s="1" t="str">
        <f>CONCATENATE(tblCong[[#This Row],[seketCode]],"-",tblCong[[#This Row],[pCode]])</f>
        <v>D06-S09-P07</v>
      </c>
      <c r="N1136" s="1" t="str">
        <f>Paris!M$292</f>
        <v>Dinangat</v>
      </c>
      <c r="O1136" s="1" t="s">
        <v>573</v>
      </c>
      <c r="P1136" s="1" t="s">
        <v>1643</v>
      </c>
    </row>
    <row r="1137" spans="6:16" x14ac:dyDescent="0.35">
      <c r="F1137" s="1" t="str">
        <f>CONCATENATE(tblCong[[#This Row],[parishCode]],"-",tblCong[[#This Row],[kCode]])</f>
        <v>D06-S09-P07-K05</v>
      </c>
      <c r="G1137" s="1" t="str">
        <f>Distrik!F$10</f>
        <v>D06</v>
      </c>
      <c r="H1137" s="1" t="str">
        <f>VLOOKUP(tblCong[[#This Row],[distCode]],tblDistrict[#All],2)</f>
        <v>Ukata</v>
      </c>
      <c r="I1137" s="1" t="str">
        <f>Seket!I$51</f>
        <v>S09</v>
      </c>
      <c r="J1137" s="1" t="str">
        <f>CONCATENATE(tblCong[[#This Row],[distCode]],"-",tblCong[[#This Row],[sCode]])</f>
        <v>D06-S09</v>
      </c>
      <c r="K1137" s="1" t="str">
        <f>VLOOKUP(tblCong[[#This Row],[seketCode]],tblSeket[#All],5,FALSE)</f>
        <v>Teptep</v>
      </c>
      <c r="L1137" s="1" t="str">
        <f>Paris!L$292</f>
        <v>P07</v>
      </c>
      <c r="M1137" s="1" t="str">
        <f>CONCATENATE(tblCong[[#This Row],[seketCode]],"-",tblCong[[#This Row],[pCode]])</f>
        <v>D06-S09-P07</v>
      </c>
      <c r="N1137" s="1" t="str">
        <f>Paris!M$292</f>
        <v>Dinangat</v>
      </c>
      <c r="O1137" s="1" t="s">
        <v>575</v>
      </c>
      <c r="P1137" s="1" t="s">
        <v>501</v>
      </c>
    </row>
    <row r="1138" spans="6:16" x14ac:dyDescent="0.35">
      <c r="F1138" s="1" t="str">
        <f>CONCATENATE(tblCong[[#This Row],[parishCode]],"-",tblCong[[#This Row],[kCode]])</f>
        <v>D06-S09-P08-K01</v>
      </c>
      <c r="G1138" s="1" t="str">
        <f>Distrik!F$10</f>
        <v>D06</v>
      </c>
      <c r="H1138" s="1" t="str">
        <f>VLOOKUP(tblCong[[#This Row],[distCode]],tblDistrict[#All],2)</f>
        <v>Ukata</v>
      </c>
      <c r="I1138" s="1" t="str">
        <f>Seket!I$51</f>
        <v>S09</v>
      </c>
      <c r="J1138" s="1" t="str">
        <f>CONCATENATE(tblCong[[#This Row],[distCode]],"-",tblCong[[#This Row],[sCode]])</f>
        <v>D06-S09</v>
      </c>
      <c r="K1138" s="1" t="str">
        <f>VLOOKUP(tblCong[[#This Row],[seketCode]],tblSeket[#All],5,FALSE)</f>
        <v>Teptep</v>
      </c>
      <c r="L1138" s="1" t="str">
        <f>Paris!L$293</f>
        <v>P08</v>
      </c>
      <c r="M1138" s="1" t="str">
        <f>CONCATENATE(tblCong[[#This Row],[seketCode]],"-",tblCong[[#This Row],[pCode]])</f>
        <v>D06-S09-P08</v>
      </c>
      <c r="N1138" s="1" t="str">
        <f>Paris!M$293</f>
        <v>Yau</v>
      </c>
      <c r="O1138" s="1" t="s">
        <v>567</v>
      </c>
      <c r="P1138" s="1" t="s">
        <v>1644</v>
      </c>
    </row>
    <row r="1139" spans="6:16" x14ac:dyDescent="0.35">
      <c r="F1139" s="1" t="str">
        <f>CONCATENATE(tblCong[[#This Row],[parishCode]],"-",tblCong[[#This Row],[kCode]])</f>
        <v>D06-S09-P08-K02</v>
      </c>
      <c r="G1139" s="1" t="str">
        <f>Distrik!F$10</f>
        <v>D06</v>
      </c>
      <c r="H1139" s="1" t="str">
        <f>VLOOKUP(tblCong[[#This Row],[distCode]],tblDistrict[#All],2)</f>
        <v>Ukata</v>
      </c>
      <c r="I1139" s="1" t="str">
        <f>Seket!I$51</f>
        <v>S09</v>
      </c>
      <c r="J1139" s="1" t="str">
        <f>CONCATENATE(tblCong[[#This Row],[distCode]],"-",tblCong[[#This Row],[sCode]])</f>
        <v>D06-S09</v>
      </c>
      <c r="K1139" s="1" t="str">
        <f>VLOOKUP(tblCong[[#This Row],[seketCode]],tblSeket[#All],5,FALSE)</f>
        <v>Teptep</v>
      </c>
      <c r="L1139" s="1" t="str">
        <f>Paris!L$293</f>
        <v>P08</v>
      </c>
      <c r="M1139" s="1" t="str">
        <f>CONCATENATE(tblCong[[#This Row],[seketCode]],"-",tblCong[[#This Row],[pCode]])</f>
        <v>D06-S09-P08</v>
      </c>
      <c r="N1139" s="1" t="str">
        <f>Paris!M$293</f>
        <v>Yau</v>
      </c>
      <c r="O1139" s="1" t="s">
        <v>569</v>
      </c>
      <c r="P1139" s="1" t="s">
        <v>1645</v>
      </c>
    </row>
    <row r="1140" spans="6:16" x14ac:dyDescent="0.35">
      <c r="F1140" s="1" t="str">
        <f>CONCATENATE(tblCong[[#This Row],[parishCode]],"-",tblCong[[#This Row],[kCode]])</f>
        <v>D06-S09-P08-K03</v>
      </c>
      <c r="G1140" s="1" t="str">
        <f>Distrik!F$10</f>
        <v>D06</v>
      </c>
      <c r="H1140" s="1" t="str">
        <f>VLOOKUP(tblCong[[#This Row],[distCode]],tblDistrict[#All],2)</f>
        <v>Ukata</v>
      </c>
      <c r="I1140" s="1" t="str">
        <f>Seket!I$51</f>
        <v>S09</v>
      </c>
      <c r="J1140" s="1" t="str">
        <f>CONCATENATE(tblCong[[#This Row],[distCode]],"-",tblCong[[#This Row],[sCode]])</f>
        <v>D06-S09</v>
      </c>
      <c r="K1140" s="1" t="str">
        <f>VLOOKUP(tblCong[[#This Row],[seketCode]],tblSeket[#All],5,FALSE)</f>
        <v>Teptep</v>
      </c>
      <c r="L1140" s="1" t="str">
        <f>Paris!L$293</f>
        <v>P08</v>
      </c>
      <c r="M1140" s="1" t="str">
        <f>CONCATENATE(tblCong[[#This Row],[seketCode]],"-",tblCong[[#This Row],[pCode]])</f>
        <v>D06-S09-P08</v>
      </c>
      <c r="N1140" s="1" t="str">
        <f>Paris!M$293</f>
        <v>Yau</v>
      </c>
      <c r="O1140" s="1" t="s">
        <v>571</v>
      </c>
      <c r="P1140" s="1" t="s">
        <v>1646</v>
      </c>
    </row>
    <row r="1141" spans="6:16" x14ac:dyDescent="0.35">
      <c r="F1141" s="1" t="str">
        <f>CONCATENATE(tblCong[[#This Row],[parishCode]],"-",tblCong[[#This Row],[kCode]])</f>
        <v>D06-S09-P08-K04</v>
      </c>
      <c r="G1141" s="1" t="str">
        <f>Distrik!F$10</f>
        <v>D06</v>
      </c>
      <c r="H1141" s="1" t="str">
        <f>VLOOKUP(tblCong[[#This Row],[distCode]],tblDistrict[#All],2)</f>
        <v>Ukata</v>
      </c>
      <c r="I1141" s="1" t="str">
        <f>Seket!I$51</f>
        <v>S09</v>
      </c>
      <c r="J1141" s="1" t="str">
        <f>CONCATENATE(tblCong[[#This Row],[distCode]],"-",tblCong[[#This Row],[sCode]])</f>
        <v>D06-S09</v>
      </c>
      <c r="K1141" s="1" t="str">
        <f>VLOOKUP(tblCong[[#This Row],[seketCode]],tblSeket[#All],5,FALSE)</f>
        <v>Teptep</v>
      </c>
      <c r="L1141" s="1" t="str">
        <f>Paris!L$293</f>
        <v>P08</v>
      </c>
      <c r="M1141" s="1" t="str">
        <f>CONCATENATE(tblCong[[#This Row],[seketCode]],"-",tblCong[[#This Row],[pCode]])</f>
        <v>D06-S09-P08</v>
      </c>
      <c r="N1141" s="1" t="str">
        <f>Paris!M$293</f>
        <v>Yau</v>
      </c>
      <c r="O1141" s="1" t="s">
        <v>573</v>
      </c>
      <c r="P1141" s="1" t="s">
        <v>1647</v>
      </c>
    </row>
    <row r="1142" spans="6:16" x14ac:dyDescent="0.35">
      <c r="F1142" s="1" t="str">
        <f>CONCATENATE(tblCong[[#This Row],[parishCode]],"-",tblCong[[#This Row],[kCode]])</f>
        <v>D06-S09-P08-K05</v>
      </c>
      <c r="G1142" s="1" t="str">
        <f>Distrik!F$10</f>
        <v>D06</v>
      </c>
      <c r="H1142" s="1" t="str">
        <f>VLOOKUP(tblCong[[#This Row],[distCode]],tblDistrict[#All],2)</f>
        <v>Ukata</v>
      </c>
      <c r="I1142" s="1" t="str">
        <f>Seket!I$51</f>
        <v>S09</v>
      </c>
      <c r="J1142" s="1" t="str">
        <f>CONCATENATE(tblCong[[#This Row],[distCode]],"-",tblCong[[#This Row],[sCode]])</f>
        <v>D06-S09</v>
      </c>
      <c r="K1142" s="1" t="str">
        <f>VLOOKUP(tblCong[[#This Row],[seketCode]],tblSeket[#All],5,FALSE)</f>
        <v>Teptep</v>
      </c>
      <c r="L1142" s="1" t="str">
        <f>Paris!L$293</f>
        <v>P08</v>
      </c>
      <c r="M1142" s="1" t="str">
        <f>CONCATENATE(tblCong[[#This Row],[seketCode]],"-",tblCong[[#This Row],[pCode]])</f>
        <v>D06-S09-P08</v>
      </c>
      <c r="N1142" s="1" t="str">
        <f>Paris!M$293</f>
        <v>Yau</v>
      </c>
      <c r="O1142" s="1" t="s">
        <v>575</v>
      </c>
      <c r="P1142" s="1" t="s">
        <v>1648</v>
      </c>
    </row>
    <row r="1143" spans="6:16" x14ac:dyDescent="0.35">
      <c r="F1143" s="1" t="str">
        <f>CONCATENATE(tblCong[[#This Row],[parishCode]],"-",tblCong[[#This Row],[kCode]])</f>
        <v>D06-S09-P08-K06</v>
      </c>
      <c r="G1143" s="1" t="str">
        <f>Distrik!F$10</f>
        <v>D06</v>
      </c>
      <c r="H1143" s="1" t="str">
        <f>VLOOKUP(tblCong[[#This Row],[distCode]],tblDistrict[#All],2)</f>
        <v>Ukata</v>
      </c>
      <c r="I1143" s="1" t="str">
        <f>Seket!I$51</f>
        <v>S09</v>
      </c>
      <c r="J1143" s="1" t="str">
        <f>CONCATENATE(tblCong[[#This Row],[distCode]],"-",tblCong[[#This Row],[sCode]])</f>
        <v>D06-S09</v>
      </c>
      <c r="K1143" s="1" t="str">
        <f>VLOOKUP(tblCong[[#This Row],[seketCode]],tblSeket[#All],5,FALSE)</f>
        <v>Teptep</v>
      </c>
      <c r="L1143" s="1" t="str">
        <f>Paris!L$293</f>
        <v>P08</v>
      </c>
      <c r="M1143" s="1" t="str">
        <f>CONCATENATE(tblCong[[#This Row],[seketCode]],"-",tblCong[[#This Row],[pCode]])</f>
        <v>D06-S09-P08</v>
      </c>
      <c r="N1143" s="1" t="str">
        <f>Paris!M$293</f>
        <v>Yau</v>
      </c>
      <c r="O1143" s="1" t="s">
        <v>576</v>
      </c>
      <c r="P1143" s="1" t="s">
        <v>1649</v>
      </c>
    </row>
    <row r="1144" spans="6:16" x14ac:dyDescent="0.35">
      <c r="F1144" s="1" t="str">
        <f>CONCATENATE(tblCong[[#This Row],[parishCode]],"-",tblCong[[#This Row],[kCode]])</f>
        <v>D06-S09-P08-K07</v>
      </c>
      <c r="G1144" s="1" t="str">
        <f>Distrik!F$10</f>
        <v>D06</v>
      </c>
      <c r="H1144" s="1" t="str">
        <f>VLOOKUP(tblCong[[#This Row],[distCode]],tblDistrict[#All],2)</f>
        <v>Ukata</v>
      </c>
      <c r="I1144" s="1" t="str">
        <f>Seket!I$51</f>
        <v>S09</v>
      </c>
      <c r="J1144" s="1" t="str">
        <f>CONCATENATE(tblCong[[#This Row],[distCode]],"-",tblCong[[#This Row],[sCode]])</f>
        <v>D06-S09</v>
      </c>
      <c r="K1144" s="1" t="str">
        <f>VLOOKUP(tblCong[[#This Row],[seketCode]],tblSeket[#All],5,FALSE)</f>
        <v>Teptep</v>
      </c>
      <c r="L1144" s="1" t="str">
        <f>Paris!L$293</f>
        <v>P08</v>
      </c>
      <c r="M1144" s="1" t="str">
        <f>CONCATENATE(tblCong[[#This Row],[seketCode]],"-",tblCong[[#This Row],[pCode]])</f>
        <v>D06-S09-P08</v>
      </c>
      <c r="N1144" s="1" t="str">
        <f>Paris!M$293</f>
        <v>Yau</v>
      </c>
      <c r="O1144" s="1" t="s">
        <v>578</v>
      </c>
      <c r="P1144" s="1" t="s">
        <v>1650</v>
      </c>
    </row>
    <row r="1145" spans="6:16" x14ac:dyDescent="0.35">
      <c r="F1145" s="1" t="str">
        <f>CONCATENATE(tblCong[[#This Row],[parishCode]],"-",tblCong[[#This Row],[kCode]])</f>
        <v>D06-S09-P08-K08</v>
      </c>
      <c r="G1145" s="1" t="str">
        <f>Distrik!F$10</f>
        <v>D06</v>
      </c>
      <c r="H1145" s="1" t="str">
        <f>VLOOKUP(tblCong[[#This Row],[distCode]],tblDistrict[#All],2)</f>
        <v>Ukata</v>
      </c>
      <c r="I1145" s="1" t="str">
        <f>Seket!I$51</f>
        <v>S09</v>
      </c>
      <c r="J1145" s="1" t="str">
        <f>CONCATENATE(tblCong[[#This Row],[distCode]],"-",tblCong[[#This Row],[sCode]])</f>
        <v>D06-S09</v>
      </c>
      <c r="K1145" s="1" t="str">
        <f>VLOOKUP(tblCong[[#This Row],[seketCode]],tblSeket[#All],5,FALSE)</f>
        <v>Teptep</v>
      </c>
      <c r="L1145" s="1" t="str">
        <f>Paris!L$293</f>
        <v>P08</v>
      </c>
      <c r="M1145" s="1" t="str">
        <f>CONCATENATE(tblCong[[#This Row],[seketCode]],"-",tblCong[[#This Row],[pCode]])</f>
        <v>D06-S09-P08</v>
      </c>
      <c r="N1145" s="1" t="str">
        <f>Paris!M$293</f>
        <v>Yau</v>
      </c>
      <c r="O1145" s="1" t="s">
        <v>651</v>
      </c>
      <c r="P1145" s="1" t="s">
        <v>1651</v>
      </c>
    </row>
    <row r="1146" spans="6:16" x14ac:dyDescent="0.35">
      <c r="F1146" s="1" t="str">
        <f>CONCATENATE(tblCong[[#This Row],[parishCode]],"-",tblCong[[#This Row],[kCode]])</f>
        <v>D06-S09-P08-K09</v>
      </c>
      <c r="G1146" s="1" t="str">
        <f>Distrik!F$10</f>
        <v>D06</v>
      </c>
      <c r="H1146" s="1" t="str">
        <f>VLOOKUP(tblCong[[#This Row],[distCode]],tblDistrict[#All],2)</f>
        <v>Ukata</v>
      </c>
      <c r="I1146" s="1" t="str">
        <f>Seket!I$51</f>
        <v>S09</v>
      </c>
      <c r="J1146" s="1" t="str">
        <f>CONCATENATE(tblCong[[#This Row],[distCode]],"-",tblCong[[#This Row],[sCode]])</f>
        <v>D06-S09</v>
      </c>
      <c r="K1146" s="1" t="str">
        <f>VLOOKUP(tblCong[[#This Row],[seketCode]],tblSeket[#All],5,FALSE)</f>
        <v>Teptep</v>
      </c>
      <c r="L1146" s="1" t="str">
        <f>Paris!L$293</f>
        <v>P08</v>
      </c>
      <c r="M1146" s="1" t="str">
        <f>CONCATENATE(tblCong[[#This Row],[seketCode]],"-",tblCong[[#This Row],[pCode]])</f>
        <v>D06-S09-P08</v>
      </c>
      <c r="N1146" s="1" t="str">
        <f>Paris!M$293</f>
        <v>Yau</v>
      </c>
      <c r="O1146" s="1" t="s">
        <v>653</v>
      </c>
      <c r="P1146" s="1" t="s">
        <v>1652</v>
      </c>
    </row>
    <row r="1147" spans="6:16" x14ac:dyDescent="0.35">
      <c r="F1147" s="1" t="str">
        <f>CONCATENATE(tblCong[[#This Row],[parishCode]],"-",tblCong[[#This Row],[kCode]])</f>
        <v>D06-S09-P08-K10</v>
      </c>
      <c r="G1147" s="1" t="str">
        <f>Distrik!F$10</f>
        <v>D06</v>
      </c>
      <c r="H1147" s="1" t="str">
        <f>VLOOKUP(tblCong[[#This Row],[distCode]],tblDistrict[#All],2)</f>
        <v>Ukata</v>
      </c>
      <c r="I1147" s="1" t="str">
        <f>Seket!I$51</f>
        <v>S09</v>
      </c>
      <c r="J1147" s="1" t="str">
        <f>CONCATENATE(tblCong[[#This Row],[distCode]],"-",tblCong[[#This Row],[sCode]])</f>
        <v>D06-S09</v>
      </c>
      <c r="K1147" s="1" t="str">
        <f>VLOOKUP(tblCong[[#This Row],[seketCode]],tblSeket[#All],5,FALSE)</f>
        <v>Teptep</v>
      </c>
      <c r="L1147" s="1" t="str">
        <f>Paris!L$293</f>
        <v>P08</v>
      </c>
      <c r="M1147" s="1" t="str">
        <f>CONCATENATE(tblCong[[#This Row],[seketCode]],"-",tblCong[[#This Row],[pCode]])</f>
        <v>D06-S09-P08</v>
      </c>
      <c r="N1147" s="1" t="str">
        <f>Paris!M$293</f>
        <v>Yau</v>
      </c>
      <c r="O1147" s="1" t="s">
        <v>655</v>
      </c>
      <c r="P1147" s="1" t="s">
        <v>1653</v>
      </c>
    </row>
    <row r="1148" spans="6:16" x14ac:dyDescent="0.35">
      <c r="F1148" s="1" t="str">
        <f>CONCATENATE(tblCong[[#This Row],[parishCode]],"-",tblCong[[#This Row],[kCode]])</f>
        <v>D06-S09-P08-K11</v>
      </c>
      <c r="G1148" s="1" t="str">
        <f>Distrik!F$10</f>
        <v>D06</v>
      </c>
      <c r="H1148" s="1" t="str">
        <f>VLOOKUP(tblCong[[#This Row],[distCode]],tblDistrict[#All],2)</f>
        <v>Ukata</v>
      </c>
      <c r="I1148" s="1" t="str">
        <f>Seket!I$51</f>
        <v>S09</v>
      </c>
      <c r="J1148" s="1" t="str">
        <f>CONCATENATE(tblCong[[#This Row],[distCode]],"-",tblCong[[#This Row],[sCode]])</f>
        <v>D06-S09</v>
      </c>
      <c r="K1148" s="1" t="str">
        <f>VLOOKUP(tblCong[[#This Row],[seketCode]],tblSeket[#All],5,FALSE)</f>
        <v>Teptep</v>
      </c>
      <c r="L1148" s="1" t="str">
        <f>Paris!L$293</f>
        <v>P08</v>
      </c>
      <c r="M1148" s="1" t="str">
        <f>CONCATENATE(tblCong[[#This Row],[seketCode]],"-",tblCong[[#This Row],[pCode]])</f>
        <v>D06-S09-P08</v>
      </c>
      <c r="N1148" s="1" t="str">
        <f>Paris!M$293</f>
        <v>Yau</v>
      </c>
      <c r="O1148" s="1" t="s">
        <v>1013</v>
      </c>
      <c r="P1148" s="1" t="s">
        <v>1654</v>
      </c>
    </row>
    <row r="1149" spans="6:16" x14ac:dyDescent="0.35">
      <c r="F1149" s="1" t="str">
        <f>CONCATENATE(tblCong[[#This Row],[parishCode]],"-",tblCong[[#This Row],[kCode]])</f>
        <v>D06-S09-P08-K12</v>
      </c>
      <c r="G1149" s="1" t="str">
        <f>Distrik!F$10</f>
        <v>D06</v>
      </c>
      <c r="H1149" s="1" t="str">
        <f>VLOOKUP(tblCong[[#This Row],[distCode]],tblDistrict[#All],2)</f>
        <v>Ukata</v>
      </c>
      <c r="I1149" s="1" t="str">
        <f>Seket!I$51</f>
        <v>S09</v>
      </c>
      <c r="J1149" s="1" t="str">
        <f>CONCATENATE(tblCong[[#This Row],[distCode]],"-",tblCong[[#This Row],[sCode]])</f>
        <v>D06-S09</v>
      </c>
      <c r="K1149" s="1" t="str">
        <f>VLOOKUP(tblCong[[#This Row],[seketCode]],tblSeket[#All],5,FALSE)</f>
        <v>Teptep</v>
      </c>
      <c r="L1149" s="1" t="str">
        <f>Paris!L$293</f>
        <v>P08</v>
      </c>
      <c r="M1149" s="1" t="str">
        <f>CONCATENATE(tblCong[[#This Row],[seketCode]],"-",tblCong[[#This Row],[pCode]])</f>
        <v>D06-S09-P08</v>
      </c>
      <c r="N1149" s="1" t="str">
        <f>Paris!M$293</f>
        <v>Yau</v>
      </c>
      <c r="O1149" s="1" t="s">
        <v>1015</v>
      </c>
      <c r="P1149" s="1" t="s">
        <v>1655</v>
      </c>
    </row>
    <row r="1150" spans="6:16" x14ac:dyDescent="0.35">
      <c r="F1150" s="1" t="str">
        <f>CONCATENATE(tblCong[[#This Row],[parishCode]],"-",tblCong[[#This Row],[kCode]])</f>
        <v>D06-S10-P01-K01</v>
      </c>
      <c r="G1150" s="1" t="str">
        <f>Distrik!F$10</f>
        <v>D06</v>
      </c>
      <c r="H1150" s="1" t="str">
        <f>VLOOKUP(tblCong[[#This Row],[distCode]],tblDistrict[#All],2)</f>
        <v>Ukata</v>
      </c>
      <c r="I1150" s="1" t="str">
        <f>Seket!I$52</f>
        <v>S10</v>
      </c>
      <c r="J1150" s="1" t="str">
        <f>CONCATENATE(tblCong[[#This Row],[distCode]],"-",tblCong[[#This Row],[sCode]])</f>
        <v>D06-S10</v>
      </c>
      <c r="K1150" s="1" t="str">
        <f>VLOOKUP(tblCong[[#This Row],[seketCode]],tblSeket[#All],5,FALSE)</f>
        <v>Nankina</v>
      </c>
      <c r="L1150" s="1" t="str">
        <f>Paris!L$294</f>
        <v>P01</v>
      </c>
      <c r="M1150" s="1" t="str">
        <f>CONCATENATE(tblCong[[#This Row],[seketCode]],"-",tblCong[[#This Row],[pCode]])</f>
        <v>D06-S10-P01</v>
      </c>
      <c r="N1150" s="1" t="str">
        <f>Paris!M$294</f>
        <v>Matamo</v>
      </c>
      <c r="O1150" s="1" t="s">
        <v>567</v>
      </c>
      <c r="P1150" s="1" t="s">
        <v>1656</v>
      </c>
    </row>
    <row r="1151" spans="6:16" x14ac:dyDescent="0.35">
      <c r="F1151" s="1" t="str">
        <f>CONCATENATE(tblCong[[#This Row],[parishCode]],"-",tblCong[[#This Row],[kCode]])</f>
        <v>D06-S10-P01-K02</v>
      </c>
      <c r="G1151" s="1" t="str">
        <f>Distrik!F$10</f>
        <v>D06</v>
      </c>
      <c r="H1151" s="1" t="str">
        <f>VLOOKUP(tblCong[[#This Row],[distCode]],tblDistrict[#All],2)</f>
        <v>Ukata</v>
      </c>
      <c r="I1151" s="1" t="str">
        <f>Seket!I$52</f>
        <v>S10</v>
      </c>
      <c r="J1151" s="1" t="str">
        <f>CONCATENATE(tblCong[[#This Row],[distCode]],"-",tblCong[[#This Row],[sCode]])</f>
        <v>D06-S10</v>
      </c>
      <c r="K1151" s="1" t="str">
        <f>VLOOKUP(tblCong[[#This Row],[seketCode]],tblSeket[#All],5,FALSE)</f>
        <v>Nankina</v>
      </c>
      <c r="L1151" s="1" t="str">
        <f>Paris!L$294</f>
        <v>P01</v>
      </c>
      <c r="M1151" s="1" t="str">
        <f>CONCATENATE(tblCong[[#This Row],[seketCode]],"-",tblCong[[#This Row],[pCode]])</f>
        <v>D06-S10-P01</v>
      </c>
      <c r="N1151" s="1" t="str">
        <f>Paris!M$294</f>
        <v>Matamo</v>
      </c>
      <c r="O1151" s="1" t="s">
        <v>569</v>
      </c>
      <c r="P1151" s="1" t="s">
        <v>1657</v>
      </c>
    </row>
    <row r="1152" spans="6:16" x14ac:dyDescent="0.35">
      <c r="F1152" s="1" t="str">
        <f>CONCATENATE(tblCong[[#This Row],[parishCode]],"-",tblCong[[#This Row],[kCode]])</f>
        <v>D06-S10-P01-K03</v>
      </c>
      <c r="G1152" s="1" t="str">
        <f>Distrik!F$10</f>
        <v>D06</v>
      </c>
      <c r="H1152" s="1" t="str">
        <f>VLOOKUP(tblCong[[#This Row],[distCode]],tblDistrict[#All],2)</f>
        <v>Ukata</v>
      </c>
      <c r="I1152" s="1" t="str">
        <f>Seket!I$52</f>
        <v>S10</v>
      </c>
      <c r="J1152" s="1" t="str">
        <f>CONCATENATE(tblCong[[#This Row],[distCode]],"-",tblCong[[#This Row],[sCode]])</f>
        <v>D06-S10</v>
      </c>
      <c r="K1152" s="1" t="str">
        <f>VLOOKUP(tblCong[[#This Row],[seketCode]],tblSeket[#All],5,FALSE)</f>
        <v>Nankina</v>
      </c>
      <c r="L1152" s="1" t="str">
        <f>Paris!L$294</f>
        <v>P01</v>
      </c>
      <c r="M1152" s="1" t="str">
        <f>CONCATENATE(tblCong[[#This Row],[seketCode]],"-",tblCong[[#This Row],[pCode]])</f>
        <v>D06-S10-P01</v>
      </c>
      <c r="N1152" s="1" t="str">
        <f>Paris!M$294</f>
        <v>Matamo</v>
      </c>
      <c r="O1152" s="1" t="s">
        <v>571</v>
      </c>
      <c r="P1152" s="1" t="s">
        <v>1658</v>
      </c>
    </row>
    <row r="1153" spans="6:16" x14ac:dyDescent="0.35">
      <c r="F1153" s="1" t="str">
        <f>CONCATENATE(tblCong[[#This Row],[parishCode]],"-",tblCong[[#This Row],[kCode]])</f>
        <v>D06-S10-P01-K04</v>
      </c>
      <c r="G1153" s="1" t="str">
        <f>Distrik!F$10</f>
        <v>D06</v>
      </c>
      <c r="H1153" s="1" t="str">
        <f>VLOOKUP(tblCong[[#This Row],[distCode]],tblDistrict[#All],2)</f>
        <v>Ukata</v>
      </c>
      <c r="I1153" s="1" t="str">
        <f>Seket!I$52</f>
        <v>S10</v>
      </c>
      <c r="J1153" s="1" t="str">
        <f>CONCATENATE(tblCong[[#This Row],[distCode]],"-",tblCong[[#This Row],[sCode]])</f>
        <v>D06-S10</v>
      </c>
      <c r="K1153" s="1" t="str">
        <f>VLOOKUP(tblCong[[#This Row],[seketCode]],tblSeket[#All],5,FALSE)</f>
        <v>Nankina</v>
      </c>
      <c r="L1153" s="1" t="str">
        <f>Paris!L$294</f>
        <v>P01</v>
      </c>
      <c r="M1153" s="1" t="str">
        <f>CONCATENATE(tblCong[[#This Row],[seketCode]],"-",tblCong[[#This Row],[pCode]])</f>
        <v>D06-S10-P01</v>
      </c>
      <c r="N1153" s="1" t="str">
        <f>Paris!M$294</f>
        <v>Matamo</v>
      </c>
      <c r="O1153" s="1" t="s">
        <v>573</v>
      </c>
      <c r="P1153" s="1" t="s">
        <v>1659</v>
      </c>
    </row>
    <row r="1154" spans="6:16" x14ac:dyDescent="0.35">
      <c r="F1154" s="1" t="str">
        <f>CONCATENATE(tblCong[[#This Row],[parishCode]],"-",tblCong[[#This Row],[kCode]])</f>
        <v>D06-S10-P01-K05</v>
      </c>
      <c r="G1154" s="1" t="str">
        <f>Distrik!F$10</f>
        <v>D06</v>
      </c>
      <c r="H1154" s="1" t="str">
        <f>VLOOKUP(tblCong[[#This Row],[distCode]],tblDistrict[#All],2)</f>
        <v>Ukata</v>
      </c>
      <c r="I1154" s="1" t="str">
        <f>Seket!I$52</f>
        <v>S10</v>
      </c>
      <c r="J1154" s="1" t="str">
        <f>CONCATENATE(tblCong[[#This Row],[distCode]],"-",tblCong[[#This Row],[sCode]])</f>
        <v>D06-S10</v>
      </c>
      <c r="K1154" s="1" t="str">
        <f>VLOOKUP(tblCong[[#This Row],[seketCode]],tblSeket[#All],5,FALSE)</f>
        <v>Nankina</v>
      </c>
      <c r="L1154" s="1" t="str">
        <f>Paris!L$294</f>
        <v>P01</v>
      </c>
      <c r="M1154" s="1" t="str">
        <f>CONCATENATE(tblCong[[#This Row],[seketCode]],"-",tblCong[[#This Row],[pCode]])</f>
        <v>D06-S10-P01</v>
      </c>
      <c r="N1154" s="1" t="str">
        <f>Paris!M$294</f>
        <v>Matamo</v>
      </c>
      <c r="O1154" s="1" t="s">
        <v>575</v>
      </c>
      <c r="P1154" s="1" t="s">
        <v>1660</v>
      </c>
    </row>
    <row r="1155" spans="6:16" x14ac:dyDescent="0.35">
      <c r="F1155" s="1" t="str">
        <f>CONCATENATE(tblCong[[#This Row],[parishCode]],"-",tblCong[[#This Row],[kCode]])</f>
        <v>D06-S10-P01-K06</v>
      </c>
      <c r="G1155" s="1" t="str">
        <f>Distrik!F$10</f>
        <v>D06</v>
      </c>
      <c r="H1155" s="1" t="str">
        <f>VLOOKUP(tblCong[[#This Row],[distCode]],tblDistrict[#All],2)</f>
        <v>Ukata</v>
      </c>
      <c r="I1155" s="1" t="str">
        <f>Seket!I$52</f>
        <v>S10</v>
      </c>
      <c r="J1155" s="1" t="str">
        <f>CONCATENATE(tblCong[[#This Row],[distCode]],"-",tblCong[[#This Row],[sCode]])</f>
        <v>D06-S10</v>
      </c>
      <c r="K1155" s="1" t="str">
        <f>VLOOKUP(tblCong[[#This Row],[seketCode]],tblSeket[#All],5,FALSE)</f>
        <v>Nankina</v>
      </c>
      <c r="L1155" s="1" t="str">
        <f>Paris!L$294</f>
        <v>P01</v>
      </c>
      <c r="M1155" s="1" t="str">
        <f>CONCATENATE(tblCong[[#This Row],[seketCode]],"-",tblCong[[#This Row],[pCode]])</f>
        <v>D06-S10-P01</v>
      </c>
      <c r="N1155" s="1" t="str">
        <f>Paris!M$294</f>
        <v>Matamo</v>
      </c>
      <c r="O1155" s="1" t="s">
        <v>576</v>
      </c>
      <c r="P1155" s="1" t="s">
        <v>1661</v>
      </c>
    </row>
    <row r="1156" spans="6:16" x14ac:dyDescent="0.35">
      <c r="F1156" s="1" t="str">
        <f>CONCATENATE(tblCong[[#This Row],[parishCode]],"-",tblCong[[#This Row],[kCode]])</f>
        <v>D06-S10-P01-K07</v>
      </c>
      <c r="G1156" s="1" t="str">
        <f>Distrik!F$10</f>
        <v>D06</v>
      </c>
      <c r="H1156" s="1" t="str">
        <f>VLOOKUP(tblCong[[#This Row],[distCode]],tblDistrict[#All],2)</f>
        <v>Ukata</v>
      </c>
      <c r="I1156" s="1" t="str">
        <f>Seket!I$52</f>
        <v>S10</v>
      </c>
      <c r="J1156" s="1" t="str">
        <f>CONCATENATE(tblCong[[#This Row],[distCode]],"-",tblCong[[#This Row],[sCode]])</f>
        <v>D06-S10</v>
      </c>
      <c r="K1156" s="1" t="str">
        <f>VLOOKUP(tblCong[[#This Row],[seketCode]],tblSeket[#All],5,FALSE)</f>
        <v>Nankina</v>
      </c>
      <c r="L1156" s="1" t="str">
        <f>Paris!L$294</f>
        <v>P01</v>
      </c>
      <c r="M1156" s="1" t="str">
        <f>CONCATENATE(tblCong[[#This Row],[seketCode]],"-",tblCong[[#This Row],[pCode]])</f>
        <v>D06-S10-P01</v>
      </c>
      <c r="N1156" s="1" t="str">
        <f>Paris!M$294</f>
        <v>Matamo</v>
      </c>
      <c r="O1156" s="1" t="s">
        <v>578</v>
      </c>
      <c r="P1156" s="1" t="s">
        <v>1662</v>
      </c>
    </row>
    <row r="1157" spans="6:16" x14ac:dyDescent="0.35">
      <c r="F1157" s="1" t="str">
        <f>CONCATENATE(tblCong[[#This Row],[parishCode]],"-",tblCong[[#This Row],[kCode]])</f>
        <v>D06-S10-P02-K01</v>
      </c>
      <c r="G1157" s="1" t="str">
        <f>Distrik!F$10</f>
        <v>D06</v>
      </c>
      <c r="H1157" s="1" t="str">
        <f>VLOOKUP(tblCong[[#This Row],[distCode]],tblDistrict[#All],2)</f>
        <v>Ukata</v>
      </c>
      <c r="I1157" s="1" t="str">
        <f>Seket!I$52</f>
        <v>S10</v>
      </c>
      <c r="J1157" s="1" t="str">
        <f>CONCATENATE(tblCong[[#This Row],[distCode]],"-",tblCong[[#This Row],[sCode]])</f>
        <v>D06-S10</v>
      </c>
      <c r="K1157" s="1" t="str">
        <f>VLOOKUP(tblCong[[#This Row],[seketCode]],tblSeket[#All],5,FALSE)</f>
        <v>Nankina</v>
      </c>
      <c r="L1157" s="1" t="str">
        <f>Paris!L$295</f>
        <v>P02</v>
      </c>
      <c r="M1157" s="1" t="str">
        <f>CONCATENATE(tblCong[[#This Row],[seketCode]],"-",tblCong[[#This Row],[pCode]])</f>
        <v>D06-S10-P02</v>
      </c>
      <c r="N1157" s="1" t="str">
        <f>Paris!M$295</f>
        <v>Umbek</v>
      </c>
      <c r="O1157" s="1" t="s">
        <v>567</v>
      </c>
      <c r="P1157" s="1" t="s">
        <v>1663</v>
      </c>
    </row>
    <row r="1158" spans="6:16" x14ac:dyDescent="0.35">
      <c r="F1158" s="1" t="str">
        <f>CONCATENATE(tblCong[[#This Row],[parishCode]],"-",tblCong[[#This Row],[kCode]])</f>
        <v>D06-S10-P02-K02</v>
      </c>
      <c r="G1158" s="1" t="str">
        <f>Distrik!F$10</f>
        <v>D06</v>
      </c>
      <c r="H1158" s="1" t="str">
        <f>VLOOKUP(tblCong[[#This Row],[distCode]],tblDistrict[#All],2)</f>
        <v>Ukata</v>
      </c>
      <c r="I1158" s="1" t="str">
        <f>Seket!I$52</f>
        <v>S10</v>
      </c>
      <c r="J1158" s="1" t="str">
        <f>CONCATENATE(tblCong[[#This Row],[distCode]],"-",tblCong[[#This Row],[sCode]])</f>
        <v>D06-S10</v>
      </c>
      <c r="K1158" s="1" t="str">
        <f>VLOOKUP(tblCong[[#This Row],[seketCode]],tblSeket[#All],5,FALSE)</f>
        <v>Nankina</v>
      </c>
      <c r="L1158" s="1" t="str">
        <f>Paris!L$295</f>
        <v>P02</v>
      </c>
      <c r="M1158" s="1" t="str">
        <f>CONCATENATE(tblCong[[#This Row],[seketCode]],"-",tblCong[[#This Row],[pCode]])</f>
        <v>D06-S10-P02</v>
      </c>
      <c r="N1158" s="1" t="str">
        <f>Paris!M$295</f>
        <v>Umbek</v>
      </c>
      <c r="O1158" s="1" t="s">
        <v>569</v>
      </c>
      <c r="P1158" s="1" t="s">
        <v>1168</v>
      </c>
    </row>
    <row r="1159" spans="6:16" x14ac:dyDescent="0.35">
      <c r="F1159" s="1" t="str">
        <f>CONCATENATE(tblCong[[#This Row],[parishCode]],"-",tblCong[[#This Row],[kCode]])</f>
        <v>D06-S10-P02-K03</v>
      </c>
      <c r="G1159" s="1" t="str">
        <f>Distrik!F$10</f>
        <v>D06</v>
      </c>
      <c r="H1159" s="1" t="str">
        <f>VLOOKUP(tblCong[[#This Row],[distCode]],tblDistrict[#All],2)</f>
        <v>Ukata</v>
      </c>
      <c r="I1159" s="1" t="str">
        <f>Seket!I$52</f>
        <v>S10</v>
      </c>
      <c r="J1159" s="1" t="str">
        <f>CONCATENATE(tblCong[[#This Row],[distCode]],"-",tblCong[[#This Row],[sCode]])</f>
        <v>D06-S10</v>
      </c>
      <c r="K1159" s="1" t="str">
        <f>VLOOKUP(tblCong[[#This Row],[seketCode]],tblSeket[#All],5,FALSE)</f>
        <v>Nankina</v>
      </c>
      <c r="L1159" s="1" t="str">
        <f>Paris!L$295</f>
        <v>P02</v>
      </c>
      <c r="M1159" s="1" t="str">
        <f>CONCATENATE(tblCong[[#This Row],[seketCode]],"-",tblCong[[#This Row],[pCode]])</f>
        <v>D06-S10-P02</v>
      </c>
      <c r="N1159" s="1" t="str">
        <f>Paris!M$295</f>
        <v>Umbek</v>
      </c>
      <c r="O1159" s="1" t="s">
        <v>571</v>
      </c>
      <c r="P1159" s="1" t="s">
        <v>1664</v>
      </c>
    </row>
    <row r="1160" spans="6:16" x14ac:dyDescent="0.35">
      <c r="F1160" s="1" t="str">
        <f>CONCATENATE(tblCong[[#This Row],[parishCode]],"-",tblCong[[#This Row],[kCode]])</f>
        <v>D06-S10-P02-K04</v>
      </c>
      <c r="G1160" s="1" t="str">
        <f>Distrik!F$10</f>
        <v>D06</v>
      </c>
      <c r="H1160" s="1" t="str">
        <f>VLOOKUP(tblCong[[#This Row],[distCode]],tblDistrict[#All],2)</f>
        <v>Ukata</v>
      </c>
      <c r="I1160" s="1" t="str">
        <f>Seket!I$52</f>
        <v>S10</v>
      </c>
      <c r="J1160" s="1" t="str">
        <f>CONCATENATE(tblCong[[#This Row],[distCode]],"-",tblCong[[#This Row],[sCode]])</f>
        <v>D06-S10</v>
      </c>
      <c r="K1160" s="1" t="str">
        <f>VLOOKUP(tblCong[[#This Row],[seketCode]],tblSeket[#All],5,FALSE)</f>
        <v>Nankina</v>
      </c>
      <c r="L1160" s="1" t="str">
        <f>Paris!L$295</f>
        <v>P02</v>
      </c>
      <c r="M1160" s="1" t="str">
        <f>CONCATENATE(tblCong[[#This Row],[seketCode]],"-",tblCong[[#This Row],[pCode]])</f>
        <v>D06-S10-P02</v>
      </c>
      <c r="N1160" s="1" t="str">
        <f>Paris!M$295</f>
        <v>Umbek</v>
      </c>
      <c r="O1160" s="1" t="s">
        <v>573</v>
      </c>
      <c r="P1160" s="1" t="s">
        <v>1665</v>
      </c>
    </row>
    <row r="1161" spans="6:16" x14ac:dyDescent="0.35">
      <c r="F1161" s="1" t="str">
        <f>CONCATENATE(tblCong[[#This Row],[parishCode]],"-",tblCong[[#This Row],[kCode]])</f>
        <v>D06-S10-P02-K05</v>
      </c>
      <c r="G1161" s="1" t="str">
        <f>Distrik!F$10</f>
        <v>D06</v>
      </c>
      <c r="H1161" s="1" t="str">
        <f>VLOOKUP(tblCong[[#This Row],[distCode]],tblDistrict[#All],2)</f>
        <v>Ukata</v>
      </c>
      <c r="I1161" s="1" t="str">
        <f>Seket!I$52</f>
        <v>S10</v>
      </c>
      <c r="J1161" s="1" t="str">
        <f>CONCATENATE(tblCong[[#This Row],[distCode]],"-",tblCong[[#This Row],[sCode]])</f>
        <v>D06-S10</v>
      </c>
      <c r="K1161" s="1" t="str">
        <f>VLOOKUP(tblCong[[#This Row],[seketCode]],tblSeket[#All],5,FALSE)</f>
        <v>Nankina</v>
      </c>
      <c r="L1161" s="1" t="str">
        <f>Paris!L$295</f>
        <v>P02</v>
      </c>
      <c r="M1161" s="1" t="str">
        <f>CONCATENATE(tblCong[[#This Row],[seketCode]],"-",tblCong[[#This Row],[pCode]])</f>
        <v>D06-S10-P02</v>
      </c>
      <c r="N1161" s="1" t="str">
        <f>Paris!M$295</f>
        <v>Umbek</v>
      </c>
      <c r="O1161" s="1" t="s">
        <v>575</v>
      </c>
      <c r="P1161" s="1" t="s">
        <v>1666</v>
      </c>
    </row>
    <row r="1162" spans="6:16" x14ac:dyDescent="0.35">
      <c r="F1162" s="1" t="str">
        <f>CONCATENATE(tblCong[[#This Row],[parishCode]],"-",tblCong[[#This Row],[kCode]])</f>
        <v>D06-S10-P03-K01</v>
      </c>
      <c r="G1162" s="1" t="str">
        <f>Distrik!F$10</f>
        <v>D06</v>
      </c>
      <c r="H1162" s="1" t="str">
        <f>VLOOKUP(tblCong[[#This Row],[distCode]],tblDistrict[#All],2)</f>
        <v>Ukata</v>
      </c>
      <c r="I1162" s="1" t="str">
        <f>Seket!I$52</f>
        <v>S10</v>
      </c>
      <c r="J1162" s="1" t="str">
        <f>CONCATENATE(tblCong[[#This Row],[distCode]],"-",tblCong[[#This Row],[sCode]])</f>
        <v>D06-S10</v>
      </c>
      <c r="K1162" s="1" t="str">
        <f>VLOOKUP(tblCong[[#This Row],[seketCode]],tblSeket[#All],5,FALSE)</f>
        <v>Nankina</v>
      </c>
      <c r="L1162" s="1" t="str">
        <f>Paris!L$296</f>
        <v>P03</v>
      </c>
      <c r="M1162" s="1" t="str">
        <f>CONCATENATE(tblCong[[#This Row],[seketCode]],"-",tblCong[[#This Row],[pCode]])</f>
        <v>D06-S10-P03</v>
      </c>
      <c r="N1162" s="1" t="str">
        <f>Paris!M$296</f>
        <v>Gwarawon</v>
      </c>
      <c r="O1162" s="1" t="s">
        <v>567</v>
      </c>
      <c r="P1162" s="1" t="s">
        <v>1667</v>
      </c>
    </row>
    <row r="1163" spans="6:16" x14ac:dyDescent="0.35">
      <c r="F1163" s="1" t="str">
        <f>CONCATENATE(tblCong[[#This Row],[parishCode]],"-",tblCong[[#This Row],[kCode]])</f>
        <v>D06-S10-P03-K02</v>
      </c>
      <c r="G1163" s="1" t="str">
        <f>Distrik!F$10</f>
        <v>D06</v>
      </c>
      <c r="H1163" s="1" t="str">
        <f>VLOOKUP(tblCong[[#This Row],[distCode]],tblDistrict[#All],2)</f>
        <v>Ukata</v>
      </c>
      <c r="I1163" s="1" t="str">
        <f>Seket!I$52</f>
        <v>S10</v>
      </c>
      <c r="J1163" s="1" t="str">
        <f>CONCATENATE(tblCong[[#This Row],[distCode]],"-",tblCong[[#This Row],[sCode]])</f>
        <v>D06-S10</v>
      </c>
      <c r="K1163" s="1" t="str">
        <f>VLOOKUP(tblCong[[#This Row],[seketCode]],tblSeket[#All],5,FALSE)</f>
        <v>Nankina</v>
      </c>
      <c r="L1163" s="1" t="str">
        <f>Paris!L$296</f>
        <v>P03</v>
      </c>
      <c r="M1163" s="1" t="str">
        <f>CONCATENATE(tblCong[[#This Row],[seketCode]],"-",tblCong[[#This Row],[pCode]])</f>
        <v>D06-S10-P03</v>
      </c>
      <c r="N1163" s="1" t="str">
        <f>Paris!M$296</f>
        <v>Gwarawon</v>
      </c>
      <c r="O1163" s="1" t="s">
        <v>569</v>
      </c>
      <c r="P1163" s="1" t="s">
        <v>504</v>
      </c>
    </row>
    <row r="1164" spans="6:16" x14ac:dyDescent="0.35">
      <c r="F1164" s="1" t="str">
        <f>CONCATENATE(tblCong[[#This Row],[parishCode]],"-",tblCong[[#This Row],[kCode]])</f>
        <v>D06-S10-P03-K03</v>
      </c>
      <c r="G1164" s="1" t="str">
        <f>Distrik!F$10</f>
        <v>D06</v>
      </c>
      <c r="H1164" s="1" t="str">
        <f>VLOOKUP(tblCong[[#This Row],[distCode]],tblDistrict[#All],2)</f>
        <v>Ukata</v>
      </c>
      <c r="I1164" s="1" t="str">
        <f>Seket!I$52</f>
        <v>S10</v>
      </c>
      <c r="J1164" s="1" t="str">
        <f>CONCATENATE(tblCong[[#This Row],[distCode]],"-",tblCong[[#This Row],[sCode]])</f>
        <v>D06-S10</v>
      </c>
      <c r="K1164" s="1" t="str">
        <f>VLOOKUP(tblCong[[#This Row],[seketCode]],tblSeket[#All],5,FALSE)</f>
        <v>Nankina</v>
      </c>
      <c r="L1164" s="1" t="str">
        <f>Paris!L$296</f>
        <v>P03</v>
      </c>
      <c r="M1164" s="1" t="str">
        <f>CONCATENATE(tblCong[[#This Row],[seketCode]],"-",tblCong[[#This Row],[pCode]])</f>
        <v>D06-S10-P03</v>
      </c>
      <c r="N1164" s="1" t="str">
        <f>Paris!M$296</f>
        <v>Gwarawon</v>
      </c>
      <c r="O1164" s="1" t="s">
        <v>571</v>
      </c>
      <c r="P1164" s="1" t="s">
        <v>1668</v>
      </c>
    </row>
    <row r="1165" spans="6:16" x14ac:dyDescent="0.35">
      <c r="F1165" s="1" t="str">
        <f>CONCATENATE(tblCong[[#This Row],[parishCode]],"-",tblCong[[#This Row],[kCode]])</f>
        <v>D06-S10-P03-K04</v>
      </c>
      <c r="G1165" s="1" t="str">
        <f>Distrik!F$10</f>
        <v>D06</v>
      </c>
      <c r="H1165" s="1" t="str">
        <f>VLOOKUP(tblCong[[#This Row],[distCode]],tblDistrict[#All],2)</f>
        <v>Ukata</v>
      </c>
      <c r="I1165" s="1" t="str">
        <f>Seket!I$52</f>
        <v>S10</v>
      </c>
      <c r="J1165" s="1" t="str">
        <f>CONCATENATE(tblCong[[#This Row],[distCode]],"-",tblCong[[#This Row],[sCode]])</f>
        <v>D06-S10</v>
      </c>
      <c r="K1165" s="1" t="str">
        <f>VLOOKUP(tblCong[[#This Row],[seketCode]],tblSeket[#All],5,FALSE)</f>
        <v>Nankina</v>
      </c>
      <c r="L1165" s="1" t="str">
        <f>Paris!L$296</f>
        <v>P03</v>
      </c>
      <c r="M1165" s="1" t="str">
        <f>CONCATENATE(tblCong[[#This Row],[seketCode]],"-",tblCong[[#This Row],[pCode]])</f>
        <v>D06-S10-P03</v>
      </c>
      <c r="N1165" s="1" t="str">
        <f>Paris!M$296</f>
        <v>Gwarawon</v>
      </c>
      <c r="O1165" s="1" t="s">
        <v>573</v>
      </c>
      <c r="P1165" s="1" t="s">
        <v>1669</v>
      </c>
    </row>
    <row r="1166" spans="6:16" x14ac:dyDescent="0.35">
      <c r="F1166" s="1" t="str">
        <f>CONCATENATE(tblCong[[#This Row],[parishCode]],"-",tblCong[[#This Row],[kCode]])</f>
        <v>D06-S10-P03-K05</v>
      </c>
      <c r="G1166" s="1" t="str">
        <f>Distrik!F$10</f>
        <v>D06</v>
      </c>
      <c r="H1166" s="1" t="str">
        <f>VLOOKUP(tblCong[[#This Row],[distCode]],tblDistrict[#All],2)</f>
        <v>Ukata</v>
      </c>
      <c r="I1166" s="1" t="str">
        <f>Seket!I$52</f>
        <v>S10</v>
      </c>
      <c r="J1166" s="1" t="str">
        <f>CONCATENATE(tblCong[[#This Row],[distCode]],"-",tblCong[[#This Row],[sCode]])</f>
        <v>D06-S10</v>
      </c>
      <c r="K1166" s="1" t="str">
        <f>VLOOKUP(tblCong[[#This Row],[seketCode]],tblSeket[#All],5,FALSE)</f>
        <v>Nankina</v>
      </c>
      <c r="L1166" s="1" t="str">
        <f>Paris!L$296</f>
        <v>P03</v>
      </c>
      <c r="M1166" s="1" t="str">
        <f>CONCATENATE(tblCong[[#This Row],[seketCode]],"-",tblCong[[#This Row],[pCode]])</f>
        <v>D06-S10-P03</v>
      </c>
      <c r="N1166" s="1" t="str">
        <f>Paris!M$296</f>
        <v>Gwarawon</v>
      </c>
      <c r="O1166" s="1" t="s">
        <v>575</v>
      </c>
      <c r="P1166" s="1" t="s">
        <v>1670</v>
      </c>
    </row>
    <row r="1167" spans="6:16" x14ac:dyDescent="0.35">
      <c r="F1167" s="1" t="str">
        <f>CONCATENATE(tblCong[[#This Row],[parishCode]],"-",tblCong[[#This Row],[kCode]])</f>
        <v>D06-S10-P04-K01</v>
      </c>
      <c r="G1167" s="1" t="str">
        <f>Distrik!F$10</f>
        <v>D06</v>
      </c>
      <c r="H1167" s="1" t="str">
        <f>VLOOKUP(tblCong[[#This Row],[distCode]],tblDistrict[#All],2)</f>
        <v>Ukata</v>
      </c>
      <c r="I1167" s="1" t="str">
        <f>Seket!I$52</f>
        <v>S10</v>
      </c>
      <c r="J1167" s="1" t="str">
        <f>CONCATENATE(tblCong[[#This Row],[distCode]],"-",tblCong[[#This Row],[sCode]])</f>
        <v>D06-S10</v>
      </c>
      <c r="K1167" s="1" t="str">
        <f>VLOOKUP(tblCong[[#This Row],[seketCode]],tblSeket[#All],5,FALSE)</f>
        <v>Nankina</v>
      </c>
      <c r="L1167" s="1" t="str">
        <f>Paris!L$297</f>
        <v>P04</v>
      </c>
      <c r="M1167" s="1" t="str">
        <f>CONCATENATE(tblCong[[#This Row],[seketCode]],"-",tblCong[[#This Row],[pCode]])</f>
        <v>D06-S10-P04</v>
      </c>
      <c r="N1167" s="1" t="str">
        <f>Paris!M$297</f>
        <v>Bambu</v>
      </c>
      <c r="O1167" s="1" t="s">
        <v>567</v>
      </c>
      <c r="P1167" s="1" t="s">
        <v>1671</v>
      </c>
    </row>
    <row r="1168" spans="6:16" x14ac:dyDescent="0.35">
      <c r="F1168" s="1" t="str">
        <f>CONCATENATE(tblCong[[#This Row],[parishCode]],"-",tblCong[[#This Row],[kCode]])</f>
        <v>D06-S10-P04-K02</v>
      </c>
      <c r="G1168" s="1" t="str">
        <f>Distrik!F$10</f>
        <v>D06</v>
      </c>
      <c r="H1168" s="1" t="str">
        <f>VLOOKUP(tblCong[[#This Row],[distCode]],tblDistrict[#All],2)</f>
        <v>Ukata</v>
      </c>
      <c r="I1168" s="1" t="str">
        <f>Seket!I$52</f>
        <v>S10</v>
      </c>
      <c r="J1168" s="1" t="str">
        <f>CONCATENATE(tblCong[[#This Row],[distCode]],"-",tblCong[[#This Row],[sCode]])</f>
        <v>D06-S10</v>
      </c>
      <c r="K1168" s="1" t="str">
        <f>VLOOKUP(tblCong[[#This Row],[seketCode]],tblSeket[#All],5,FALSE)</f>
        <v>Nankina</v>
      </c>
      <c r="L1168" s="1" t="str">
        <f>Paris!L$297</f>
        <v>P04</v>
      </c>
      <c r="M1168" s="1" t="str">
        <f>CONCATENATE(tblCong[[#This Row],[seketCode]],"-",tblCong[[#This Row],[pCode]])</f>
        <v>D06-S10-P04</v>
      </c>
      <c r="N1168" s="1" t="str">
        <f>Paris!M$297</f>
        <v>Bambu</v>
      </c>
      <c r="O1168" s="1" t="s">
        <v>569</v>
      </c>
      <c r="P1168" s="1" t="s">
        <v>1672</v>
      </c>
    </row>
    <row r="1169" spans="6:16" x14ac:dyDescent="0.35">
      <c r="F1169" s="1" t="str">
        <f>CONCATENATE(tblCong[[#This Row],[parishCode]],"-",tblCong[[#This Row],[kCode]])</f>
        <v>D06-S10-P04-K03</v>
      </c>
      <c r="G1169" s="1" t="str">
        <f>Distrik!F$10</f>
        <v>D06</v>
      </c>
      <c r="H1169" s="1" t="str">
        <f>VLOOKUP(tblCong[[#This Row],[distCode]],tblDistrict[#All],2)</f>
        <v>Ukata</v>
      </c>
      <c r="I1169" s="1" t="str">
        <f>Seket!I$52</f>
        <v>S10</v>
      </c>
      <c r="J1169" s="1" t="str">
        <f>CONCATENATE(tblCong[[#This Row],[distCode]],"-",tblCong[[#This Row],[sCode]])</f>
        <v>D06-S10</v>
      </c>
      <c r="K1169" s="1" t="str">
        <f>VLOOKUP(tblCong[[#This Row],[seketCode]],tblSeket[#All],5,FALSE)</f>
        <v>Nankina</v>
      </c>
      <c r="L1169" s="1" t="str">
        <f>Paris!L$297</f>
        <v>P04</v>
      </c>
      <c r="M1169" s="1" t="str">
        <f>CONCATENATE(tblCong[[#This Row],[seketCode]],"-",tblCong[[#This Row],[pCode]])</f>
        <v>D06-S10-P04</v>
      </c>
      <c r="N1169" s="1" t="str">
        <f>Paris!M$297</f>
        <v>Bambu</v>
      </c>
      <c r="O1169" s="1" t="s">
        <v>571</v>
      </c>
      <c r="P1169" s="1" t="s">
        <v>1673</v>
      </c>
    </row>
    <row r="1170" spans="6:16" x14ac:dyDescent="0.35">
      <c r="F1170" s="1" t="str">
        <f>CONCATENATE(tblCong[[#This Row],[parishCode]],"-",tblCong[[#This Row],[kCode]])</f>
        <v>D06-S10-P04-K04</v>
      </c>
      <c r="G1170" s="1" t="str">
        <f>Distrik!F$10</f>
        <v>D06</v>
      </c>
      <c r="H1170" s="1" t="str">
        <f>VLOOKUP(tblCong[[#This Row],[distCode]],tblDistrict[#All],2)</f>
        <v>Ukata</v>
      </c>
      <c r="I1170" s="1" t="str">
        <f>Seket!I$52</f>
        <v>S10</v>
      </c>
      <c r="J1170" s="1" t="str">
        <f>CONCATENATE(tblCong[[#This Row],[distCode]],"-",tblCong[[#This Row],[sCode]])</f>
        <v>D06-S10</v>
      </c>
      <c r="K1170" s="1" t="str">
        <f>VLOOKUP(tblCong[[#This Row],[seketCode]],tblSeket[#All],5,FALSE)</f>
        <v>Nankina</v>
      </c>
      <c r="L1170" s="1" t="str">
        <f>Paris!L$297</f>
        <v>P04</v>
      </c>
      <c r="M1170" s="1" t="str">
        <f>CONCATENATE(tblCong[[#This Row],[seketCode]],"-",tblCong[[#This Row],[pCode]])</f>
        <v>D06-S10-P04</v>
      </c>
      <c r="N1170" s="1" t="str">
        <f>Paris!M$297</f>
        <v>Bambu</v>
      </c>
      <c r="O1170" s="1" t="s">
        <v>573</v>
      </c>
      <c r="P1170" s="1" t="s">
        <v>505</v>
      </c>
    </row>
    <row r="1171" spans="6:16" x14ac:dyDescent="0.35">
      <c r="F1171" s="1" t="str">
        <f>CONCATENATE(tblCong[[#This Row],[parishCode]],"-",tblCong[[#This Row],[kCode]])</f>
        <v>D06-S10-P04-K05</v>
      </c>
      <c r="G1171" s="1" t="str">
        <f>Distrik!F$10</f>
        <v>D06</v>
      </c>
      <c r="H1171" s="1" t="str">
        <f>VLOOKUP(tblCong[[#This Row],[distCode]],tblDistrict[#All],2)</f>
        <v>Ukata</v>
      </c>
      <c r="I1171" s="1" t="str">
        <f>Seket!I$52</f>
        <v>S10</v>
      </c>
      <c r="J1171" s="1" t="str">
        <f>CONCATENATE(tblCong[[#This Row],[distCode]],"-",tblCong[[#This Row],[sCode]])</f>
        <v>D06-S10</v>
      </c>
      <c r="K1171" s="1" t="str">
        <f>VLOOKUP(tblCong[[#This Row],[seketCode]],tblSeket[#All],5,FALSE)</f>
        <v>Nankina</v>
      </c>
      <c r="L1171" s="1" t="str">
        <f>Paris!L$297</f>
        <v>P04</v>
      </c>
      <c r="M1171" s="1" t="str">
        <f>CONCATENATE(tblCong[[#This Row],[seketCode]],"-",tblCong[[#This Row],[pCode]])</f>
        <v>D06-S10-P04</v>
      </c>
      <c r="N1171" s="1" t="str">
        <f>Paris!M$297</f>
        <v>Bambu</v>
      </c>
      <c r="O1171" s="1" t="s">
        <v>575</v>
      </c>
      <c r="P1171" s="1" t="s">
        <v>1674</v>
      </c>
    </row>
    <row r="1172" spans="6:16" x14ac:dyDescent="0.35">
      <c r="F1172" s="1" t="str">
        <f>CONCATENATE(tblCong[[#This Row],[parishCode]],"-",tblCong[[#This Row],[kCode]])</f>
        <v>D06-S10-P05-K01</v>
      </c>
      <c r="G1172" s="1" t="str">
        <f>Distrik!F$10</f>
        <v>D06</v>
      </c>
      <c r="H1172" s="1" t="str">
        <f>VLOOKUP(tblCong[[#This Row],[distCode]],tblDistrict[#All],2)</f>
        <v>Ukata</v>
      </c>
      <c r="I1172" s="1" t="str">
        <f>Seket!I$52</f>
        <v>S10</v>
      </c>
      <c r="J1172" s="1" t="str">
        <f>CONCATENATE(tblCong[[#This Row],[distCode]],"-",tblCong[[#This Row],[sCode]])</f>
        <v>D06-S10</v>
      </c>
      <c r="K1172" s="1" t="str">
        <f>VLOOKUP(tblCong[[#This Row],[seketCode]],tblSeket[#All],5,FALSE)</f>
        <v>Nankina</v>
      </c>
      <c r="L1172" s="1" t="str">
        <f>Paris!L$298</f>
        <v>P05</v>
      </c>
      <c r="M1172" s="1" t="str">
        <f>CONCATENATE(tblCong[[#This Row],[seketCode]],"-",tblCong[[#This Row],[pCode]])</f>
        <v>D06-S10-P05</v>
      </c>
      <c r="N1172" s="1" t="str">
        <f>Paris!M$298</f>
        <v>?</v>
      </c>
      <c r="O1172" s="1" t="s">
        <v>567</v>
      </c>
      <c r="P1172" s="1" t="s">
        <v>1675</v>
      </c>
    </row>
    <row r="1173" spans="6:16" x14ac:dyDescent="0.35">
      <c r="F1173" s="1" t="str">
        <f>CONCATENATE(tblCong[[#This Row],[parishCode]],"-",tblCong[[#This Row],[kCode]])</f>
        <v>D06-S10-P05-K02</v>
      </c>
      <c r="G1173" s="1" t="str">
        <f>Distrik!F$10</f>
        <v>D06</v>
      </c>
      <c r="H1173" s="1" t="str">
        <f>VLOOKUP(tblCong[[#This Row],[distCode]],tblDistrict[#All],2)</f>
        <v>Ukata</v>
      </c>
      <c r="I1173" s="1" t="str">
        <f>Seket!I$52</f>
        <v>S10</v>
      </c>
      <c r="J1173" s="1" t="str">
        <f>CONCATENATE(tblCong[[#This Row],[distCode]],"-",tblCong[[#This Row],[sCode]])</f>
        <v>D06-S10</v>
      </c>
      <c r="K1173" s="1" t="str">
        <f>VLOOKUP(tblCong[[#This Row],[seketCode]],tblSeket[#All],5,FALSE)</f>
        <v>Nankina</v>
      </c>
      <c r="L1173" s="1" t="str">
        <f>Paris!L$298</f>
        <v>P05</v>
      </c>
      <c r="M1173" s="1" t="str">
        <f>CONCATENATE(tblCong[[#This Row],[seketCode]],"-",tblCong[[#This Row],[pCode]])</f>
        <v>D06-S10-P05</v>
      </c>
      <c r="N1173" s="1" t="str">
        <f>Paris!M$298</f>
        <v>?</v>
      </c>
      <c r="O1173" s="1" t="s">
        <v>569</v>
      </c>
      <c r="P1173" s="1" t="s">
        <v>1676</v>
      </c>
    </row>
    <row r="1174" spans="6:16" x14ac:dyDescent="0.35">
      <c r="F1174" s="1" t="str">
        <f>CONCATENATE(tblCong[[#This Row],[parishCode]],"-",tblCong[[#This Row],[kCode]])</f>
        <v>D06-S10-P05-K03</v>
      </c>
      <c r="G1174" s="1" t="str">
        <f>Distrik!F$10</f>
        <v>D06</v>
      </c>
      <c r="H1174" s="1" t="str">
        <f>VLOOKUP(tblCong[[#This Row],[distCode]],tblDistrict[#All],2)</f>
        <v>Ukata</v>
      </c>
      <c r="I1174" s="1" t="str">
        <f>Seket!I$52</f>
        <v>S10</v>
      </c>
      <c r="J1174" s="1" t="str">
        <f>CONCATENATE(tblCong[[#This Row],[distCode]],"-",tblCong[[#This Row],[sCode]])</f>
        <v>D06-S10</v>
      </c>
      <c r="K1174" s="1" t="str">
        <f>VLOOKUP(tblCong[[#This Row],[seketCode]],tblSeket[#All],5,FALSE)</f>
        <v>Nankina</v>
      </c>
      <c r="L1174" s="1" t="str">
        <f>Paris!L$298</f>
        <v>P05</v>
      </c>
      <c r="M1174" s="1" t="str">
        <f>CONCATENATE(tblCong[[#This Row],[seketCode]],"-",tblCong[[#This Row],[pCode]])</f>
        <v>D06-S10-P05</v>
      </c>
      <c r="N1174" s="1" t="str">
        <f>Paris!M$298</f>
        <v>?</v>
      </c>
      <c r="O1174" s="1" t="s">
        <v>571</v>
      </c>
      <c r="P1174" s="1" t="s">
        <v>1677</v>
      </c>
    </row>
    <row r="1175" spans="6:16" x14ac:dyDescent="0.35">
      <c r="F1175" s="1" t="str">
        <f>CONCATENATE(tblCong[[#This Row],[parishCode]],"-",tblCong[[#This Row],[kCode]])</f>
        <v>D06-S10-P05-K04</v>
      </c>
      <c r="G1175" s="1" t="str">
        <f>Distrik!F$10</f>
        <v>D06</v>
      </c>
      <c r="H1175" s="1" t="str">
        <f>VLOOKUP(tblCong[[#This Row],[distCode]],tblDistrict[#All],2)</f>
        <v>Ukata</v>
      </c>
      <c r="I1175" s="1" t="str">
        <f>Seket!I$52</f>
        <v>S10</v>
      </c>
      <c r="J1175" s="1" t="str">
        <f>CONCATENATE(tblCong[[#This Row],[distCode]],"-",tblCong[[#This Row],[sCode]])</f>
        <v>D06-S10</v>
      </c>
      <c r="K1175" s="1" t="str">
        <f>VLOOKUP(tblCong[[#This Row],[seketCode]],tblSeket[#All],5,FALSE)</f>
        <v>Nankina</v>
      </c>
      <c r="L1175" s="1" t="str">
        <f>Paris!L$298</f>
        <v>P05</v>
      </c>
      <c r="M1175" s="1" t="str">
        <f>CONCATENATE(tblCong[[#This Row],[seketCode]],"-",tblCong[[#This Row],[pCode]])</f>
        <v>D06-S10-P05</v>
      </c>
      <c r="N1175" s="1" t="str">
        <f>Paris!M$298</f>
        <v>?</v>
      </c>
      <c r="O1175" s="1" t="s">
        <v>573</v>
      </c>
      <c r="P1175" s="1" t="s">
        <v>1678</v>
      </c>
    </row>
    <row r="1176" spans="6:16" x14ac:dyDescent="0.35">
      <c r="F1176" s="1" t="str">
        <f>CONCATENATE(tblCong[[#This Row],[parishCode]],"-",tblCong[[#This Row],[kCode]])</f>
        <v>D06-S10-P05-K05</v>
      </c>
      <c r="G1176" s="1" t="str">
        <f>Distrik!F$10</f>
        <v>D06</v>
      </c>
      <c r="H1176" s="1" t="str">
        <f>VLOOKUP(tblCong[[#This Row],[distCode]],tblDistrict[#All],2)</f>
        <v>Ukata</v>
      </c>
      <c r="I1176" s="1" t="str">
        <f>Seket!I$52</f>
        <v>S10</v>
      </c>
      <c r="J1176" s="1" t="str">
        <f>CONCATENATE(tblCong[[#This Row],[distCode]],"-",tblCong[[#This Row],[sCode]])</f>
        <v>D06-S10</v>
      </c>
      <c r="K1176" s="1" t="str">
        <f>VLOOKUP(tblCong[[#This Row],[seketCode]],tblSeket[#All],5,FALSE)</f>
        <v>Nankina</v>
      </c>
      <c r="L1176" s="1" t="str">
        <f>Paris!L$298</f>
        <v>P05</v>
      </c>
      <c r="M1176" s="1" t="str">
        <f>CONCATENATE(tblCong[[#This Row],[seketCode]],"-",tblCong[[#This Row],[pCode]])</f>
        <v>D06-S10-P05</v>
      </c>
      <c r="N1176" s="1" t="str">
        <f>Paris!M$298</f>
        <v>?</v>
      </c>
      <c r="O1176" s="1" t="s">
        <v>575</v>
      </c>
      <c r="P1176" s="1" t="s">
        <v>1679</v>
      </c>
    </row>
    <row r="1177" spans="6:16" x14ac:dyDescent="0.35">
      <c r="F1177" s="1" t="str">
        <f>CONCATENATE(tblCong[[#This Row],[parishCode]],"-",tblCong[[#This Row],[kCode]])</f>
        <v>D07-S01-P01-K01</v>
      </c>
      <c r="G1177" s="1" t="str">
        <f>Distrik!F$11</f>
        <v>D07</v>
      </c>
      <c r="H1177" s="1" t="str">
        <f>VLOOKUP(tblCong[[#This Row],[distCode]],tblDistrict[#All],2)</f>
        <v>Boana</v>
      </c>
      <c r="I1177" s="1" t="str">
        <f>Seket!I$53</f>
        <v>S01</v>
      </c>
      <c r="J1177" s="1" t="str">
        <f>CONCATENATE(tblCong[[#This Row],[distCode]],"-",tblCong[[#This Row],[sCode]])</f>
        <v>D07-S01</v>
      </c>
      <c r="K1177" s="1" t="str">
        <f>VLOOKUP(tblCong[[#This Row],[seketCode]],tblSeket[#All],5,FALSE)</f>
        <v>Zone 1: Erap</v>
      </c>
      <c r="L1177" s="1" t="str">
        <f>Paris!L$299</f>
        <v>P01</v>
      </c>
      <c r="M1177" s="1" t="str">
        <f>CONCATENATE(tblCong[[#This Row],[seketCode]],"-",tblCong[[#This Row],[pCode]])</f>
        <v>D07-S01-P01</v>
      </c>
      <c r="N1177" s="1" t="str">
        <f>Paris!M$299</f>
        <v>Namibung</v>
      </c>
      <c r="O1177" s="1" t="s">
        <v>567</v>
      </c>
      <c r="P1177" s="1" t="s">
        <v>1680</v>
      </c>
    </row>
    <row r="1178" spans="6:16" x14ac:dyDescent="0.35">
      <c r="F1178" s="1" t="str">
        <f>CONCATENATE(tblCong[[#This Row],[parishCode]],"-",tblCong[[#This Row],[kCode]])</f>
        <v>D07-S01-P01-K02</v>
      </c>
      <c r="G1178" s="1" t="str">
        <f>Distrik!F$11</f>
        <v>D07</v>
      </c>
      <c r="H1178" s="1" t="str">
        <f>VLOOKUP(tblCong[[#This Row],[distCode]],tblDistrict[#All],2)</f>
        <v>Boana</v>
      </c>
      <c r="I1178" s="1" t="str">
        <f>Seket!I$53</f>
        <v>S01</v>
      </c>
      <c r="J1178" s="1" t="str">
        <f>CONCATENATE(tblCong[[#This Row],[distCode]],"-",tblCong[[#This Row],[sCode]])</f>
        <v>D07-S01</v>
      </c>
      <c r="K1178" s="1" t="str">
        <f>VLOOKUP(tblCong[[#This Row],[seketCode]],tblSeket[#All],5,FALSE)</f>
        <v>Zone 1: Erap</v>
      </c>
      <c r="L1178" s="1" t="str">
        <f>Paris!L$299</f>
        <v>P01</v>
      </c>
      <c r="M1178" s="1" t="str">
        <f>CONCATENATE(tblCong[[#This Row],[seketCode]],"-",tblCong[[#This Row],[pCode]])</f>
        <v>D07-S01-P01</v>
      </c>
      <c r="N1178" s="1" t="str">
        <f>Paris!M$299</f>
        <v>Namibung</v>
      </c>
      <c r="O1178" s="1" t="s">
        <v>569</v>
      </c>
      <c r="P1178" s="1" t="s">
        <v>1681</v>
      </c>
    </row>
    <row r="1179" spans="6:16" x14ac:dyDescent="0.35">
      <c r="F1179" s="1" t="str">
        <f>CONCATENATE(tblCong[[#This Row],[parishCode]],"-",tblCong[[#This Row],[kCode]])</f>
        <v>D07-S01-P01-K03</v>
      </c>
      <c r="G1179" s="1" t="str">
        <f>Distrik!F$11</f>
        <v>D07</v>
      </c>
      <c r="H1179" s="1" t="str">
        <f>VLOOKUP(tblCong[[#This Row],[distCode]],tblDistrict[#All],2)</f>
        <v>Boana</v>
      </c>
      <c r="I1179" s="1" t="str">
        <f>Seket!I$53</f>
        <v>S01</v>
      </c>
      <c r="J1179" s="1" t="str">
        <f>CONCATENATE(tblCong[[#This Row],[distCode]],"-",tblCong[[#This Row],[sCode]])</f>
        <v>D07-S01</v>
      </c>
      <c r="K1179" s="1" t="str">
        <f>VLOOKUP(tblCong[[#This Row],[seketCode]],tblSeket[#All],5,FALSE)</f>
        <v>Zone 1: Erap</v>
      </c>
      <c r="L1179" s="1" t="str">
        <f>Paris!L$299</f>
        <v>P01</v>
      </c>
      <c r="M1179" s="1" t="str">
        <f>CONCATENATE(tblCong[[#This Row],[seketCode]],"-",tblCong[[#This Row],[pCode]])</f>
        <v>D07-S01-P01</v>
      </c>
      <c r="N1179" s="1" t="str">
        <f>Paris!M$299</f>
        <v>Namibung</v>
      </c>
      <c r="O1179" s="1" t="s">
        <v>571</v>
      </c>
      <c r="P1179" s="1" t="s">
        <v>1682</v>
      </c>
    </row>
    <row r="1180" spans="6:16" x14ac:dyDescent="0.35">
      <c r="F1180" s="1" t="str">
        <f>CONCATENATE(tblCong[[#This Row],[parishCode]],"-",tblCong[[#This Row],[kCode]])</f>
        <v>D07-S01-P01-K04</v>
      </c>
      <c r="G1180" s="1" t="str">
        <f>Distrik!F$11</f>
        <v>D07</v>
      </c>
      <c r="H1180" s="1" t="str">
        <f>VLOOKUP(tblCong[[#This Row],[distCode]],tblDistrict[#All],2)</f>
        <v>Boana</v>
      </c>
      <c r="I1180" s="1" t="str">
        <f>Seket!I$53</f>
        <v>S01</v>
      </c>
      <c r="J1180" s="1" t="str">
        <f>CONCATENATE(tblCong[[#This Row],[distCode]],"-",tblCong[[#This Row],[sCode]])</f>
        <v>D07-S01</v>
      </c>
      <c r="K1180" s="1" t="str">
        <f>VLOOKUP(tblCong[[#This Row],[seketCode]],tblSeket[#All],5,FALSE)</f>
        <v>Zone 1: Erap</v>
      </c>
      <c r="L1180" s="1" t="str">
        <f>Paris!L$299</f>
        <v>P01</v>
      </c>
      <c r="M1180" s="1" t="str">
        <f>CONCATENATE(tblCong[[#This Row],[seketCode]],"-",tblCong[[#This Row],[pCode]])</f>
        <v>D07-S01-P01</v>
      </c>
      <c r="N1180" s="1" t="str">
        <f>Paris!M$299</f>
        <v>Namibung</v>
      </c>
      <c r="O1180" s="1" t="s">
        <v>573</v>
      </c>
      <c r="P1180" s="1" t="s">
        <v>1683</v>
      </c>
    </row>
    <row r="1181" spans="6:16" x14ac:dyDescent="0.35">
      <c r="F1181" s="1" t="str">
        <f>CONCATENATE(tblCong[[#This Row],[parishCode]],"-",tblCong[[#This Row],[kCode]])</f>
        <v>D07-S01-P01-K05</v>
      </c>
      <c r="G1181" s="1" t="str">
        <f>Distrik!F$11</f>
        <v>D07</v>
      </c>
      <c r="H1181" s="1" t="str">
        <f>VLOOKUP(tblCong[[#This Row],[distCode]],tblDistrict[#All],2)</f>
        <v>Boana</v>
      </c>
      <c r="I1181" s="1" t="str">
        <f>Seket!I$53</f>
        <v>S01</v>
      </c>
      <c r="J1181" s="1" t="str">
        <f>CONCATENATE(tblCong[[#This Row],[distCode]],"-",tblCong[[#This Row],[sCode]])</f>
        <v>D07-S01</v>
      </c>
      <c r="K1181" s="1" t="str">
        <f>VLOOKUP(tblCong[[#This Row],[seketCode]],tblSeket[#All],5,FALSE)</f>
        <v>Zone 1: Erap</v>
      </c>
      <c r="L1181" s="1" t="str">
        <f>Paris!L$299</f>
        <v>P01</v>
      </c>
      <c r="M1181" s="1" t="str">
        <f>CONCATENATE(tblCong[[#This Row],[seketCode]],"-",tblCong[[#This Row],[pCode]])</f>
        <v>D07-S01-P01</v>
      </c>
      <c r="N1181" s="1" t="str">
        <f>Paris!M$299</f>
        <v>Namibung</v>
      </c>
      <c r="O1181" s="1" t="s">
        <v>575</v>
      </c>
      <c r="P1181" s="1" t="s">
        <v>1684</v>
      </c>
    </row>
    <row r="1182" spans="6:16" x14ac:dyDescent="0.35">
      <c r="F1182" s="1" t="str">
        <f>CONCATENATE(tblCong[[#This Row],[parishCode]],"-",tblCong[[#This Row],[kCode]])</f>
        <v>D07-S01-P01-K06</v>
      </c>
      <c r="G1182" s="1" t="str">
        <f>Distrik!F$11</f>
        <v>D07</v>
      </c>
      <c r="H1182" s="1" t="str">
        <f>VLOOKUP(tblCong[[#This Row],[distCode]],tblDistrict[#All],2)</f>
        <v>Boana</v>
      </c>
      <c r="I1182" s="1" t="str">
        <f>Seket!I$53</f>
        <v>S01</v>
      </c>
      <c r="J1182" s="1" t="str">
        <f>CONCATENATE(tblCong[[#This Row],[distCode]],"-",tblCong[[#This Row],[sCode]])</f>
        <v>D07-S01</v>
      </c>
      <c r="K1182" s="1" t="str">
        <f>VLOOKUP(tblCong[[#This Row],[seketCode]],tblSeket[#All],5,FALSE)</f>
        <v>Zone 1: Erap</v>
      </c>
      <c r="L1182" s="1" t="str">
        <f>Paris!L$299</f>
        <v>P01</v>
      </c>
      <c r="M1182" s="1" t="str">
        <f>CONCATENATE(tblCong[[#This Row],[seketCode]],"-",tblCong[[#This Row],[pCode]])</f>
        <v>D07-S01-P01</v>
      </c>
      <c r="N1182" s="1" t="str">
        <f>Paris!M$299</f>
        <v>Namibung</v>
      </c>
      <c r="O1182" s="1" t="s">
        <v>576</v>
      </c>
      <c r="P1182" s="1" t="s">
        <v>1685</v>
      </c>
    </row>
    <row r="1183" spans="6:16" x14ac:dyDescent="0.35">
      <c r="F1183" s="1" t="str">
        <f>CONCATENATE(tblCong[[#This Row],[parishCode]],"-",tblCong[[#This Row],[kCode]])</f>
        <v>D07-S01-P02-K01</v>
      </c>
      <c r="G1183" s="1" t="str">
        <f>Distrik!F$11</f>
        <v>D07</v>
      </c>
      <c r="H1183" s="1" t="str">
        <f>VLOOKUP(tblCong[[#This Row],[distCode]],tblDistrict[#All],2)</f>
        <v>Boana</v>
      </c>
      <c r="I1183" s="1" t="str">
        <f>Seket!I$53</f>
        <v>S01</v>
      </c>
      <c r="J1183" s="1" t="str">
        <f>CONCATENATE(tblCong[[#This Row],[distCode]],"-",tblCong[[#This Row],[sCode]])</f>
        <v>D07-S01</v>
      </c>
      <c r="K1183" s="1" t="str">
        <f>VLOOKUP(tblCong[[#This Row],[seketCode]],tblSeket[#All],5,FALSE)</f>
        <v>Zone 1: Erap</v>
      </c>
      <c r="L1183" s="1" t="str">
        <f>Paris!L$300</f>
        <v>P02</v>
      </c>
      <c r="M1183" s="1" t="str">
        <f>CONCATENATE(tblCong[[#This Row],[seketCode]],"-",tblCong[[#This Row],[pCode]])</f>
        <v>D07-S01-P02</v>
      </c>
      <c r="N1183" s="1" t="str">
        <f>Paris!M$300</f>
        <v>Figosa</v>
      </c>
      <c r="O1183" s="1" t="s">
        <v>567</v>
      </c>
      <c r="P1183" s="1" t="s">
        <v>1686</v>
      </c>
    </row>
    <row r="1184" spans="6:16" x14ac:dyDescent="0.35">
      <c r="F1184" s="1" t="str">
        <f>CONCATENATE(tblCong[[#This Row],[parishCode]],"-",tblCong[[#This Row],[kCode]])</f>
        <v>D07-S01-P02-K02</v>
      </c>
      <c r="G1184" s="1" t="str">
        <f>Distrik!F$11</f>
        <v>D07</v>
      </c>
      <c r="H1184" s="1" t="str">
        <f>VLOOKUP(tblCong[[#This Row],[distCode]],tblDistrict[#All],2)</f>
        <v>Boana</v>
      </c>
      <c r="I1184" s="1" t="str">
        <f>Seket!I$53</f>
        <v>S01</v>
      </c>
      <c r="J1184" s="1" t="str">
        <f>CONCATENATE(tblCong[[#This Row],[distCode]],"-",tblCong[[#This Row],[sCode]])</f>
        <v>D07-S01</v>
      </c>
      <c r="K1184" s="1" t="str">
        <f>VLOOKUP(tblCong[[#This Row],[seketCode]],tblSeket[#All],5,FALSE)</f>
        <v>Zone 1: Erap</v>
      </c>
      <c r="L1184" s="1" t="str">
        <f>Paris!L$300</f>
        <v>P02</v>
      </c>
      <c r="M1184" s="1" t="str">
        <f>CONCATENATE(tblCong[[#This Row],[seketCode]],"-",tblCong[[#This Row],[pCode]])</f>
        <v>D07-S01-P02</v>
      </c>
      <c r="N1184" s="1" t="str">
        <f>Paris!M$300</f>
        <v>Figosa</v>
      </c>
      <c r="O1184" s="1" t="s">
        <v>569</v>
      </c>
      <c r="P1184" s="1" t="s">
        <v>1687</v>
      </c>
    </row>
    <row r="1185" spans="6:16" x14ac:dyDescent="0.35">
      <c r="F1185" s="1" t="str">
        <f>CONCATENATE(tblCong[[#This Row],[parishCode]],"-",tblCong[[#This Row],[kCode]])</f>
        <v>D07-S01-P02-K03</v>
      </c>
      <c r="G1185" s="1" t="str">
        <f>Distrik!F$11</f>
        <v>D07</v>
      </c>
      <c r="H1185" s="1" t="str">
        <f>VLOOKUP(tblCong[[#This Row],[distCode]],tblDistrict[#All],2)</f>
        <v>Boana</v>
      </c>
      <c r="I1185" s="1" t="str">
        <f>Seket!I$53</f>
        <v>S01</v>
      </c>
      <c r="J1185" s="1" t="str">
        <f>CONCATENATE(tblCong[[#This Row],[distCode]],"-",tblCong[[#This Row],[sCode]])</f>
        <v>D07-S01</v>
      </c>
      <c r="K1185" s="1" t="str">
        <f>VLOOKUP(tblCong[[#This Row],[seketCode]],tblSeket[#All],5,FALSE)</f>
        <v>Zone 1: Erap</v>
      </c>
      <c r="L1185" s="1" t="str">
        <f>Paris!L$300</f>
        <v>P02</v>
      </c>
      <c r="M1185" s="1" t="str">
        <f>CONCATENATE(tblCong[[#This Row],[seketCode]],"-",tblCong[[#This Row],[pCode]])</f>
        <v>D07-S01-P02</v>
      </c>
      <c r="N1185" s="1" t="str">
        <f>Paris!M$300</f>
        <v>Figosa</v>
      </c>
      <c r="O1185" s="1" t="s">
        <v>571</v>
      </c>
      <c r="P1185" s="1" t="s">
        <v>1496</v>
      </c>
    </row>
    <row r="1186" spans="6:16" x14ac:dyDescent="0.35">
      <c r="F1186" s="1" t="str">
        <f>CONCATENATE(tblCong[[#This Row],[parishCode]],"-",tblCong[[#This Row],[kCode]])</f>
        <v>D07-S01-P02-K04</v>
      </c>
      <c r="G1186" s="1" t="str">
        <f>Distrik!F$11</f>
        <v>D07</v>
      </c>
      <c r="H1186" s="1" t="str">
        <f>VLOOKUP(tblCong[[#This Row],[distCode]],tblDistrict[#All],2)</f>
        <v>Boana</v>
      </c>
      <c r="I1186" s="1" t="str">
        <f>Seket!I$53</f>
        <v>S01</v>
      </c>
      <c r="J1186" s="1" t="str">
        <f>CONCATENATE(tblCong[[#This Row],[distCode]],"-",tblCong[[#This Row],[sCode]])</f>
        <v>D07-S01</v>
      </c>
      <c r="K1186" s="1" t="str">
        <f>VLOOKUP(tblCong[[#This Row],[seketCode]],tblSeket[#All],5,FALSE)</f>
        <v>Zone 1: Erap</v>
      </c>
      <c r="L1186" s="1" t="str">
        <f>Paris!L$300</f>
        <v>P02</v>
      </c>
      <c r="M1186" s="1" t="str">
        <f>CONCATENATE(tblCong[[#This Row],[seketCode]],"-",tblCong[[#This Row],[pCode]])</f>
        <v>D07-S01-P02</v>
      </c>
      <c r="N1186" s="1" t="str">
        <f>Paris!M$300</f>
        <v>Figosa</v>
      </c>
      <c r="O1186" s="1" t="s">
        <v>573</v>
      </c>
      <c r="P1186" s="1" t="s">
        <v>1688</v>
      </c>
    </row>
    <row r="1187" spans="6:16" x14ac:dyDescent="0.35">
      <c r="F1187" s="1" t="str">
        <f>CONCATENATE(tblCong[[#This Row],[parishCode]],"-",tblCong[[#This Row],[kCode]])</f>
        <v>D07-S01-P02-K05</v>
      </c>
      <c r="G1187" s="1" t="str">
        <f>Distrik!F$11</f>
        <v>D07</v>
      </c>
      <c r="H1187" s="1" t="str">
        <f>VLOOKUP(tblCong[[#This Row],[distCode]],tblDistrict[#All],2)</f>
        <v>Boana</v>
      </c>
      <c r="I1187" s="1" t="str">
        <f>Seket!I$53</f>
        <v>S01</v>
      </c>
      <c r="J1187" s="1" t="str">
        <f>CONCATENATE(tblCong[[#This Row],[distCode]],"-",tblCong[[#This Row],[sCode]])</f>
        <v>D07-S01</v>
      </c>
      <c r="K1187" s="1" t="str">
        <f>VLOOKUP(tblCong[[#This Row],[seketCode]],tblSeket[#All],5,FALSE)</f>
        <v>Zone 1: Erap</v>
      </c>
      <c r="L1187" s="1" t="str">
        <f>Paris!L$300</f>
        <v>P02</v>
      </c>
      <c r="M1187" s="1" t="str">
        <f>CONCATENATE(tblCong[[#This Row],[seketCode]],"-",tblCong[[#This Row],[pCode]])</f>
        <v>D07-S01-P02</v>
      </c>
      <c r="N1187" s="1" t="str">
        <f>Paris!M$300</f>
        <v>Figosa</v>
      </c>
      <c r="O1187" s="1" t="s">
        <v>575</v>
      </c>
      <c r="P1187" s="1" t="s">
        <v>1689</v>
      </c>
    </row>
    <row r="1188" spans="6:16" x14ac:dyDescent="0.35">
      <c r="F1188" s="1" t="str">
        <f>CONCATENATE(tblCong[[#This Row],[parishCode]],"-",tblCong[[#This Row],[kCode]])</f>
        <v>D07-S01-P03-K01</v>
      </c>
      <c r="G1188" s="1" t="str">
        <f>Distrik!F$11</f>
        <v>D07</v>
      </c>
      <c r="H1188" s="1" t="str">
        <f>VLOOKUP(tblCong[[#This Row],[distCode]],tblDistrict[#All],2)</f>
        <v>Boana</v>
      </c>
      <c r="I1188" s="1" t="str">
        <f>Seket!I$53</f>
        <v>S01</v>
      </c>
      <c r="J1188" s="1" t="str">
        <f>CONCATENATE(tblCong[[#This Row],[distCode]],"-",tblCong[[#This Row],[sCode]])</f>
        <v>D07-S01</v>
      </c>
      <c r="K1188" s="1" t="str">
        <f>VLOOKUP(tblCong[[#This Row],[seketCode]],tblSeket[#All],5,FALSE)</f>
        <v>Zone 1: Erap</v>
      </c>
      <c r="L1188" s="1" t="str">
        <f>Paris!L$301</f>
        <v>P03</v>
      </c>
      <c r="M1188" s="1" t="str">
        <f>CONCATENATE(tblCong[[#This Row],[seketCode]],"-",tblCong[[#This Row],[pCode]])</f>
        <v>D07-S01-P03</v>
      </c>
      <c r="N1188" s="1" t="str">
        <f>Paris!M$301</f>
        <v>St. Gimafa</v>
      </c>
      <c r="O1188" s="1" t="s">
        <v>567</v>
      </c>
      <c r="P1188" s="1" t="s">
        <v>1690</v>
      </c>
    </row>
    <row r="1189" spans="6:16" x14ac:dyDescent="0.35">
      <c r="F1189" s="1" t="str">
        <f>CONCATENATE(tblCong[[#This Row],[parishCode]],"-",tblCong[[#This Row],[kCode]])</f>
        <v>D07-S01-P03-K02</v>
      </c>
      <c r="G1189" s="1" t="str">
        <f>Distrik!F$11</f>
        <v>D07</v>
      </c>
      <c r="H1189" s="1" t="str">
        <f>VLOOKUP(tblCong[[#This Row],[distCode]],tblDistrict[#All],2)</f>
        <v>Boana</v>
      </c>
      <c r="I1189" s="1" t="str">
        <f>Seket!I$53</f>
        <v>S01</v>
      </c>
      <c r="J1189" s="1" t="str">
        <f>CONCATENATE(tblCong[[#This Row],[distCode]],"-",tblCong[[#This Row],[sCode]])</f>
        <v>D07-S01</v>
      </c>
      <c r="K1189" s="1" t="str">
        <f>VLOOKUP(tblCong[[#This Row],[seketCode]],tblSeket[#All],5,FALSE)</f>
        <v>Zone 1: Erap</v>
      </c>
      <c r="L1189" s="1" t="str">
        <f>Paris!L$301</f>
        <v>P03</v>
      </c>
      <c r="M1189" s="1" t="str">
        <f>CONCATENATE(tblCong[[#This Row],[seketCode]],"-",tblCong[[#This Row],[pCode]])</f>
        <v>D07-S01-P03</v>
      </c>
      <c r="N1189" s="1" t="str">
        <f>Paris!M$301</f>
        <v>St. Gimafa</v>
      </c>
      <c r="O1189" s="1" t="s">
        <v>569</v>
      </c>
      <c r="P1189" s="1" t="s">
        <v>1691</v>
      </c>
    </row>
    <row r="1190" spans="6:16" x14ac:dyDescent="0.35">
      <c r="F1190" s="1" t="str">
        <f>CONCATENATE(tblCong[[#This Row],[parishCode]],"-",tblCong[[#This Row],[kCode]])</f>
        <v>D07-S01-P03-K03</v>
      </c>
      <c r="G1190" s="1" t="str">
        <f>Distrik!F$11</f>
        <v>D07</v>
      </c>
      <c r="H1190" s="1" t="str">
        <f>VLOOKUP(tblCong[[#This Row],[distCode]],tblDistrict[#All],2)</f>
        <v>Boana</v>
      </c>
      <c r="I1190" s="1" t="str">
        <f>Seket!I$53</f>
        <v>S01</v>
      </c>
      <c r="J1190" s="1" t="str">
        <f>CONCATENATE(tblCong[[#This Row],[distCode]],"-",tblCong[[#This Row],[sCode]])</f>
        <v>D07-S01</v>
      </c>
      <c r="K1190" s="1" t="str">
        <f>VLOOKUP(tblCong[[#This Row],[seketCode]],tblSeket[#All],5,FALSE)</f>
        <v>Zone 1: Erap</v>
      </c>
      <c r="L1190" s="1" t="str">
        <f>Paris!L$301</f>
        <v>P03</v>
      </c>
      <c r="M1190" s="1" t="str">
        <f>CONCATENATE(tblCong[[#This Row],[seketCode]],"-",tblCong[[#This Row],[pCode]])</f>
        <v>D07-S01-P03</v>
      </c>
      <c r="N1190" s="1" t="str">
        <f>Paris!M$301</f>
        <v>St. Gimafa</v>
      </c>
      <c r="O1190" s="1" t="s">
        <v>571</v>
      </c>
      <c r="P1190" s="1" t="s">
        <v>1692</v>
      </c>
    </row>
    <row r="1191" spans="6:16" x14ac:dyDescent="0.35">
      <c r="F1191" s="1" t="str">
        <f>CONCATENATE(tblCong[[#This Row],[parishCode]],"-",tblCong[[#This Row],[kCode]])</f>
        <v>D07-S01-P03-K04</v>
      </c>
      <c r="G1191" s="1" t="str">
        <f>Distrik!F$11</f>
        <v>D07</v>
      </c>
      <c r="H1191" s="1" t="str">
        <f>VLOOKUP(tblCong[[#This Row],[distCode]],tblDistrict[#All],2)</f>
        <v>Boana</v>
      </c>
      <c r="I1191" s="1" t="str">
        <f>Seket!I$53</f>
        <v>S01</v>
      </c>
      <c r="J1191" s="1" t="str">
        <f>CONCATENATE(tblCong[[#This Row],[distCode]],"-",tblCong[[#This Row],[sCode]])</f>
        <v>D07-S01</v>
      </c>
      <c r="K1191" s="1" t="str">
        <f>VLOOKUP(tblCong[[#This Row],[seketCode]],tblSeket[#All],5,FALSE)</f>
        <v>Zone 1: Erap</v>
      </c>
      <c r="L1191" s="1" t="str">
        <f>Paris!L$301</f>
        <v>P03</v>
      </c>
      <c r="M1191" s="1" t="str">
        <f>CONCATENATE(tblCong[[#This Row],[seketCode]],"-",tblCong[[#This Row],[pCode]])</f>
        <v>D07-S01-P03</v>
      </c>
      <c r="N1191" s="1" t="str">
        <f>Paris!M$301</f>
        <v>St. Gimafa</v>
      </c>
      <c r="O1191" s="1" t="s">
        <v>573</v>
      </c>
      <c r="P1191" s="1" t="s">
        <v>1693</v>
      </c>
    </row>
    <row r="1192" spans="6:16" x14ac:dyDescent="0.35">
      <c r="F1192" s="1" t="str">
        <f>CONCATENATE(tblCong[[#This Row],[parishCode]],"-",tblCong[[#This Row],[kCode]])</f>
        <v>D07-S01-P03-K05</v>
      </c>
      <c r="G1192" s="1" t="str">
        <f>Distrik!F$11</f>
        <v>D07</v>
      </c>
      <c r="H1192" s="1" t="str">
        <f>VLOOKUP(tblCong[[#This Row],[distCode]],tblDistrict[#All],2)</f>
        <v>Boana</v>
      </c>
      <c r="I1192" s="1" t="str">
        <f>Seket!I$53</f>
        <v>S01</v>
      </c>
      <c r="J1192" s="1" t="str">
        <f>CONCATENATE(tblCong[[#This Row],[distCode]],"-",tblCong[[#This Row],[sCode]])</f>
        <v>D07-S01</v>
      </c>
      <c r="K1192" s="1" t="str">
        <f>VLOOKUP(tblCong[[#This Row],[seketCode]],tblSeket[#All],5,FALSE)</f>
        <v>Zone 1: Erap</v>
      </c>
      <c r="L1192" s="1" t="str">
        <f>Paris!L$301</f>
        <v>P03</v>
      </c>
      <c r="M1192" s="1" t="str">
        <f>CONCATENATE(tblCong[[#This Row],[seketCode]],"-",tblCong[[#This Row],[pCode]])</f>
        <v>D07-S01-P03</v>
      </c>
      <c r="N1192" s="1" t="str">
        <f>Paris!M$301</f>
        <v>St. Gimafa</v>
      </c>
      <c r="O1192" s="1" t="s">
        <v>575</v>
      </c>
      <c r="P1192" s="1" t="s">
        <v>1694</v>
      </c>
    </row>
    <row r="1193" spans="6:16" x14ac:dyDescent="0.35">
      <c r="F1193" s="1" t="str">
        <f>CONCATENATE(tblCong[[#This Row],[parishCode]],"-",tblCong[[#This Row],[kCode]])</f>
        <v>D07-S01-P03-K06</v>
      </c>
      <c r="G1193" s="1" t="str">
        <f>Distrik!F$11</f>
        <v>D07</v>
      </c>
      <c r="H1193" s="1" t="str">
        <f>VLOOKUP(tblCong[[#This Row],[distCode]],tblDistrict[#All],2)</f>
        <v>Boana</v>
      </c>
      <c r="I1193" s="1" t="str">
        <f>Seket!I$53</f>
        <v>S01</v>
      </c>
      <c r="J1193" s="1" t="str">
        <f>CONCATENATE(tblCong[[#This Row],[distCode]],"-",tblCong[[#This Row],[sCode]])</f>
        <v>D07-S01</v>
      </c>
      <c r="K1193" s="1" t="str">
        <f>VLOOKUP(tblCong[[#This Row],[seketCode]],tblSeket[#All],5,FALSE)</f>
        <v>Zone 1: Erap</v>
      </c>
      <c r="L1193" s="1" t="str">
        <f>Paris!L$301</f>
        <v>P03</v>
      </c>
      <c r="M1193" s="1" t="str">
        <f>CONCATENATE(tblCong[[#This Row],[seketCode]],"-",tblCong[[#This Row],[pCode]])</f>
        <v>D07-S01-P03</v>
      </c>
      <c r="N1193" s="1" t="str">
        <f>Paris!M$301</f>
        <v>St. Gimafa</v>
      </c>
      <c r="O1193" s="1" t="s">
        <v>576</v>
      </c>
      <c r="P1193" s="1" t="s">
        <v>1695</v>
      </c>
    </row>
    <row r="1194" spans="6:16" x14ac:dyDescent="0.35">
      <c r="F1194" s="1" t="str">
        <f>CONCATENATE(tblCong[[#This Row],[parishCode]],"-",tblCong[[#This Row],[kCode]])</f>
        <v>D07-S01-P03-K07</v>
      </c>
      <c r="G1194" s="1" t="str">
        <f>Distrik!F$11</f>
        <v>D07</v>
      </c>
      <c r="H1194" s="1" t="str">
        <f>VLOOKUP(tblCong[[#This Row],[distCode]],tblDistrict[#All],2)</f>
        <v>Boana</v>
      </c>
      <c r="I1194" s="1" t="str">
        <f>Seket!I$53</f>
        <v>S01</v>
      </c>
      <c r="J1194" s="1" t="str">
        <f>CONCATENATE(tblCong[[#This Row],[distCode]],"-",tblCong[[#This Row],[sCode]])</f>
        <v>D07-S01</v>
      </c>
      <c r="K1194" s="1" t="str">
        <f>VLOOKUP(tblCong[[#This Row],[seketCode]],tblSeket[#All],5,FALSE)</f>
        <v>Zone 1: Erap</v>
      </c>
      <c r="L1194" s="1" t="str">
        <f>Paris!L$301</f>
        <v>P03</v>
      </c>
      <c r="M1194" s="1" t="str">
        <f>CONCATENATE(tblCong[[#This Row],[seketCode]],"-",tblCong[[#This Row],[pCode]])</f>
        <v>D07-S01-P03</v>
      </c>
      <c r="N1194" s="1" t="str">
        <f>Paris!M$301</f>
        <v>St. Gimafa</v>
      </c>
      <c r="O1194" s="1" t="s">
        <v>578</v>
      </c>
      <c r="P1194" s="1" t="s">
        <v>1696</v>
      </c>
    </row>
    <row r="1195" spans="6:16" x14ac:dyDescent="0.35">
      <c r="F1195" s="1" t="str">
        <f>CONCATENATE(tblCong[[#This Row],[parishCode]],"-",tblCong[[#This Row],[kCode]])</f>
        <v>D07-S01-P03-K08</v>
      </c>
      <c r="G1195" s="1" t="str">
        <f>Distrik!F$11</f>
        <v>D07</v>
      </c>
      <c r="H1195" s="1" t="str">
        <f>VLOOKUP(tblCong[[#This Row],[distCode]],tblDistrict[#All],2)</f>
        <v>Boana</v>
      </c>
      <c r="I1195" s="1" t="str">
        <f>Seket!I$53</f>
        <v>S01</v>
      </c>
      <c r="J1195" s="1" t="str">
        <f>CONCATENATE(tblCong[[#This Row],[distCode]],"-",tblCong[[#This Row],[sCode]])</f>
        <v>D07-S01</v>
      </c>
      <c r="K1195" s="1" t="str">
        <f>VLOOKUP(tblCong[[#This Row],[seketCode]],tblSeket[#All],5,FALSE)</f>
        <v>Zone 1: Erap</v>
      </c>
      <c r="L1195" s="1" t="str">
        <f>Paris!L$301</f>
        <v>P03</v>
      </c>
      <c r="M1195" s="1" t="str">
        <f>CONCATENATE(tblCong[[#This Row],[seketCode]],"-",tblCong[[#This Row],[pCode]])</f>
        <v>D07-S01-P03</v>
      </c>
      <c r="N1195" s="1" t="str">
        <f>Paris!M$301</f>
        <v>St. Gimafa</v>
      </c>
      <c r="O1195" s="1" t="s">
        <v>651</v>
      </c>
      <c r="P1195" s="1" t="s">
        <v>1697</v>
      </c>
    </row>
    <row r="1196" spans="6:16" x14ac:dyDescent="0.35">
      <c r="F1196" s="1" t="str">
        <f>CONCATENATE(tblCong[[#This Row],[parishCode]],"-",tblCong[[#This Row],[kCode]])</f>
        <v>D07-S01-P04-K01</v>
      </c>
      <c r="G1196" s="1" t="str">
        <f>Distrik!F$11</f>
        <v>D07</v>
      </c>
      <c r="H1196" s="1" t="str">
        <f>VLOOKUP(tblCong[[#This Row],[distCode]],tblDistrict[#All],2)</f>
        <v>Boana</v>
      </c>
      <c r="I1196" s="1" t="str">
        <f>Seket!I$53</f>
        <v>S01</v>
      </c>
      <c r="J1196" s="1" t="str">
        <f>CONCATENATE(tblCong[[#This Row],[distCode]],"-",tblCong[[#This Row],[sCode]])</f>
        <v>D07-S01</v>
      </c>
      <c r="K1196" s="1" t="str">
        <f>VLOOKUP(tblCong[[#This Row],[seketCode]],tblSeket[#All],5,FALSE)</f>
        <v>Zone 1: Erap</v>
      </c>
      <c r="L1196" s="1" t="str">
        <f>Paris!L$302</f>
        <v>P04</v>
      </c>
      <c r="M1196" s="1" t="str">
        <f>CONCATENATE(tblCong[[#This Row],[seketCode]],"-",tblCong[[#This Row],[pCode]])</f>
        <v>D07-S01-P04</v>
      </c>
      <c r="N1196" s="1" t="str">
        <f>Paris!M$302</f>
        <v>Mubago</v>
      </c>
      <c r="O1196" s="1" t="s">
        <v>567</v>
      </c>
      <c r="P1196" s="1" t="s">
        <v>1698</v>
      </c>
    </row>
    <row r="1197" spans="6:16" x14ac:dyDescent="0.35">
      <c r="F1197" s="1" t="str">
        <f>CONCATENATE(tblCong[[#This Row],[parishCode]],"-",tblCong[[#This Row],[kCode]])</f>
        <v>D07-S01-P04-K02</v>
      </c>
      <c r="G1197" s="1" t="str">
        <f>Distrik!F$11</f>
        <v>D07</v>
      </c>
      <c r="H1197" s="1" t="str">
        <f>VLOOKUP(tblCong[[#This Row],[distCode]],tblDistrict[#All],2)</f>
        <v>Boana</v>
      </c>
      <c r="I1197" s="1" t="str">
        <f>Seket!I$53</f>
        <v>S01</v>
      </c>
      <c r="J1197" s="1" t="str">
        <f>CONCATENATE(tblCong[[#This Row],[distCode]],"-",tblCong[[#This Row],[sCode]])</f>
        <v>D07-S01</v>
      </c>
      <c r="K1197" s="1" t="str">
        <f>VLOOKUP(tblCong[[#This Row],[seketCode]],tblSeket[#All],5,FALSE)</f>
        <v>Zone 1: Erap</v>
      </c>
      <c r="L1197" s="1" t="str">
        <f>Paris!L$302</f>
        <v>P04</v>
      </c>
      <c r="M1197" s="1" t="str">
        <f>CONCATENATE(tblCong[[#This Row],[seketCode]],"-",tblCong[[#This Row],[pCode]])</f>
        <v>D07-S01-P04</v>
      </c>
      <c r="N1197" s="1" t="str">
        <f>Paris!M$302</f>
        <v>Mubago</v>
      </c>
      <c r="O1197" s="1" t="s">
        <v>569</v>
      </c>
      <c r="P1197" s="1" t="s">
        <v>1699</v>
      </c>
    </row>
    <row r="1198" spans="6:16" x14ac:dyDescent="0.35">
      <c r="F1198" s="1" t="str">
        <f>CONCATENATE(tblCong[[#This Row],[parishCode]],"-",tblCong[[#This Row],[kCode]])</f>
        <v>D07-S01-P04-K03</v>
      </c>
      <c r="G1198" s="1" t="str">
        <f>Distrik!F$11</f>
        <v>D07</v>
      </c>
      <c r="H1198" s="1" t="str">
        <f>VLOOKUP(tblCong[[#This Row],[distCode]],tblDistrict[#All],2)</f>
        <v>Boana</v>
      </c>
      <c r="I1198" s="1" t="str">
        <f>Seket!I$53</f>
        <v>S01</v>
      </c>
      <c r="J1198" s="1" t="str">
        <f>CONCATENATE(tblCong[[#This Row],[distCode]],"-",tblCong[[#This Row],[sCode]])</f>
        <v>D07-S01</v>
      </c>
      <c r="K1198" s="1" t="str">
        <f>VLOOKUP(tblCong[[#This Row],[seketCode]],tblSeket[#All],5,FALSE)</f>
        <v>Zone 1: Erap</v>
      </c>
      <c r="L1198" s="1" t="str">
        <f>Paris!L$302</f>
        <v>P04</v>
      </c>
      <c r="M1198" s="1" t="str">
        <f>CONCATENATE(tblCong[[#This Row],[seketCode]],"-",tblCong[[#This Row],[pCode]])</f>
        <v>D07-S01-P04</v>
      </c>
      <c r="N1198" s="1" t="str">
        <f>Paris!M$302</f>
        <v>Mubago</v>
      </c>
      <c r="O1198" s="1" t="s">
        <v>571</v>
      </c>
      <c r="P1198" s="1" t="s">
        <v>1700</v>
      </c>
    </row>
    <row r="1199" spans="6:16" x14ac:dyDescent="0.35">
      <c r="F1199" s="1" t="str">
        <f>CONCATENATE(tblCong[[#This Row],[parishCode]],"-",tblCong[[#This Row],[kCode]])</f>
        <v>D07-S01-P04-K04</v>
      </c>
      <c r="G1199" s="1" t="str">
        <f>Distrik!F$11</f>
        <v>D07</v>
      </c>
      <c r="H1199" s="1" t="str">
        <f>VLOOKUP(tblCong[[#This Row],[distCode]],tblDistrict[#All],2)</f>
        <v>Boana</v>
      </c>
      <c r="I1199" s="1" t="str">
        <f>Seket!I$53</f>
        <v>S01</v>
      </c>
      <c r="J1199" s="1" t="str">
        <f>CONCATENATE(tblCong[[#This Row],[distCode]],"-",tblCong[[#This Row],[sCode]])</f>
        <v>D07-S01</v>
      </c>
      <c r="K1199" s="1" t="str">
        <f>VLOOKUP(tblCong[[#This Row],[seketCode]],tblSeket[#All],5,FALSE)</f>
        <v>Zone 1: Erap</v>
      </c>
      <c r="L1199" s="1" t="str">
        <f>Paris!L$302</f>
        <v>P04</v>
      </c>
      <c r="M1199" s="1" t="str">
        <f>CONCATENATE(tblCong[[#This Row],[seketCode]],"-",tblCong[[#This Row],[pCode]])</f>
        <v>D07-S01-P04</v>
      </c>
      <c r="N1199" s="1" t="str">
        <f>Paris!M$302</f>
        <v>Mubago</v>
      </c>
      <c r="O1199" s="1" t="s">
        <v>573</v>
      </c>
      <c r="P1199" s="1" t="s">
        <v>1701</v>
      </c>
    </row>
    <row r="1200" spans="6:16" x14ac:dyDescent="0.35">
      <c r="F1200" s="1" t="str">
        <f>CONCATENATE(tblCong[[#This Row],[parishCode]],"-",tblCong[[#This Row],[kCode]])</f>
        <v>D07-S01-P04-K05</v>
      </c>
      <c r="G1200" s="1" t="str">
        <f>Distrik!F$11</f>
        <v>D07</v>
      </c>
      <c r="H1200" s="1" t="str">
        <f>VLOOKUP(tblCong[[#This Row],[distCode]],tblDistrict[#All],2)</f>
        <v>Boana</v>
      </c>
      <c r="I1200" s="1" t="str">
        <f>Seket!I$53</f>
        <v>S01</v>
      </c>
      <c r="J1200" s="1" t="str">
        <f>CONCATENATE(tblCong[[#This Row],[distCode]],"-",tblCong[[#This Row],[sCode]])</f>
        <v>D07-S01</v>
      </c>
      <c r="K1200" s="1" t="str">
        <f>VLOOKUP(tblCong[[#This Row],[seketCode]],tblSeket[#All],5,FALSE)</f>
        <v>Zone 1: Erap</v>
      </c>
      <c r="L1200" s="1" t="str">
        <f>Paris!L$302</f>
        <v>P04</v>
      </c>
      <c r="M1200" s="1" t="str">
        <f>CONCATENATE(tblCong[[#This Row],[seketCode]],"-",tblCong[[#This Row],[pCode]])</f>
        <v>D07-S01-P04</v>
      </c>
      <c r="N1200" s="1" t="str">
        <f>Paris!M$302</f>
        <v>Mubago</v>
      </c>
      <c r="O1200" s="1" t="s">
        <v>575</v>
      </c>
      <c r="P1200" s="1" t="s">
        <v>1702</v>
      </c>
    </row>
    <row r="1201" spans="6:16" x14ac:dyDescent="0.35">
      <c r="F1201" s="1" t="str">
        <f>CONCATENATE(tblCong[[#This Row],[parishCode]],"-",tblCong[[#This Row],[kCode]])</f>
        <v>D07-S01-P05-K01</v>
      </c>
      <c r="G1201" s="1" t="str">
        <f>Distrik!F$11</f>
        <v>D07</v>
      </c>
      <c r="H1201" s="1" t="str">
        <f>VLOOKUP(tblCong[[#This Row],[distCode]],tblDistrict[#All],2)</f>
        <v>Boana</v>
      </c>
      <c r="I1201" s="1" t="str">
        <f>Seket!I$53</f>
        <v>S01</v>
      </c>
      <c r="J1201" s="1" t="str">
        <f>CONCATENATE(tblCong[[#This Row],[distCode]],"-",tblCong[[#This Row],[sCode]])</f>
        <v>D07-S01</v>
      </c>
      <c r="K1201" s="1" t="str">
        <f>VLOOKUP(tblCong[[#This Row],[seketCode]],tblSeket[#All],5,FALSE)</f>
        <v>Zone 1: Erap</v>
      </c>
      <c r="L1201" s="1" t="str">
        <f>Paris!L$303</f>
        <v>P05</v>
      </c>
      <c r="M1201" s="1" t="str">
        <f>CONCATENATE(tblCong[[#This Row],[seketCode]],"-",tblCong[[#This Row],[pCode]])</f>
        <v>D07-S01-P05</v>
      </c>
      <c r="N1201" s="1" t="str">
        <f>Paris!M$303</f>
        <v>Sugu</v>
      </c>
      <c r="O1201" s="1" t="s">
        <v>567</v>
      </c>
      <c r="P1201" s="1" t="s">
        <v>1703</v>
      </c>
    </row>
    <row r="1202" spans="6:16" x14ac:dyDescent="0.35">
      <c r="F1202" s="1" t="str">
        <f>CONCATENATE(tblCong[[#This Row],[parishCode]],"-",tblCong[[#This Row],[kCode]])</f>
        <v>D07-S01-P05-K02</v>
      </c>
      <c r="G1202" s="1" t="str">
        <f>Distrik!F$11</f>
        <v>D07</v>
      </c>
      <c r="H1202" s="1" t="str">
        <f>VLOOKUP(tblCong[[#This Row],[distCode]],tblDistrict[#All],2)</f>
        <v>Boana</v>
      </c>
      <c r="I1202" s="1" t="str">
        <f>Seket!I$53</f>
        <v>S01</v>
      </c>
      <c r="J1202" s="1" t="str">
        <f>CONCATENATE(tblCong[[#This Row],[distCode]],"-",tblCong[[#This Row],[sCode]])</f>
        <v>D07-S01</v>
      </c>
      <c r="K1202" s="1" t="str">
        <f>VLOOKUP(tblCong[[#This Row],[seketCode]],tblSeket[#All],5,FALSE)</f>
        <v>Zone 1: Erap</v>
      </c>
      <c r="L1202" s="1" t="str">
        <f>Paris!L$303</f>
        <v>P05</v>
      </c>
      <c r="M1202" s="1" t="str">
        <f>CONCATENATE(tblCong[[#This Row],[seketCode]],"-",tblCong[[#This Row],[pCode]])</f>
        <v>D07-S01-P05</v>
      </c>
      <c r="N1202" s="1" t="str">
        <f>Paris!M$303</f>
        <v>Sugu</v>
      </c>
      <c r="O1202" s="1" t="s">
        <v>569</v>
      </c>
      <c r="P1202" s="1" t="s">
        <v>1704</v>
      </c>
    </row>
    <row r="1203" spans="6:16" x14ac:dyDescent="0.35">
      <c r="F1203" s="1" t="str">
        <f>CONCATENATE(tblCong[[#This Row],[parishCode]],"-",tblCong[[#This Row],[kCode]])</f>
        <v>D07-S01-P05-K03</v>
      </c>
      <c r="G1203" s="1" t="str">
        <f>Distrik!F$11</f>
        <v>D07</v>
      </c>
      <c r="H1203" s="1" t="str">
        <f>VLOOKUP(tblCong[[#This Row],[distCode]],tblDistrict[#All],2)</f>
        <v>Boana</v>
      </c>
      <c r="I1203" s="1" t="str">
        <f>Seket!I$53</f>
        <v>S01</v>
      </c>
      <c r="J1203" s="1" t="str">
        <f>CONCATENATE(tblCong[[#This Row],[distCode]],"-",tblCong[[#This Row],[sCode]])</f>
        <v>D07-S01</v>
      </c>
      <c r="K1203" s="1" t="str">
        <f>VLOOKUP(tblCong[[#This Row],[seketCode]],tblSeket[#All],5,FALSE)</f>
        <v>Zone 1: Erap</v>
      </c>
      <c r="L1203" s="1" t="str">
        <f>Paris!L$303</f>
        <v>P05</v>
      </c>
      <c r="M1203" s="1" t="str">
        <f>CONCATENATE(tblCong[[#This Row],[seketCode]],"-",tblCong[[#This Row],[pCode]])</f>
        <v>D07-S01-P05</v>
      </c>
      <c r="N1203" s="1" t="str">
        <f>Paris!M$303</f>
        <v>Sugu</v>
      </c>
      <c r="O1203" s="1" t="s">
        <v>571</v>
      </c>
      <c r="P1203" s="1" t="s">
        <v>1705</v>
      </c>
    </row>
    <row r="1204" spans="6:16" x14ac:dyDescent="0.35">
      <c r="F1204" s="1" t="str">
        <f>CONCATENATE(tblCong[[#This Row],[parishCode]],"-",tblCong[[#This Row],[kCode]])</f>
        <v>D07-S01-P05-K04</v>
      </c>
      <c r="G1204" s="1" t="str">
        <f>Distrik!F$11</f>
        <v>D07</v>
      </c>
      <c r="H1204" s="1" t="str">
        <f>VLOOKUP(tblCong[[#This Row],[distCode]],tblDistrict[#All],2)</f>
        <v>Boana</v>
      </c>
      <c r="I1204" s="1" t="str">
        <f>Seket!I$53</f>
        <v>S01</v>
      </c>
      <c r="J1204" s="1" t="str">
        <f>CONCATENATE(tblCong[[#This Row],[distCode]],"-",tblCong[[#This Row],[sCode]])</f>
        <v>D07-S01</v>
      </c>
      <c r="K1204" s="1" t="str">
        <f>VLOOKUP(tblCong[[#This Row],[seketCode]],tblSeket[#All],5,FALSE)</f>
        <v>Zone 1: Erap</v>
      </c>
      <c r="L1204" s="1" t="str">
        <f>Paris!L$303</f>
        <v>P05</v>
      </c>
      <c r="M1204" s="1" t="str">
        <f>CONCATENATE(tblCong[[#This Row],[seketCode]],"-",tblCong[[#This Row],[pCode]])</f>
        <v>D07-S01-P05</v>
      </c>
      <c r="N1204" s="1" t="str">
        <f>Paris!M$303</f>
        <v>Sugu</v>
      </c>
      <c r="O1204" s="1" t="s">
        <v>573</v>
      </c>
      <c r="P1204" s="1" t="s">
        <v>1706</v>
      </c>
    </row>
    <row r="1205" spans="6:16" x14ac:dyDescent="0.35">
      <c r="F1205" s="1" t="str">
        <f>CONCATENATE(tblCong[[#This Row],[parishCode]],"-",tblCong[[#This Row],[kCode]])</f>
        <v>D07-S01-P05-K05</v>
      </c>
      <c r="G1205" s="1" t="str">
        <f>Distrik!F$11</f>
        <v>D07</v>
      </c>
      <c r="H1205" s="1" t="str">
        <f>VLOOKUP(tblCong[[#This Row],[distCode]],tblDistrict[#All],2)</f>
        <v>Boana</v>
      </c>
      <c r="I1205" s="1" t="str">
        <f>Seket!I$53</f>
        <v>S01</v>
      </c>
      <c r="J1205" s="1" t="str">
        <f>CONCATENATE(tblCong[[#This Row],[distCode]],"-",tblCong[[#This Row],[sCode]])</f>
        <v>D07-S01</v>
      </c>
      <c r="K1205" s="1" t="str">
        <f>VLOOKUP(tblCong[[#This Row],[seketCode]],tblSeket[#All],5,FALSE)</f>
        <v>Zone 1: Erap</v>
      </c>
      <c r="L1205" s="1" t="str">
        <f>Paris!L$303</f>
        <v>P05</v>
      </c>
      <c r="M1205" s="1" t="str">
        <f>CONCATENATE(tblCong[[#This Row],[seketCode]],"-",tblCong[[#This Row],[pCode]])</f>
        <v>D07-S01-P05</v>
      </c>
      <c r="N1205" s="1" t="str">
        <f>Paris!M$303</f>
        <v>Sugu</v>
      </c>
      <c r="O1205" s="1" t="s">
        <v>575</v>
      </c>
      <c r="P1205" s="1" t="s">
        <v>1707</v>
      </c>
    </row>
    <row r="1206" spans="6:16" x14ac:dyDescent="0.35">
      <c r="F1206" s="1" t="str">
        <f>CONCATENATE(tblCong[[#This Row],[parishCode]],"-",tblCong[[#This Row],[kCode]])</f>
        <v>D07-S01-P06-K01</v>
      </c>
      <c r="G1206" s="1" t="str">
        <f>Distrik!F$11</f>
        <v>D07</v>
      </c>
      <c r="H1206" s="1" t="str">
        <f>VLOOKUP(tblCong[[#This Row],[distCode]],tblDistrict[#All],2)</f>
        <v>Boana</v>
      </c>
      <c r="I1206" s="1" t="str">
        <f>Seket!I$53</f>
        <v>S01</v>
      </c>
      <c r="J1206" s="1" t="str">
        <f>CONCATENATE(tblCong[[#This Row],[distCode]],"-",tblCong[[#This Row],[sCode]])</f>
        <v>D07-S01</v>
      </c>
      <c r="K1206" s="1" t="str">
        <f>VLOOKUP(tblCong[[#This Row],[seketCode]],tblSeket[#All],5,FALSE)</f>
        <v>Zone 1: Erap</v>
      </c>
      <c r="L1206" s="1" t="str">
        <f>Paris!L$304</f>
        <v>P06</v>
      </c>
      <c r="M1206" s="1" t="str">
        <f>CONCATENATE(tblCong[[#This Row],[seketCode]],"-",tblCong[[#This Row],[pCode]])</f>
        <v>D07-S01-P06</v>
      </c>
      <c r="N1206" s="1" t="str">
        <f>Paris!M$304</f>
        <v>Masiba</v>
      </c>
      <c r="O1206" s="1" t="s">
        <v>567</v>
      </c>
      <c r="P1206" s="1" t="s">
        <v>1708</v>
      </c>
    </row>
    <row r="1207" spans="6:16" x14ac:dyDescent="0.35">
      <c r="F1207" s="1" t="str">
        <f>CONCATENATE(tblCong[[#This Row],[parishCode]],"-",tblCong[[#This Row],[kCode]])</f>
        <v>D07-S01-P06-K02</v>
      </c>
      <c r="G1207" s="1" t="str">
        <f>Distrik!F$11</f>
        <v>D07</v>
      </c>
      <c r="H1207" s="1" t="str">
        <f>VLOOKUP(tblCong[[#This Row],[distCode]],tblDistrict[#All],2)</f>
        <v>Boana</v>
      </c>
      <c r="I1207" s="1" t="str">
        <f>Seket!I$53</f>
        <v>S01</v>
      </c>
      <c r="J1207" s="1" t="str">
        <f>CONCATENATE(tblCong[[#This Row],[distCode]],"-",tblCong[[#This Row],[sCode]])</f>
        <v>D07-S01</v>
      </c>
      <c r="K1207" s="1" t="str">
        <f>VLOOKUP(tblCong[[#This Row],[seketCode]],tblSeket[#All],5,FALSE)</f>
        <v>Zone 1: Erap</v>
      </c>
      <c r="L1207" s="1" t="str">
        <f>Paris!L$304</f>
        <v>P06</v>
      </c>
      <c r="M1207" s="1" t="str">
        <f>CONCATENATE(tblCong[[#This Row],[seketCode]],"-",tblCong[[#This Row],[pCode]])</f>
        <v>D07-S01-P06</v>
      </c>
      <c r="N1207" s="1" t="str">
        <f>Paris!M$304</f>
        <v>Masiba</v>
      </c>
      <c r="O1207" s="1" t="s">
        <v>569</v>
      </c>
      <c r="P1207" s="1" t="s">
        <v>1709</v>
      </c>
    </row>
    <row r="1208" spans="6:16" x14ac:dyDescent="0.35">
      <c r="F1208" s="1" t="str">
        <f>CONCATENATE(tblCong[[#This Row],[parishCode]],"-",tblCong[[#This Row],[kCode]])</f>
        <v>D07-S01-P06-K03</v>
      </c>
      <c r="G1208" s="1" t="str">
        <f>Distrik!F$11</f>
        <v>D07</v>
      </c>
      <c r="H1208" s="1" t="str">
        <f>VLOOKUP(tblCong[[#This Row],[distCode]],tblDistrict[#All],2)</f>
        <v>Boana</v>
      </c>
      <c r="I1208" s="1" t="str">
        <f>Seket!I$53</f>
        <v>S01</v>
      </c>
      <c r="J1208" s="1" t="str">
        <f>CONCATENATE(tblCong[[#This Row],[distCode]],"-",tblCong[[#This Row],[sCode]])</f>
        <v>D07-S01</v>
      </c>
      <c r="K1208" s="1" t="str">
        <f>VLOOKUP(tblCong[[#This Row],[seketCode]],tblSeket[#All],5,FALSE)</f>
        <v>Zone 1: Erap</v>
      </c>
      <c r="L1208" s="1" t="str">
        <f>Paris!L$304</f>
        <v>P06</v>
      </c>
      <c r="M1208" s="1" t="str">
        <f>CONCATENATE(tblCong[[#This Row],[seketCode]],"-",tblCong[[#This Row],[pCode]])</f>
        <v>D07-S01-P06</v>
      </c>
      <c r="N1208" s="1" t="str">
        <f>Paris!M$304</f>
        <v>Masiba</v>
      </c>
      <c r="O1208" s="1" t="s">
        <v>571</v>
      </c>
      <c r="P1208" s="1" t="s">
        <v>1710</v>
      </c>
    </row>
    <row r="1209" spans="6:16" x14ac:dyDescent="0.35">
      <c r="F1209" s="1" t="str">
        <f>CONCATENATE(tblCong[[#This Row],[parishCode]],"-",tblCong[[#This Row],[kCode]])</f>
        <v>D07-S01-P06-K04</v>
      </c>
      <c r="G1209" s="1" t="str">
        <f>Distrik!F$11</f>
        <v>D07</v>
      </c>
      <c r="H1209" s="1" t="str">
        <f>VLOOKUP(tblCong[[#This Row],[distCode]],tblDistrict[#All],2)</f>
        <v>Boana</v>
      </c>
      <c r="I1209" s="1" t="str">
        <f>Seket!I$53</f>
        <v>S01</v>
      </c>
      <c r="J1209" s="1" t="str">
        <f>CONCATENATE(tblCong[[#This Row],[distCode]],"-",tblCong[[#This Row],[sCode]])</f>
        <v>D07-S01</v>
      </c>
      <c r="K1209" s="1" t="str">
        <f>VLOOKUP(tblCong[[#This Row],[seketCode]],tblSeket[#All],5,FALSE)</f>
        <v>Zone 1: Erap</v>
      </c>
      <c r="L1209" s="1" t="str">
        <f>Paris!L$304</f>
        <v>P06</v>
      </c>
      <c r="M1209" s="1" t="str">
        <f>CONCATENATE(tblCong[[#This Row],[seketCode]],"-",tblCong[[#This Row],[pCode]])</f>
        <v>D07-S01-P06</v>
      </c>
      <c r="N1209" s="1" t="str">
        <f>Paris!M$304</f>
        <v>Masiba</v>
      </c>
      <c r="O1209" s="1" t="s">
        <v>573</v>
      </c>
      <c r="P1209" s="1" t="s">
        <v>1711</v>
      </c>
    </row>
    <row r="1210" spans="6:16" x14ac:dyDescent="0.35">
      <c r="F1210" s="1" t="str">
        <f>CONCATENATE(tblCong[[#This Row],[parishCode]],"-",tblCong[[#This Row],[kCode]])</f>
        <v>D07-S01-P06-K05</v>
      </c>
      <c r="G1210" s="1" t="str">
        <f>Distrik!F$11</f>
        <v>D07</v>
      </c>
      <c r="H1210" s="1" t="str">
        <f>VLOOKUP(tblCong[[#This Row],[distCode]],tblDistrict[#All],2)</f>
        <v>Boana</v>
      </c>
      <c r="I1210" s="1" t="str">
        <f>Seket!I$53</f>
        <v>S01</v>
      </c>
      <c r="J1210" s="1" t="str">
        <f>CONCATENATE(tblCong[[#This Row],[distCode]],"-",tblCong[[#This Row],[sCode]])</f>
        <v>D07-S01</v>
      </c>
      <c r="K1210" s="1" t="str">
        <f>VLOOKUP(tblCong[[#This Row],[seketCode]],tblSeket[#All],5,FALSE)</f>
        <v>Zone 1: Erap</v>
      </c>
      <c r="L1210" s="1" t="str">
        <f>Paris!L$304</f>
        <v>P06</v>
      </c>
      <c r="M1210" s="1" t="str">
        <f>CONCATENATE(tblCong[[#This Row],[seketCode]],"-",tblCong[[#This Row],[pCode]])</f>
        <v>D07-S01-P06</v>
      </c>
      <c r="N1210" s="1" t="str">
        <f>Paris!M$304</f>
        <v>Masiba</v>
      </c>
      <c r="O1210" s="1" t="s">
        <v>575</v>
      </c>
      <c r="P1210" s="1" t="s">
        <v>1712</v>
      </c>
    </row>
    <row r="1211" spans="6:16" x14ac:dyDescent="0.35">
      <c r="F1211" s="1" t="str">
        <f>CONCATENATE(tblCong[[#This Row],[parishCode]],"-",tblCong[[#This Row],[kCode]])</f>
        <v>D07-S01-P06-K06</v>
      </c>
      <c r="G1211" s="1" t="str">
        <f>Distrik!F$11</f>
        <v>D07</v>
      </c>
      <c r="H1211" s="1" t="str">
        <f>VLOOKUP(tblCong[[#This Row],[distCode]],tblDistrict[#All],2)</f>
        <v>Boana</v>
      </c>
      <c r="I1211" s="1" t="str">
        <f>Seket!I$53</f>
        <v>S01</v>
      </c>
      <c r="J1211" s="1" t="str">
        <f>CONCATENATE(tblCong[[#This Row],[distCode]],"-",tblCong[[#This Row],[sCode]])</f>
        <v>D07-S01</v>
      </c>
      <c r="K1211" s="1" t="str">
        <f>VLOOKUP(tblCong[[#This Row],[seketCode]],tblSeket[#All],5,FALSE)</f>
        <v>Zone 1: Erap</v>
      </c>
      <c r="L1211" s="1" t="str">
        <f>Paris!L$304</f>
        <v>P06</v>
      </c>
      <c r="M1211" s="1" t="str">
        <f>CONCATENATE(tblCong[[#This Row],[seketCode]],"-",tblCong[[#This Row],[pCode]])</f>
        <v>D07-S01-P06</v>
      </c>
      <c r="N1211" s="1" t="str">
        <f>Paris!M$304</f>
        <v>Masiba</v>
      </c>
      <c r="O1211" s="1" t="s">
        <v>576</v>
      </c>
      <c r="P1211" s="1" t="s">
        <v>1713</v>
      </c>
    </row>
    <row r="1212" spans="6:16" x14ac:dyDescent="0.35">
      <c r="F1212" s="1" t="str">
        <f>CONCATENATE(tblCong[[#This Row],[parishCode]],"-",tblCong[[#This Row],[kCode]])</f>
        <v>D07-S02-P01-K01</v>
      </c>
      <c r="G1212" s="1" t="str">
        <f>Distrik!F$11</f>
        <v>D07</v>
      </c>
      <c r="H1212" s="1" t="str">
        <f>VLOOKUP(tblCong[[#This Row],[distCode]],tblDistrict[#All],2)</f>
        <v>Boana</v>
      </c>
      <c r="I1212" s="1" t="str">
        <f>Seket!I$54</f>
        <v>S02</v>
      </c>
      <c r="J1212" s="1" t="str">
        <f>CONCATENATE(tblCong[[#This Row],[distCode]],"-",tblCong[[#This Row],[sCode]])</f>
        <v>D07-S02</v>
      </c>
      <c r="K1212" s="1" t="str">
        <f>VLOOKUP(tblCong[[#This Row],[seketCode]],tblSeket[#All],5,FALSE)</f>
        <v>Zone 2: Wain</v>
      </c>
      <c r="L1212" s="1" t="str">
        <f>Paris!L$305</f>
        <v>P01</v>
      </c>
      <c r="M1212" s="1" t="str">
        <f>CONCATENATE(tblCong[[#This Row],[seketCode]],"-",tblCong[[#This Row],[pCode]])</f>
        <v>D07-S02-P01</v>
      </c>
      <c r="N1212" s="1" t="str">
        <f>Paris!M$305</f>
        <v>Gaing Kusip</v>
      </c>
      <c r="O1212" s="1" t="s">
        <v>567</v>
      </c>
      <c r="P1212" s="1" t="s">
        <v>1714</v>
      </c>
    </row>
    <row r="1213" spans="6:16" x14ac:dyDescent="0.35">
      <c r="F1213" s="1" t="str">
        <f>CONCATENATE(tblCong[[#This Row],[parishCode]],"-",tblCong[[#This Row],[kCode]])</f>
        <v>D07-S02-P01-K02</v>
      </c>
      <c r="G1213" s="1" t="str">
        <f>Distrik!F$11</f>
        <v>D07</v>
      </c>
      <c r="H1213" s="1" t="str">
        <f>VLOOKUP(tblCong[[#This Row],[distCode]],tblDistrict[#All],2)</f>
        <v>Boana</v>
      </c>
      <c r="I1213" s="1" t="str">
        <f>Seket!I$54</f>
        <v>S02</v>
      </c>
      <c r="J1213" s="1" t="str">
        <f>CONCATENATE(tblCong[[#This Row],[distCode]],"-",tblCong[[#This Row],[sCode]])</f>
        <v>D07-S02</v>
      </c>
      <c r="K1213" s="1" t="str">
        <f>VLOOKUP(tblCong[[#This Row],[seketCode]],tblSeket[#All],5,FALSE)</f>
        <v>Zone 2: Wain</v>
      </c>
      <c r="L1213" s="1" t="str">
        <f>Paris!L$305</f>
        <v>P01</v>
      </c>
      <c r="M1213" s="1" t="str">
        <f>CONCATENATE(tblCong[[#This Row],[seketCode]],"-",tblCong[[#This Row],[pCode]])</f>
        <v>D07-S02-P01</v>
      </c>
      <c r="N1213" s="1" t="str">
        <f>Paris!M$305</f>
        <v>Gaing Kusip</v>
      </c>
      <c r="O1213" s="1" t="s">
        <v>569</v>
      </c>
      <c r="P1213" s="1" t="s">
        <v>1715</v>
      </c>
    </row>
    <row r="1214" spans="6:16" x14ac:dyDescent="0.35">
      <c r="F1214" s="1" t="str">
        <f>CONCATENATE(tblCong[[#This Row],[parishCode]],"-",tblCong[[#This Row],[kCode]])</f>
        <v>D07-S02-P01-K03</v>
      </c>
      <c r="G1214" s="1" t="str">
        <f>Distrik!F$11</f>
        <v>D07</v>
      </c>
      <c r="H1214" s="1" t="str">
        <f>VLOOKUP(tblCong[[#This Row],[distCode]],tblDistrict[#All],2)</f>
        <v>Boana</v>
      </c>
      <c r="I1214" s="1" t="str">
        <f>Seket!I$54</f>
        <v>S02</v>
      </c>
      <c r="J1214" s="1" t="str">
        <f>CONCATENATE(tblCong[[#This Row],[distCode]],"-",tblCong[[#This Row],[sCode]])</f>
        <v>D07-S02</v>
      </c>
      <c r="K1214" s="1" t="str">
        <f>VLOOKUP(tblCong[[#This Row],[seketCode]],tblSeket[#All],5,FALSE)</f>
        <v>Zone 2: Wain</v>
      </c>
      <c r="L1214" s="1" t="str">
        <f>Paris!L$305</f>
        <v>P01</v>
      </c>
      <c r="M1214" s="1" t="str">
        <f>CONCATENATE(tblCong[[#This Row],[seketCode]],"-",tblCong[[#This Row],[pCode]])</f>
        <v>D07-S02-P01</v>
      </c>
      <c r="N1214" s="1" t="str">
        <f>Paris!M$305</f>
        <v>Gaing Kusip</v>
      </c>
      <c r="O1214" s="1" t="s">
        <v>571</v>
      </c>
      <c r="P1214" s="1" t="s">
        <v>311</v>
      </c>
    </row>
    <row r="1215" spans="6:16" x14ac:dyDescent="0.35">
      <c r="F1215" s="1" t="str">
        <f>CONCATENATE(tblCong[[#This Row],[parishCode]],"-",tblCong[[#This Row],[kCode]])</f>
        <v>D07-S02-P01-K04</v>
      </c>
      <c r="G1215" s="1" t="str">
        <f>Distrik!F$11</f>
        <v>D07</v>
      </c>
      <c r="H1215" s="1" t="str">
        <f>VLOOKUP(tblCong[[#This Row],[distCode]],tblDistrict[#All],2)</f>
        <v>Boana</v>
      </c>
      <c r="I1215" s="1" t="str">
        <f>Seket!I$54</f>
        <v>S02</v>
      </c>
      <c r="J1215" s="1" t="str">
        <f>CONCATENATE(tblCong[[#This Row],[distCode]],"-",tblCong[[#This Row],[sCode]])</f>
        <v>D07-S02</v>
      </c>
      <c r="K1215" s="1" t="str">
        <f>VLOOKUP(tblCong[[#This Row],[seketCode]],tblSeket[#All],5,FALSE)</f>
        <v>Zone 2: Wain</v>
      </c>
      <c r="L1215" s="1" t="str">
        <f>Paris!L$305</f>
        <v>P01</v>
      </c>
      <c r="M1215" s="1" t="str">
        <f>CONCATENATE(tblCong[[#This Row],[seketCode]],"-",tblCong[[#This Row],[pCode]])</f>
        <v>D07-S02-P01</v>
      </c>
      <c r="N1215" s="1" t="str">
        <f>Paris!M$305</f>
        <v>Gaing Kusip</v>
      </c>
      <c r="O1215" s="1" t="s">
        <v>573</v>
      </c>
      <c r="P1215" s="1" t="s">
        <v>586</v>
      </c>
    </row>
    <row r="1216" spans="6:16" x14ac:dyDescent="0.35">
      <c r="F1216" s="1" t="str">
        <f>CONCATENATE(tblCong[[#This Row],[parishCode]],"-",tblCong[[#This Row],[kCode]])</f>
        <v>D07-S02-P01-K05</v>
      </c>
      <c r="G1216" s="1" t="str">
        <f>Distrik!F$11</f>
        <v>D07</v>
      </c>
      <c r="H1216" s="1" t="str">
        <f>VLOOKUP(tblCong[[#This Row],[distCode]],tblDistrict[#All],2)</f>
        <v>Boana</v>
      </c>
      <c r="I1216" s="1" t="str">
        <f>Seket!I$54</f>
        <v>S02</v>
      </c>
      <c r="J1216" s="1" t="str">
        <f>CONCATENATE(tblCong[[#This Row],[distCode]],"-",tblCong[[#This Row],[sCode]])</f>
        <v>D07-S02</v>
      </c>
      <c r="K1216" s="1" t="str">
        <f>VLOOKUP(tblCong[[#This Row],[seketCode]],tblSeket[#All],5,FALSE)</f>
        <v>Zone 2: Wain</v>
      </c>
      <c r="L1216" s="1" t="str">
        <f>Paris!L$305</f>
        <v>P01</v>
      </c>
      <c r="M1216" s="1" t="str">
        <f>CONCATENATE(tblCong[[#This Row],[seketCode]],"-",tblCong[[#This Row],[pCode]])</f>
        <v>D07-S02-P01</v>
      </c>
      <c r="N1216" s="1" t="str">
        <f>Paris!M$305</f>
        <v>Gaing Kusip</v>
      </c>
      <c r="O1216" s="1" t="s">
        <v>575</v>
      </c>
      <c r="P1216" s="1" t="s">
        <v>1716</v>
      </c>
    </row>
    <row r="1217" spans="6:16" x14ac:dyDescent="0.35">
      <c r="F1217" s="1" t="str">
        <f>CONCATENATE(tblCong[[#This Row],[parishCode]],"-",tblCong[[#This Row],[kCode]])</f>
        <v>D07-S02-P01-K06</v>
      </c>
      <c r="G1217" s="1" t="str">
        <f>Distrik!F$11</f>
        <v>D07</v>
      </c>
      <c r="H1217" s="1" t="str">
        <f>VLOOKUP(tblCong[[#This Row],[distCode]],tblDistrict[#All],2)</f>
        <v>Boana</v>
      </c>
      <c r="I1217" s="1" t="str">
        <f>Seket!I$54</f>
        <v>S02</v>
      </c>
      <c r="J1217" s="1" t="str">
        <f>CONCATENATE(tblCong[[#This Row],[distCode]],"-",tblCong[[#This Row],[sCode]])</f>
        <v>D07-S02</v>
      </c>
      <c r="K1217" s="1" t="str">
        <f>VLOOKUP(tblCong[[#This Row],[seketCode]],tblSeket[#All],5,FALSE)</f>
        <v>Zone 2: Wain</v>
      </c>
      <c r="L1217" s="1" t="str">
        <f>Paris!L$305</f>
        <v>P01</v>
      </c>
      <c r="M1217" s="1" t="str">
        <f>CONCATENATE(tblCong[[#This Row],[seketCode]],"-",tblCong[[#This Row],[pCode]])</f>
        <v>D07-S02-P01</v>
      </c>
      <c r="N1217" s="1" t="str">
        <f>Paris!M$305</f>
        <v>Gaing Kusip</v>
      </c>
      <c r="O1217" s="1" t="s">
        <v>576</v>
      </c>
      <c r="P1217" s="1" t="s">
        <v>1717</v>
      </c>
    </row>
    <row r="1218" spans="6:16" x14ac:dyDescent="0.35">
      <c r="F1218" s="1" t="str">
        <f>CONCATENATE(tblCong[[#This Row],[parishCode]],"-",tblCong[[#This Row],[kCode]])</f>
        <v>D07-S02-P01-K07</v>
      </c>
      <c r="G1218" s="1" t="str">
        <f>Distrik!F$11</f>
        <v>D07</v>
      </c>
      <c r="H1218" s="1" t="str">
        <f>VLOOKUP(tblCong[[#This Row],[distCode]],tblDistrict[#All],2)</f>
        <v>Boana</v>
      </c>
      <c r="I1218" s="1" t="str">
        <f>Seket!I$54</f>
        <v>S02</v>
      </c>
      <c r="J1218" s="1" t="str">
        <f>CONCATENATE(tblCong[[#This Row],[distCode]],"-",tblCong[[#This Row],[sCode]])</f>
        <v>D07-S02</v>
      </c>
      <c r="K1218" s="1" t="str">
        <f>VLOOKUP(tblCong[[#This Row],[seketCode]],tblSeket[#All],5,FALSE)</f>
        <v>Zone 2: Wain</v>
      </c>
      <c r="L1218" s="1" t="str">
        <f>Paris!L$305</f>
        <v>P01</v>
      </c>
      <c r="M1218" s="1" t="str">
        <f>CONCATENATE(tblCong[[#This Row],[seketCode]],"-",tblCong[[#This Row],[pCode]])</f>
        <v>D07-S02-P01</v>
      </c>
      <c r="N1218" s="1" t="str">
        <f>Paris!M$305</f>
        <v>Gaing Kusip</v>
      </c>
      <c r="O1218" s="1" t="s">
        <v>578</v>
      </c>
      <c r="P1218" s="1" t="s">
        <v>1718</v>
      </c>
    </row>
    <row r="1219" spans="6:16" x14ac:dyDescent="0.35">
      <c r="F1219" s="1" t="str">
        <f>CONCATENATE(tblCong[[#This Row],[parishCode]],"-",tblCong[[#This Row],[kCode]])</f>
        <v>D07-S02-P01-K08</v>
      </c>
      <c r="G1219" s="1" t="str">
        <f>Distrik!F$11</f>
        <v>D07</v>
      </c>
      <c r="H1219" s="1" t="str">
        <f>VLOOKUP(tblCong[[#This Row],[distCode]],tblDistrict[#All],2)</f>
        <v>Boana</v>
      </c>
      <c r="I1219" s="1" t="str">
        <f>Seket!I$54</f>
        <v>S02</v>
      </c>
      <c r="J1219" s="1" t="str">
        <f>CONCATENATE(tblCong[[#This Row],[distCode]],"-",tblCong[[#This Row],[sCode]])</f>
        <v>D07-S02</v>
      </c>
      <c r="K1219" s="1" t="str">
        <f>VLOOKUP(tblCong[[#This Row],[seketCode]],tblSeket[#All],5,FALSE)</f>
        <v>Zone 2: Wain</v>
      </c>
      <c r="L1219" s="1" t="str">
        <f>Paris!L$305</f>
        <v>P01</v>
      </c>
      <c r="M1219" s="1" t="str">
        <f>CONCATENATE(tblCong[[#This Row],[seketCode]],"-",tblCong[[#This Row],[pCode]])</f>
        <v>D07-S02-P01</v>
      </c>
      <c r="N1219" s="1" t="str">
        <f>Paris!M$305</f>
        <v>Gaing Kusip</v>
      </c>
      <c r="O1219" s="1" t="s">
        <v>651</v>
      </c>
      <c r="P1219" s="1" t="s">
        <v>1719</v>
      </c>
    </row>
    <row r="1220" spans="6:16" x14ac:dyDescent="0.35">
      <c r="F1220" s="1" t="str">
        <f>CONCATENATE(tblCong[[#This Row],[parishCode]],"-",tblCong[[#This Row],[kCode]])</f>
        <v>D07-S02-P02-K01</v>
      </c>
      <c r="G1220" s="1" t="str">
        <f>Distrik!F$11</f>
        <v>D07</v>
      </c>
      <c r="H1220" s="1" t="str">
        <f>VLOOKUP(tblCong[[#This Row],[distCode]],tblDistrict[#All],2)</f>
        <v>Boana</v>
      </c>
      <c r="I1220" s="1" t="str">
        <f>Seket!I$54</f>
        <v>S02</v>
      </c>
      <c r="J1220" s="1" t="str">
        <f>CONCATENATE(tblCong[[#This Row],[distCode]],"-",tblCong[[#This Row],[sCode]])</f>
        <v>D07-S02</v>
      </c>
      <c r="K1220" s="1" t="str">
        <f>VLOOKUP(tblCong[[#This Row],[seketCode]],tblSeket[#All],5,FALSE)</f>
        <v>Zone 2: Wain</v>
      </c>
      <c r="L1220" s="1" t="str">
        <f>Paris!L$306</f>
        <v>P02</v>
      </c>
      <c r="M1220" s="1" t="str">
        <f>CONCATENATE(tblCong[[#This Row],[seketCode]],"-",tblCong[[#This Row],[pCode]])</f>
        <v>D07-S02-P02</v>
      </c>
      <c r="N1220" s="1" t="str">
        <f>Paris!M$306</f>
        <v>Kwepunung</v>
      </c>
      <c r="O1220" s="1" t="s">
        <v>567</v>
      </c>
      <c r="P1220" s="1" t="s">
        <v>1720</v>
      </c>
    </row>
    <row r="1221" spans="6:16" x14ac:dyDescent="0.35">
      <c r="F1221" s="1" t="str">
        <f>CONCATENATE(tblCong[[#This Row],[parishCode]],"-",tblCong[[#This Row],[kCode]])</f>
        <v>D07-S02-P02-K02</v>
      </c>
      <c r="G1221" s="1" t="str">
        <f>Distrik!F$11</f>
        <v>D07</v>
      </c>
      <c r="H1221" s="1" t="str">
        <f>VLOOKUP(tblCong[[#This Row],[distCode]],tblDistrict[#All],2)</f>
        <v>Boana</v>
      </c>
      <c r="I1221" s="1" t="str">
        <f>Seket!I$54</f>
        <v>S02</v>
      </c>
      <c r="J1221" s="1" t="str">
        <f>CONCATENATE(tblCong[[#This Row],[distCode]],"-",tblCong[[#This Row],[sCode]])</f>
        <v>D07-S02</v>
      </c>
      <c r="K1221" s="1" t="str">
        <f>VLOOKUP(tblCong[[#This Row],[seketCode]],tblSeket[#All],5,FALSE)</f>
        <v>Zone 2: Wain</v>
      </c>
      <c r="L1221" s="1" t="str">
        <f>Paris!L$306</f>
        <v>P02</v>
      </c>
      <c r="M1221" s="1" t="str">
        <f>CONCATENATE(tblCong[[#This Row],[seketCode]],"-",tblCong[[#This Row],[pCode]])</f>
        <v>D07-S02-P02</v>
      </c>
      <c r="N1221" s="1" t="str">
        <f>Paris!M$306</f>
        <v>Kwepunung</v>
      </c>
      <c r="O1221" s="1" t="s">
        <v>569</v>
      </c>
      <c r="P1221" s="1" t="s">
        <v>1721</v>
      </c>
    </row>
    <row r="1222" spans="6:16" x14ac:dyDescent="0.35">
      <c r="F1222" s="1" t="str">
        <f>CONCATENATE(tblCong[[#This Row],[parishCode]],"-",tblCong[[#This Row],[kCode]])</f>
        <v>D07-S02-P02-K03</v>
      </c>
      <c r="G1222" s="1" t="str">
        <f>Distrik!F$11</f>
        <v>D07</v>
      </c>
      <c r="H1222" s="1" t="str">
        <f>VLOOKUP(tblCong[[#This Row],[distCode]],tblDistrict[#All],2)</f>
        <v>Boana</v>
      </c>
      <c r="I1222" s="1" t="str">
        <f>Seket!I$54</f>
        <v>S02</v>
      </c>
      <c r="J1222" s="1" t="str">
        <f>CONCATENATE(tblCong[[#This Row],[distCode]],"-",tblCong[[#This Row],[sCode]])</f>
        <v>D07-S02</v>
      </c>
      <c r="K1222" s="1" t="str">
        <f>VLOOKUP(tblCong[[#This Row],[seketCode]],tblSeket[#All],5,FALSE)</f>
        <v>Zone 2: Wain</v>
      </c>
      <c r="L1222" s="1" t="str">
        <f>Paris!L$306</f>
        <v>P02</v>
      </c>
      <c r="M1222" s="1" t="str">
        <f>CONCATENATE(tblCong[[#This Row],[seketCode]],"-",tblCong[[#This Row],[pCode]])</f>
        <v>D07-S02-P02</v>
      </c>
      <c r="N1222" s="1" t="str">
        <f>Paris!M$306</f>
        <v>Kwepunung</v>
      </c>
      <c r="O1222" s="1" t="s">
        <v>571</v>
      </c>
      <c r="P1222" s="1" t="s">
        <v>1722</v>
      </c>
    </row>
    <row r="1223" spans="6:16" x14ac:dyDescent="0.35">
      <c r="F1223" s="1" t="str">
        <f>CONCATENATE(tblCong[[#This Row],[parishCode]],"-",tblCong[[#This Row],[kCode]])</f>
        <v>D07-S02-P02-K04</v>
      </c>
      <c r="G1223" s="1" t="str">
        <f>Distrik!F$11</f>
        <v>D07</v>
      </c>
      <c r="H1223" s="1" t="str">
        <f>VLOOKUP(tblCong[[#This Row],[distCode]],tblDistrict[#All],2)</f>
        <v>Boana</v>
      </c>
      <c r="I1223" s="1" t="str">
        <f>Seket!I$54</f>
        <v>S02</v>
      </c>
      <c r="J1223" s="1" t="str">
        <f>CONCATENATE(tblCong[[#This Row],[distCode]],"-",tblCong[[#This Row],[sCode]])</f>
        <v>D07-S02</v>
      </c>
      <c r="K1223" s="1" t="str">
        <f>VLOOKUP(tblCong[[#This Row],[seketCode]],tblSeket[#All],5,FALSE)</f>
        <v>Zone 2: Wain</v>
      </c>
      <c r="L1223" s="1" t="str">
        <f>Paris!L$306</f>
        <v>P02</v>
      </c>
      <c r="M1223" s="1" t="str">
        <f>CONCATENATE(tblCong[[#This Row],[seketCode]],"-",tblCong[[#This Row],[pCode]])</f>
        <v>D07-S02-P02</v>
      </c>
      <c r="N1223" s="1" t="str">
        <f>Paris!M$306</f>
        <v>Kwepunung</v>
      </c>
      <c r="O1223" s="1" t="s">
        <v>573</v>
      </c>
      <c r="P1223" s="1" t="s">
        <v>1723</v>
      </c>
    </row>
    <row r="1224" spans="6:16" x14ac:dyDescent="0.35">
      <c r="F1224" s="1" t="str">
        <f>CONCATENATE(tblCong[[#This Row],[parishCode]],"-",tblCong[[#This Row],[kCode]])</f>
        <v>D07-S02-P02-K05</v>
      </c>
      <c r="G1224" s="1" t="str">
        <f>Distrik!F$11</f>
        <v>D07</v>
      </c>
      <c r="H1224" s="1" t="str">
        <f>VLOOKUP(tblCong[[#This Row],[distCode]],tblDistrict[#All],2)</f>
        <v>Boana</v>
      </c>
      <c r="I1224" s="1" t="str">
        <f>Seket!I$54</f>
        <v>S02</v>
      </c>
      <c r="J1224" s="1" t="str">
        <f>CONCATENATE(tblCong[[#This Row],[distCode]],"-",tblCong[[#This Row],[sCode]])</f>
        <v>D07-S02</v>
      </c>
      <c r="K1224" s="1" t="str">
        <f>VLOOKUP(tblCong[[#This Row],[seketCode]],tblSeket[#All],5,FALSE)</f>
        <v>Zone 2: Wain</v>
      </c>
      <c r="L1224" s="1" t="str">
        <f>Paris!L$306</f>
        <v>P02</v>
      </c>
      <c r="M1224" s="1" t="str">
        <f>CONCATENATE(tblCong[[#This Row],[seketCode]],"-",tblCong[[#This Row],[pCode]])</f>
        <v>D07-S02-P02</v>
      </c>
      <c r="N1224" s="1" t="str">
        <f>Paris!M$306</f>
        <v>Kwepunung</v>
      </c>
      <c r="O1224" s="1" t="s">
        <v>575</v>
      </c>
      <c r="P1224" s="1" t="s">
        <v>1724</v>
      </c>
    </row>
    <row r="1225" spans="6:16" x14ac:dyDescent="0.35">
      <c r="F1225" s="1" t="str">
        <f>CONCATENATE(tblCong[[#This Row],[parishCode]],"-",tblCong[[#This Row],[kCode]])</f>
        <v>D07-S02-P02-K06</v>
      </c>
      <c r="G1225" s="1" t="str">
        <f>Distrik!F$11</f>
        <v>D07</v>
      </c>
      <c r="H1225" s="1" t="str">
        <f>VLOOKUP(tblCong[[#This Row],[distCode]],tblDistrict[#All],2)</f>
        <v>Boana</v>
      </c>
      <c r="I1225" s="1" t="str">
        <f>Seket!I$54</f>
        <v>S02</v>
      </c>
      <c r="J1225" s="1" t="str">
        <f>CONCATENATE(tblCong[[#This Row],[distCode]],"-",tblCong[[#This Row],[sCode]])</f>
        <v>D07-S02</v>
      </c>
      <c r="K1225" s="1" t="str">
        <f>VLOOKUP(tblCong[[#This Row],[seketCode]],tblSeket[#All],5,FALSE)</f>
        <v>Zone 2: Wain</v>
      </c>
      <c r="L1225" s="1" t="str">
        <f>Paris!L$306</f>
        <v>P02</v>
      </c>
      <c r="M1225" s="1" t="str">
        <f>CONCATENATE(tblCong[[#This Row],[seketCode]],"-",tblCong[[#This Row],[pCode]])</f>
        <v>D07-S02-P02</v>
      </c>
      <c r="N1225" s="1" t="str">
        <f>Paris!M$306</f>
        <v>Kwepunung</v>
      </c>
      <c r="O1225" s="1" t="s">
        <v>576</v>
      </c>
      <c r="P1225" s="1" t="s">
        <v>1725</v>
      </c>
    </row>
    <row r="1226" spans="6:16" x14ac:dyDescent="0.35">
      <c r="F1226" s="1" t="str">
        <f>CONCATENATE(tblCong[[#This Row],[parishCode]],"-",tblCong[[#This Row],[kCode]])</f>
        <v>D07-S02-P03-K01</v>
      </c>
      <c r="G1226" s="1" t="str">
        <f>Distrik!F$11</f>
        <v>D07</v>
      </c>
      <c r="H1226" s="1" t="str">
        <f>VLOOKUP(tblCong[[#This Row],[distCode]],tblDistrict[#All],2)</f>
        <v>Boana</v>
      </c>
      <c r="I1226" s="1" t="str">
        <f>Seket!I$54</f>
        <v>S02</v>
      </c>
      <c r="J1226" s="1" t="str">
        <f>CONCATENATE(tblCong[[#This Row],[distCode]],"-",tblCong[[#This Row],[sCode]])</f>
        <v>D07-S02</v>
      </c>
      <c r="K1226" s="1" t="str">
        <f>VLOOKUP(tblCong[[#This Row],[seketCode]],tblSeket[#All],5,FALSE)</f>
        <v>Zone 2: Wain</v>
      </c>
      <c r="L1226" s="1" t="str">
        <f>Paris!L$307</f>
        <v>P03</v>
      </c>
      <c r="M1226" s="1" t="str">
        <f>CONCATENATE(tblCong[[#This Row],[seketCode]],"-",tblCong[[#This Row],[pCode]])</f>
        <v>D07-S02-P03</v>
      </c>
      <c r="N1226" s="1" t="str">
        <f>Paris!M$307</f>
        <v>Bandong</v>
      </c>
      <c r="O1226" s="1" t="s">
        <v>567</v>
      </c>
      <c r="P1226" s="1" t="s">
        <v>1726</v>
      </c>
    </row>
    <row r="1227" spans="6:16" x14ac:dyDescent="0.35">
      <c r="F1227" s="1" t="str">
        <f>CONCATENATE(tblCong[[#This Row],[parishCode]],"-",tblCong[[#This Row],[kCode]])</f>
        <v>D07-S02-P03-K02</v>
      </c>
      <c r="G1227" s="1" t="str">
        <f>Distrik!F$11</f>
        <v>D07</v>
      </c>
      <c r="H1227" s="1" t="str">
        <f>VLOOKUP(tblCong[[#This Row],[distCode]],tblDistrict[#All],2)</f>
        <v>Boana</v>
      </c>
      <c r="I1227" s="1" t="str">
        <f>Seket!I$54</f>
        <v>S02</v>
      </c>
      <c r="J1227" s="1" t="str">
        <f>CONCATENATE(tblCong[[#This Row],[distCode]],"-",tblCong[[#This Row],[sCode]])</f>
        <v>D07-S02</v>
      </c>
      <c r="K1227" s="1" t="str">
        <f>VLOOKUP(tblCong[[#This Row],[seketCode]],tblSeket[#All],5,FALSE)</f>
        <v>Zone 2: Wain</v>
      </c>
      <c r="L1227" s="1" t="str">
        <f>Paris!L$307</f>
        <v>P03</v>
      </c>
      <c r="M1227" s="1" t="str">
        <f>CONCATENATE(tblCong[[#This Row],[seketCode]],"-",tblCong[[#This Row],[pCode]])</f>
        <v>D07-S02-P03</v>
      </c>
      <c r="N1227" s="1" t="str">
        <f>Paris!M$307</f>
        <v>Bandong</v>
      </c>
      <c r="O1227" s="1" t="s">
        <v>569</v>
      </c>
      <c r="P1227" s="1" t="s">
        <v>515</v>
      </c>
    </row>
    <row r="1228" spans="6:16" x14ac:dyDescent="0.35">
      <c r="F1228" s="1" t="str">
        <f>CONCATENATE(tblCong[[#This Row],[parishCode]],"-",tblCong[[#This Row],[kCode]])</f>
        <v>D07-S02-P03-K03</v>
      </c>
      <c r="G1228" s="1" t="str">
        <f>Distrik!F$11</f>
        <v>D07</v>
      </c>
      <c r="H1228" s="1" t="str">
        <f>VLOOKUP(tblCong[[#This Row],[distCode]],tblDistrict[#All],2)</f>
        <v>Boana</v>
      </c>
      <c r="I1228" s="1" t="str">
        <f>Seket!I$54</f>
        <v>S02</v>
      </c>
      <c r="J1228" s="1" t="str">
        <f>CONCATENATE(tblCong[[#This Row],[distCode]],"-",tblCong[[#This Row],[sCode]])</f>
        <v>D07-S02</v>
      </c>
      <c r="K1228" s="1" t="str">
        <f>VLOOKUP(tblCong[[#This Row],[seketCode]],tblSeket[#All],5,FALSE)</f>
        <v>Zone 2: Wain</v>
      </c>
      <c r="L1228" s="1" t="str">
        <f>Paris!L$307</f>
        <v>P03</v>
      </c>
      <c r="M1228" s="1" t="str">
        <f>CONCATENATE(tblCong[[#This Row],[seketCode]],"-",tblCong[[#This Row],[pCode]])</f>
        <v>D07-S02-P03</v>
      </c>
      <c r="N1228" s="1" t="str">
        <f>Paris!M$307</f>
        <v>Bandong</v>
      </c>
      <c r="O1228" s="1" t="s">
        <v>571</v>
      </c>
      <c r="P1228" s="1" t="s">
        <v>1727</v>
      </c>
    </row>
    <row r="1229" spans="6:16" x14ac:dyDescent="0.35">
      <c r="F1229" s="1" t="str">
        <f>CONCATENATE(tblCong[[#This Row],[parishCode]],"-",tblCong[[#This Row],[kCode]])</f>
        <v>D07-S02-P03-K04</v>
      </c>
      <c r="G1229" s="1" t="str">
        <f>Distrik!F$11</f>
        <v>D07</v>
      </c>
      <c r="H1229" s="1" t="str">
        <f>VLOOKUP(tblCong[[#This Row],[distCode]],tblDistrict[#All],2)</f>
        <v>Boana</v>
      </c>
      <c r="I1229" s="1" t="str">
        <f>Seket!I$54</f>
        <v>S02</v>
      </c>
      <c r="J1229" s="1" t="str">
        <f>CONCATENATE(tblCong[[#This Row],[distCode]],"-",tblCong[[#This Row],[sCode]])</f>
        <v>D07-S02</v>
      </c>
      <c r="K1229" s="1" t="str">
        <f>VLOOKUP(tblCong[[#This Row],[seketCode]],tblSeket[#All],5,FALSE)</f>
        <v>Zone 2: Wain</v>
      </c>
      <c r="L1229" s="1" t="str">
        <f>Paris!L$307</f>
        <v>P03</v>
      </c>
      <c r="M1229" s="1" t="str">
        <f>CONCATENATE(tblCong[[#This Row],[seketCode]],"-",tblCong[[#This Row],[pCode]])</f>
        <v>D07-S02-P03</v>
      </c>
      <c r="N1229" s="1" t="str">
        <f>Paris!M$307</f>
        <v>Bandong</v>
      </c>
      <c r="O1229" s="1" t="s">
        <v>573</v>
      </c>
      <c r="P1229" s="1" t="s">
        <v>1728</v>
      </c>
    </row>
    <row r="1230" spans="6:16" x14ac:dyDescent="0.35">
      <c r="F1230" s="1" t="str">
        <f>CONCATENATE(tblCong[[#This Row],[parishCode]],"-",tblCong[[#This Row],[kCode]])</f>
        <v>D07-S02-P05-K01</v>
      </c>
      <c r="G1230" s="1" t="str">
        <f>Distrik!F$11</f>
        <v>D07</v>
      </c>
      <c r="H1230" s="1" t="str">
        <f>VLOOKUP(tblCong[[#This Row],[distCode]],tblDistrict[#All],2)</f>
        <v>Boana</v>
      </c>
      <c r="I1230" s="1" t="str">
        <f>Seket!I$54</f>
        <v>S02</v>
      </c>
      <c r="J1230" s="1" t="str">
        <f>CONCATENATE(tblCong[[#This Row],[distCode]],"-",tblCong[[#This Row],[sCode]])</f>
        <v>D07-S02</v>
      </c>
      <c r="K1230" s="1" t="str">
        <f>VLOOKUP(tblCong[[#This Row],[seketCode]],tblSeket[#All],5,FALSE)</f>
        <v>Zone 2: Wain</v>
      </c>
      <c r="L1230" s="1" t="str">
        <f>Paris!L$309</f>
        <v>P05</v>
      </c>
      <c r="M1230" s="1" t="str">
        <f>CONCATENATE(tblCong[[#This Row],[seketCode]],"-",tblCong[[#This Row],[pCode]])</f>
        <v>D07-S02-P05</v>
      </c>
      <c r="N1230" s="1" t="str">
        <f>Paris!M$309</f>
        <v>Gusi</v>
      </c>
      <c r="O1230" s="1" t="s">
        <v>567</v>
      </c>
      <c r="P1230" s="1" t="s">
        <v>1729</v>
      </c>
    </row>
    <row r="1231" spans="6:16" x14ac:dyDescent="0.35">
      <c r="F1231" s="1" t="str">
        <f>CONCATENATE(tblCong[[#This Row],[parishCode]],"-",tblCong[[#This Row],[kCode]])</f>
        <v>D07-S02-P05-K02</v>
      </c>
      <c r="G1231" s="1" t="str">
        <f>Distrik!F$11</f>
        <v>D07</v>
      </c>
      <c r="H1231" s="1" t="str">
        <f>VLOOKUP(tblCong[[#This Row],[distCode]],tblDistrict[#All],2)</f>
        <v>Boana</v>
      </c>
      <c r="I1231" s="1" t="str">
        <f>Seket!I$54</f>
        <v>S02</v>
      </c>
      <c r="J1231" s="1" t="str">
        <f>CONCATENATE(tblCong[[#This Row],[distCode]],"-",tblCong[[#This Row],[sCode]])</f>
        <v>D07-S02</v>
      </c>
      <c r="K1231" s="1" t="str">
        <f>VLOOKUP(tblCong[[#This Row],[seketCode]],tblSeket[#All],5,FALSE)</f>
        <v>Zone 2: Wain</v>
      </c>
      <c r="L1231" s="1" t="str">
        <f>Paris!L$309</f>
        <v>P05</v>
      </c>
      <c r="M1231" s="1" t="str">
        <f>CONCATENATE(tblCong[[#This Row],[seketCode]],"-",tblCong[[#This Row],[pCode]])</f>
        <v>D07-S02-P05</v>
      </c>
      <c r="N1231" s="1" t="str">
        <f>Paris!M$309</f>
        <v>Gusi</v>
      </c>
      <c r="O1231" s="1" t="s">
        <v>569</v>
      </c>
      <c r="P1231" s="1" t="s">
        <v>1730</v>
      </c>
    </row>
    <row r="1232" spans="6:16" x14ac:dyDescent="0.35">
      <c r="F1232" s="1" t="str">
        <f>CONCATENATE(tblCong[[#This Row],[parishCode]],"-",tblCong[[#This Row],[kCode]])</f>
        <v>D07-S02-P05-K03</v>
      </c>
      <c r="G1232" s="1" t="str">
        <f>Distrik!F$11</f>
        <v>D07</v>
      </c>
      <c r="H1232" s="1" t="str">
        <f>VLOOKUP(tblCong[[#This Row],[distCode]],tblDistrict[#All],2)</f>
        <v>Boana</v>
      </c>
      <c r="I1232" s="1" t="str">
        <f>Seket!I$54</f>
        <v>S02</v>
      </c>
      <c r="J1232" s="1" t="str">
        <f>CONCATENATE(tblCong[[#This Row],[distCode]],"-",tblCong[[#This Row],[sCode]])</f>
        <v>D07-S02</v>
      </c>
      <c r="K1232" s="1" t="str">
        <f>VLOOKUP(tblCong[[#This Row],[seketCode]],tblSeket[#All],5,FALSE)</f>
        <v>Zone 2: Wain</v>
      </c>
      <c r="L1232" s="1" t="str">
        <f>Paris!L$309</f>
        <v>P05</v>
      </c>
      <c r="M1232" s="1" t="str">
        <f>CONCATENATE(tblCong[[#This Row],[seketCode]],"-",tblCong[[#This Row],[pCode]])</f>
        <v>D07-S02-P05</v>
      </c>
      <c r="N1232" s="1" t="str">
        <f>Paris!M$309</f>
        <v>Gusi</v>
      </c>
      <c r="O1232" s="1" t="s">
        <v>571</v>
      </c>
      <c r="P1232" s="1" t="s">
        <v>1731</v>
      </c>
    </row>
    <row r="1233" spans="6:16" x14ac:dyDescent="0.35">
      <c r="F1233" s="1" t="str">
        <f>CONCATENATE(tblCong[[#This Row],[parishCode]],"-",tblCong[[#This Row],[kCode]])</f>
        <v>D07-S02-P05-K04</v>
      </c>
      <c r="G1233" s="1" t="str">
        <f>Distrik!F$11</f>
        <v>D07</v>
      </c>
      <c r="H1233" s="1" t="str">
        <f>VLOOKUP(tblCong[[#This Row],[distCode]],tblDistrict[#All],2)</f>
        <v>Boana</v>
      </c>
      <c r="I1233" s="1" t="str">
        <f>Seket!I$54</f>
        <v>S02</v>
      </c>
      <c r="J1233" s="1" t="str">
        <f>CONCATENATE(tblCong[[#This Row],[distCode]],"-",tblCong[[#This Row],[sCode]])</f>
        <v>D07-S02</v>
      </c>
      <c r="K1233" s="1" t="str">
        <f>VLOOKUP(tblCong[[#This Row],[seketCode]],tblSeket[#All],5,FALSE)</f>
        <v>Zone 2: Wain</v>
      </c>
      <c r="L1233" s="1" t="str">
        <f>Paris!L$309</f>
        <v>P05</v>
      </c>
      <c r="M1233" s="1" t="str">
        <f>CONCATENATE(tblCong[[#This Row],[seketCode]],"-",tblCong[[#This Row],[pCode]])</f>
        <v>D07-S02-P05</v>
      </c>
      <c r="N1233" s="1" t="str">
        <f>Paris!M$309</f>
        <v>Gusi</v>
      </c>
      <c r="O1233" s="1" t="s">
        <v>573</v>
      </c>
      <c r="P1233" s="1" t="s">
        <v>1732</v>
      </c>
    </row>
    <row r="1234" spans="6:16" x14ac:dyDescent="0.35">
      <c r="F1234" s="1" t="str">
        <f>CONCATENATE(tblCong[[#This Row],[parishCode]],"-",tblCong[[#This Row],[kCode]])</f>
        <v>D07-S02-P06-K01</v>
      </c>
      <c r="G1234" s="1" t="str">
        <f>Distrik!F$11</f>
        <v>D07</v>
      </c>
      <c r="H1234" s="1" t="str">
        <f>VLOOKUP(tblCong[[#This Row],[distCode]],tblDistrict[#All],2)</f>
        <v>Boana</v>
      </c>
      <c r="I1234" s="1" t="str">
        <f>Seket!I$54</f>
        <v>S02</v>
      </c>
      <c r="J1234" s="1" t="str">
        <f>CONCATENATE(tblCong[[#This Row],[distCode]],"-",tblCong[[#This Row],[sCode]])</f>
        <v>D07-S02</v>
      </c>
      <c r="K1234" s="1" t="str">
        <f>VLOOKUP(tblCong[[#This Row],[seketCode]],tblSeket[#All],5,FALSE)</f>
        <v>Zone 2: Wain</v>
      </c>
      <c r="L1234" s="1" t="str">
        <f>Paris!L$310</f>
        <v>P06</v>
      </c>
      <c r="M1234" s="1" t="str">
        <f>CONCATENATE(tblCong[[#This Row],[seketCode]],"-",tblCong[[#This Row],[pCode]])</f>
        <v>D07-S02-P06</v>
      </c>
      <c r="N1234" s="1" t="str">
        <f>Paris!M$310</f>
        <v>Gewak</v>
      </c>
      <c r="O1234" s="1" t="s">
        <v>567</v>
      </c>
      <c r="P1234" s="1" t="s">
        <v>1733</v>
      </c>
    </row>
    <row r="1235" spans="6:16" x14ac:dyDescent="0.35">
      <c r="F1235" s="1" t="str">
        <f>CONCATENATE(tblCong[[#This Row],[parishCode]],"-",tblCong[[#This Row],[kCode]])</f>
        <v>D07-S02-P06-K02</v>
      </c>
      <c r="G1235" s="1" t="str">
        <f>Distrik!F$11</f>
        <v>D07</v>
      </c>
      <c r="H1235" s="1" t="str">
        <f>VLOOKUP(tblCong[[#This Row],[distCode]],tblDistrict[#All],2)</f>
        <v>Boana</v>
      </c>
      <c r="I1235" s="1" t="str">
        <f>Seket!I$54</f>
        <v>S02</v>
      </c>
      <c r="J1235" s="1" t="str">
        <f>CONCATENATE(tblCong[[#This Row],[distCode]],"-",tblCong[[#This Row],[sCode]])</f>
        <v>D07-S02</v>
      </c>
      <c r="K1235" s="1" t="str">
        <f>VLOOKUP(tblCong[[#This Row],[seketCode]],tblSeket[#All],5,FALSE)</f>
        <v>Zone 2: Wain</v>
      </c>
      <c r="L1235" s="1" t="str">
        <f>Paris!L$310</f>
        <v>P06</v>
      </c>
      <c r="M1235" s="1" t="str">
        <f>CONCATENATE(tblCong[[#This Row],[seketCode]],"-",tblCong[[#This Row],[pCode]])</f>
        <v>D07-S02-P06</v>
      </c>
      <c r="N1235" s="1" t="str">
        <f>Paris!M$310</f>
        <v>Gewak</v>
      </c>
      <c r="O1235" s="1" t="s">
        <v>569</v>
      </c>
      <c r="P1235" s="1" t="s">
        <v>1734</v>
      </c>
    </row>
    <row r="1236" spans="6:16" x14ac:dyDescent="0.35">
      <c r="F1236" s="1" t="str">
        <f>CONCATENATE(tblCong[[#This Row],[parishCode]],"-",tblCong[[#This Row],[kCode]])</f>
        <v>D07-S02-P06-K03</v>
      </c>
      <c r="G1236" s="1" t="str">
        <f>Distrik!F$11</f>
        <v>D07</v>
      </c>
      <c r="H1236" s="1" t="str">
        <f>VLOOKUP(tblCong[[#This Row],[distCode]],tblDistrict[#All],2)</f>
        <v>Boana</v>
      </c>
      <c r="I1236" s="1" t="str">
        <f>Seket!I$54</f>
        <v>S02</v>
      </c>
      <c r="J1236" s="1" t="str">
        <f>CONCATENATE(tblCong[[#This Row],[distCode]],"-",tblCong[[#This Row],[sCode]])</f>
        <v>D07-S02</v>
      </c>
      <c r="K1236" s="1" t="str">
        <f>VLOOKUP(tblCong[[#This Row],[seketCode]],tblSeket[#All],5,FALSE)</f>
        <v>Zone 2: Wain</v>
      </c>
      <c r="L1236" s="1" t="str">
        <f>Paris!L$310</f>
        <v>P06</v>
      </c>
      <c r="M1236" s="1" t="str">
        <f>CONCATENATE(tblCong[[#This Row],[seketCode]],"-",tblCong[[#This Row],[pCode]])</f>
        <v>D07-S02-P06</v>
      </c>
      <c r="N1236" s="1" t="str">
        <f>Paris!M$310</f>
        <v>Gewak</v>
      </c>
      <c r="O1236" s="1" t="s">
        <v>571</v>
      </c>
      <c r="P1236" s="1" t="s">
        <v>1735</v>
      </c>
    </row>
    <row r="1237" spans="6:16" x14ac:dyDescent="0.35">
      <c r="F1237" s="1" t="str">
        <f>CONCATENATE(tblCong[[#This Row],[parishCode]],"-",tblCong[[#This Row],[kCode]])</f>
        <v>D07-S02-P06-K04</v>
      </c>
      <c r="G1237" s="1" t="str">
        <f>Distrik!F$11</f>
        <v>D07</v>
      </c>
      <c r="H1237" s="1" t="str">
        <f>VLOOKUP(tblCong[[#This Row],[distCode]],tblDistrict[#All],2)</f>
        <v>Boana</v>
      </c>
      <c r="I1237" s="1" t="str">
        <f>Seket!I$54</f>
        <v>S02</v>
      </c>
      <c r="J1237" s="1" t="str">
        <f>CONCATENATE(tblCong[[#This Row],[distCode]],"-",tblCong[[#This Row],[sCode]])</f>
        <v>D07-S02</v>
      </c>
      <c r="K1237" s="1" t="str">
        <f>VLOOKUP(tblCong[[#This Row],[seketCode]],tblSeket[#All],5,FALSE)</f>
        <v>Zone 2: Wain</v>
      </c>
      <c r="L1237" s="1" t="str">
        <f>Paris!L$310</f>
        <v>P06</v>
      </c>
      <c r="M1237" s="1" t="str">
        <f>CONCATENATE(tblCong[[#This Row],[seketCode]],"-",tblCong[[#This Row],[pCode]])</f>
        <v>D07-S02-P06</v>
      </c>
      <c r="N1237" s="1" t="str">
        <f>Paris!M$310</f>
        <v>Gewak</v>
      </c>
      <c r="O1237" s="1" t="s">
        <v>573</v>
      </c>
      <c r="P1237" s="1" t="s">
        <v>518</v>
      </c>
    </row>
    <row r="1238" spans="6:16" x14ac:dyDescent="0.35">
      <c r="F1238" s="1" t="str">
        <f>CONCATENATE(tblCong[[#This Row],[parishCode]],"-",tblCong[[#This Row],[kCode]])</f>
        <v>D07-S02-P06-K05</v>
      </c>
      <c r="G1238" s="1" t="str">
        <f>Distrik!F$11</f>
        <v>D07</v>
      </c>
      <c r="H1238" s="1" t="str">
        <f>VLOOKUP(tblCong[[#This Row],[distCode]],tblDistrict[#All],2)</f>
        <v>Boana</v>
      </c>
      <c r="I1238" s="1" t="str">
        <f>Seket!I$54</f>
        <v>S02</v>
      </c>
      <c r="J1238" s="1" t="str">
        <f>CONCATENATE(tblCong[[#This Row],[distCode]],"-",tblCong[[#This Row],[sCode]])</f>
        <v>D07-S02</v>
      </c>
      <c r="K1238" s="1" t="str">
        <f>VLOOKUP(tblCong[[#This Row],[seketCode]],tblSeket[#All],5,FALSE)</f>
        <v>Zone 2: Wain</v>
      </c>
      <c r="L1238" s="1" t="str">
        <f>Paris!L$310</f>
        <v>P06</v>
      </c>
      <c r="M1238" s="1" t="str">
        <f>CONCATENATE(tblCong[[#This Row],[seketCode]],"-",tblCong[[#This Row],[pCode]])</f>
        <v>D07-S02-P06</v>
      </c>
      <c r="N1238" s="1" t="str">
        <f>Paris!M$310</f>
        <v>Gewak</v>
      </c>
      <c r="O1238" s="1" t="s">
        <v>575</v>
      </c>
      <c r="P1238" s="1" t="s">
        <v>1736</v>
      </c>
    </row>
    <row r="1239" spans="6:16" x14ac:dyDescent="0.35">
      <c r="F1239" s="1" t="str">
        <f>CONCATENATE(tblCong[[#This Row],[parishCode]],"-",tblCong[[#This Row],[kCode]])</f>
        <v>D07-S02-P06-K06</v>
      </c>
      <c r="G1239" s="1" t="str">
        <f>Distrik!F$11</f>
        <v>D07</v>
      </c>
      <c r="H1239" s="1" t="str">
        <f>VLOOKUP(tblCong[[#This Row],[distCode]],tblDistrict[#All],2)</f>
        <v>Boana</v>
      </c>
      <c r="I1239" s="1" t="str">
        <f>Seket!I$54</f>
        <v>S02</v>
      </c>
      <c r="J1239" s="1" t="str">
        <f>CONCATENATE(tblCong[[#This Row],[distCode]],"-",tblCong[[#This Row],[sCode]])</f>
        <v>D07-S02</v>
      </c>
      <c r="K1239" s="1" t="str">
        <f>VLOOKUP(tblCong[[#This Row],[seketCode]],tblSeket[#All],5,FALSE)</f>
        <v>Zone 2: Wain</v>
      </c>
      <c r="L1239" s="1" t="str">
        <f>Paris!L$310</f>
        <v>P06</v>
      </c>
      <c r="M1239" s="1" t="str">
        <f>CONCATENATE(tblCong[[#This Row],[seketCode]],"-",tblCong[[#This Row],[pCode]])</f>
        <v>D07-S02-P06</v>
      </c>
      <c r="N1239" s="1" t="str">
        <f>Paris!M$310</f>
        <v>Gewak</v>
      </c>
      <c r="O1239" s="1" t="s">
        <v>576</v>
      </c>
      <c r="P1239" s="1" t="s">
        <v>1737</v>
      </c>
    </row>
    <row r="1240" spans="6:16" x14ac:dyDescent="0.35">
      <c r="F1240" s="1" t="str">
        <f>CONCATENATE(tblCong[[#This Row],[parishCode]],"-",tblCong[[#This Row],[kCode]])</f>
        <v>D07-S03-P01-K01</v>
      </c>
      <c r="G1240" s="1" t="str">
        <f>Distrik!F$11</f>
        <v>D07</v>
      </c>
      <c r="H1240" s="1" t="str">
        <f>VLOOKUP(tblCong[[#This Row],[distCode]],tblDistrict[#All],2)</f>
        <v>Boana</v>
      </c>
      <c r="I1240" s="1" t="str">
        <f>Seket!I$55</f>
        <v>S03</v>
      </c>
      <c r="J1240" s="1" t="str">
        <f>CONCATENATE(tblCong[[#This Row],[distCode]],"-",tblCong[[#This Row],[sCode]])</f>
        <v>D07-S03</v>
      </c>
      <c r="K1240" s="1" t="str">
        <f>VLOOKUP(tblCong[[#This Row],[seketCode]],tblSeket[#All],5,FALSE)</f>
        <v>Zone 3: Nabak</v>
      </c>
      <c r="L1240" s="1" t="str">
        <f>Paris!L$311</f>
        <v>P01</v>
      </c>
      <c r="M1240" s="1" t="str">
        <f>CONCATENATE(tblCong[[#This Row],[seketCode]],"-",tblCong[[#This Row],[pCode]])</f>
        <v>D07-S03-P01</v>
      </c>
      <c r="N1240" s="1" t="str">
        <f>Paris!M$311</f>
        <v>Satukimo</v>
      </c>
      <c r="O1240" s="1" t="s">
        <v>567</v>
      </c>
      <c r="P1240" s="1" t="s">
        <v>1738</v>
      </c>
    </row>
    <row r="1241" spans="6:16" x14ac:dyDescent="0.35">
      <c r="F1241" s="1" t="str">
        <f>CONCATENATE(tblCong[[#This Row],[parishCode]],"-",tblCong[[#This Row],[kCode]])</f>
        <v>D07-S03-P01-K02</v>
      </c>
      <c r="G1241" s="1" t="str">
        <f>Distrik!F$11</f>
        <v>D07</v>
      </c>
      <c r="H1241" s="1" t="str">
        <f>VLOOKUP(tblCong[[#This Row],[distCode]],tblDistrict[#All],2)</f>
        <v>Boana</v>
      </c>
      <c r="I1241" s="1" t="str">
        <f>Seket!I$55</f>
        <v>S03</v>
      </c>
      <c r="J1241" s="1" t="str">
        <f>CONCATENATE(tblCong[[#This Row],[distCode]],"-",tblCong[[#This Row],[sCode]])</f>
        <v>D07-S03</v>
      </c>
      <c r="K1241" s="1" t="str">
        <f>VLOOKUP(tblCong[[#This Row],[seketCode]],tblSeket[#All],5,FALSE)</f>
        <v>Zone 3: Nabak</v>
      </c>
      <c r="L1241" s="1" t="str">
        <f>Paris!L$311</f>
        <v>P01</v>
      </c>
      <c r="M1241" s="1" t="str">
        <f>CONCATENATE(tblCong[[#This Row],[seketCode]],"-",tblCong[[#This Row],[pCode]])</f>
        <v>D07-S03-P01</v>
      </c>
      <c r="N1241" s="1" t="str">
        <f>Paris!M$311</f>
        <v>Satukimo</v>
      </c>
      <c r="O1241" s="1" t="s">
        <v>569</v>
      </c>
      <c r="P1241" s="1" t="s">
        <v>1739</v>
      </c>
    </row>
    <row r="1242" spans="6:16" x14ac:dyDescent="0.35">
      <c r="F1242" s="1" t="str">
        <f>CONCATENATE(tblCong[[#This Row],[parishCode]],"-",tblCong[[#This Row],[kCode]])</f>
        <v>D07-S03-P01-K03</v>
      </c>
      <c r="G1242" s="1" t="str">
        <f>Distrik!F$11</f>
        <v>D07</v>
      </c>
      <c r="H1242" s="1" t="str">
        <f>VLOOKUP(tblCong[[#This Row],[distCode]],tblDistrict[#All],2)</f>
        <v>Boana</v>
      </c>
      <c r="I1242" s="1" t="str">
        <f>Seket!I$55</f>
        <v>S03</v>
      </c>
      <c r="J1242" s="1" t="str">
        <f>CONCATENATE(tblCong[[#This Row],[distCode]],"-",tblCong[[#This Row],[sCode]])</f>
        <v>D07-S03</v>
      </c>
      <c r="K1242" s="1" t="str">
        <f>VLOOKUP(tblCong[[#This Row],[seketCode]],tblSeket[#All],5,FALSE)</f>
        <v>Zone 3: Nabak</v>
      </c>
      <c r="L1242" s="1" t="str">
        <f>Paris!L$311</f>
        <v>P01</v>
      </c>
      <c r="M1242" s="1" t="str">
        <f>CONCATENATE(tblCong[[#This Row],[seketCode]],"-",tblCong[[#This Row],[pCode]])</f>
        <v>D07-S03-P01</v>
      </c>
      <c r="N1242" s="1" t="str">
        <f>Paris!M$311</f>
        <v>Satukimo</v>
      </c>
      <c r="O1242" s="1" t="s">
        <v>571</v>
      </c>
      <c r="P1242" s="1" t="s">
        <v>1740</v>
      </c>
    </row>
    <row r="1243" spans="6:16" x14ac:dyDescent="0.35">
      <c r="F1243" s="1" t="str">
        <f>CONCATENATE(tblCong[[#This Row],[parishCode]],"-",tblCong[[#This Row],[kCode]])</f>
        <v>D07-S03-P01-K04</v>
      </c>
      <c r="G1243" s="1" t="str">
        <f>Distrik!F$11</f>
        <v>D07</v>
      </c>
      <c r="H1243" s="1" t="str">
        <f>VLOOKUP(tblCong[[#This Row],[distCode]],tblDistrict[#All],2)</f>
        <v>Boana</v>
      </c>
      <c r="I1243" s="1" t="str">
        <f>Seket!I$55</f>
        <v>S03</v>
      </c>
      <c r="J1243" s="1" t="str">
        <f>CONCATENATE(tblCong[[#This Row],[distCode]],"-",tblCong[[#This Row],[sCode]])</f>
        <v>D07-S03</v>
      </c>
      <c r="K1243" s="1" t="str">
        <f>VLOOKUP(tblCong[[#This Row],[seketCode]],tblSeket[#All],5,FALSE)</f>
        <v>Zone 3: Nabak</v>
      </c>
      <c r="L1243" s="1" t="str">
        <f>Paris!L$311</f>
        <v>P01</v>
      </c>
      <c r="M1243" s="1" t="str">
        <f>CONCATENATE(tblCong[[#This Row],[seketCode]],"-",tblCong[[#This Row],[pCode]])</f>
        <v>D07-S03-P01</v>
      </c>
      <c r="N1243" s="1" t="str">
        <f>Paris!M$311</f>
        <v>Satukimo</v>
      </c>
      <c r="O1243" s="1" t="s">
        <v>573</v>
      </c>
      <c r="P1243" s="1" t="s">
        <v>1741</v>
      </c>
    </row>
    <row r="1244" spans="6:16" x14ac:dyDescent="0.35">
      <c r="F1244" s="1" t="str">
        <f>CONCATENATE(tblCong[[#This Row],[parishCode]],"-",tblCong[[#This Row],[kCode]])</f>
        <v>D07-S03-P02-K01</v>
      </c>
      <c r="G1244" s="1" t="str">
        <f>Distrik!F$11</f>
        <v>D07</v>
      </c>
      <c r="H1244" s="1" t="str">
        <f>VLOOKUP(tblCong[[#This Row],[distCode]],tblDistrict[#All],2)</f>
        <v>Boana</v>
      </c>
      <c r="I1244" s="1" t="str">
        <f>Seket!I$55</f>
        <v>S03</v>
      </c>
      <c r="J1244" s="1" t="str">
        <f>CONCATENATE(tblCong[[#This Row],[distCode]],"-",tblCong[[#This Row],[sCode]])</f>
        <v>D07-S03</v>
      </c>
      <c r="K1244" s="1" t="str">
        <f>VLOOKUP(tblCong[[#This Row],[seketCode]],tblSeket[#All],5,FALSE)</f>
        <v>Zone 3: Nabak</v>
      </c>
      <c r="L1244" s="1" t="str">
        <f>Paris!L$312</f>
        <v>P02</v>
      </c>
      <c r="M1244" s="1" t="str">
        <f>CONCATENATE(tblCong[[#This Row],[seketCode]],"-",tblCong[[#This Row],[pCode]])</f>
        <v>D07-S03-P02</v>
      </c>
      <c r="N1244" s="1" t="str">
        <f>Paris!M$312</f>
        <v>Yaqamu</v>
      </c>
      <c r="O1244" s="1" t="s">
        <v>567</v>
      </c>
      <c r="P1244" s="1" t="s">
        <v>1742</v>
      </c>
    </row>
    <row r="1245" spans="6:16" x14ac:dyDescent="0.35">
      <c r="F1245" s="1" t="str">
        <f>CONCATENATE(tblCong[[#This Row],[parishCode]],"-",tblCong[[#This Row],[kCode]])</f>
        <v>D07-S03-P02-K02</v>
      </c>
      <c r="G1245" s="1" t="str">
        <f>Distrik!F$11</f>
        <v>D07</v>
      </c>
      <c r="H1245" s="1" t="str">
        <f>VLOOKUP(tblCong[[#This Row],[distCode]],tblDistrict[#All],2)</f>
        <v>Boana</v>
      </c>
      <c r="I1245" s="1" t="str">
        <f>Seket!I$55</f>
        <v>S03</v>
      </c>
      <c r="J1245" s="1" t="str">
        <f>CONCATENATE(tblCong[[#This Row],[distCode]],"-",tblCong[[#This Row],[sCode]])</f>
        <v>D07-S03</v>
      </c>
      <c r="K1245" s="1" t="str">
        <f>VLOOKUP(tblCong[[#This Row],[seketCode]],tblSeket[#All],5,FALSE)</f>
        <v>Zone 3: Nabak</v>
      </c>
      <c r="L1245" s="1" t="str">
        <f>Paris!L$312</f>
        <v>P02</v>
      </c>
      <c r="M1245" s="1" t="str">
        <f>CONCATENATE(tblCong[[#This Row],[seketCode]],"-",tblCong[[#This Row],[pCode]])</f>
        <v>D07-S03-P02</v>
      </c>
      <c r="N1245" s="1" t="str">
        <f>Paris!M$312</f>
        <v>Yaqamu</v>
      </c>
      <c r="O1245" s="1" t="s">
        <v>569</v>
      </c>
      <c r="P1245" s="1" t="s">
        <v>1743</v>
      </c>
    </row>
    <row r="1246" spans="6:16" x14ac:dyDescent="0.35">
      <c r="F1246" s="1" t="str">
        <f>CONCATENATE(tblCong[[#This Row],[parishCode]],"-",tblCong[[#This Row],[kCode]])</f>
        <v>D07-S03-P02-K03</v>
      </c>
      <c r="G1246" s="1" t="str">
        <f>Distrik!F$11</f>
        <v>D07</v>
      </c>
      <c r="H1246" s="1" t="str">
        <f>VLOOKUP(tblCong[[#This Row],[distCode]],tblDistrict[#All],2)</f>
        <v>Boana</v>
      </c>
      <c r="I1246" s="1" t="str">
        <f>Seket!I$55</f>
        <v>S03</v>
      </c>
      <c r="J1246" s="1" t="str">
        <f>CONCATENATE(tblCong[[#This Row],[distCode]],"-",tblCong[[#This Row],[sCode]])</f>
        <v>D07-S03</v>
      </c>
      <c r="K1246" s="1" t="str">
        <f>VLOOKUP(tblCong[[#This Row],[seketCode]],tblSeket[#All],5,FALSE)</f>
        <v>Zone 3: Nabak</v>
      </c>
      <c r="L1246" s="1" t="str">
        <f>Paris!L$312</f>
        <v>P02</v>
      </c>
      <c r="M1246" s="1" t="str">
        <f>CONCATENATE(tblCong[[#This Row],[seketCode]],"-",tblCong[[#This Row],[pCode]])</f>
        <v>D07-S03-P02</v>
      </c>
      <c r="N1246" s="1" t="str">
        <f>Paris!M$312</f>
        <v>Yaqamu</v>
      </c>
      <c r="O1246" s="1" t="s">
        <v>571</v>
      </c>
      <c r="P1246" s="1" t="s">
        <v>1744</v>
      </c>
    </row>
    <row r="1247" spans="6:16" x14ac:dyDescent="0.35">
      <c r="F1247" s="1" t="str">
        <f>CONCATENATE(tblCong[[#This Row],[parishCode]],"-",tblCong[[#This Row],[kCode]])</f>
        <v>D07-S03-P03-K01</v>
      </c>
      <c r="G1247" s="1" t="str">
        <f>Distrik!F$11</f>
        <v>D07</v>
      </c>
      <c r="H1247" s="1" t="str">
        <f>VLOOKUP(tblCong[[#This Row],[distCode]],tblDistrict[#All],2)</f>
        <v>Boana</v>
      </c>
      <c r="I1247" s="1" t="str">
        <f>Seket!I$55</f>
        <v>S03</v>
      </c>
      <c r="J1247" s="1" t="str">
        <f>CONCATENATE(tblCong[[#This Row],[distCode]],"-",tblCong[[#This Row],[sCode]])</f>
        <v>D07-S03</v>
      </c>
      <c r="K1247" s="1" t="str">
        <f>VLOOKUP(tblCong[[#This Row],[seketCode]],tblSeket[#All],5,FALSE)</f>
        <v>Zone 3: Nabak</v>
      </c>
      <c r="L1247" s="1" t="str">
        <f>Paris!L$313</f>
        <v>P03</v>
      </c>
      <c r="M1247" s="1" t="str">
        <f>CONCATENATE(tblCong[[#This Row],[seketCode]],"-",tblCong[[#This Row],[pCode]])</f>
        <v>D07-S03-P03</v>
      </c>
      <c r="N1247" s="1" t="str">
        <f>Paris!M$313</f>
        <v>Baqata</v>
      </c>
      <c r="O1247" s="1" t="s">
        <v>567</v>
      </c>
      <c r="P1247" s="1" t="s">
        <v>1745</v>
      </c>
    </row>
    <row r="1248" spans="6:16" x14ac:dyDescent="0.35">
      <c r="F1248" s="1" t="str">
        <f>CONCATENATE(tblCong[[#This Row],[parishCode]],"-",tblCong[[#This Row],[kCode]])</f>
        <v>D07-S03-P03-K02</v>
      </c>
      <c r="G1248" s="1" t="str">
        <f>Distrik!F$11</f>
        <v>D07</v>
      </c>
      <c r="H1248" s="1" t="str">
        <f>VLOOKUP(tblCong[[#This Row],[distCode]],tblDistrict[#All],2)</f>
        <v>Boana</v>
      </c>
      <c r="I1248" s="1" t="str">
        <f>Seket!I$55</f>
        <v>S03</v>
      </c>
      <c r="J1248" s="1" t="str">
        <f>CONCATENATE(tblCong[[#This Row],[distCode]],"-",tblCong[[#This Row],[sCode]])</f>
        <v>D07-S03</v>
      </c>
      <c r="K1248" s="1" t="str">
        <f>VLOOKUP(tblCong[[#This Row],[seketCode]],tblSeket[#All],5,FALSE)</f>
        <v>Zone 3: Nabak</v>
      </c>
      <c r="L1248" s="1" t="str">
        <f>Paris!L$313</f>
        <v>P03</v>
      </c>
      <c r="M1248" s="1" t="str">
        <f>CONCATENATE(tblCong[[#This Row],[seketCode]],"-",tblCong[[#This Row],[pCode]])</f>
        <v>D07-S03-P03</v>
      </c>
      <c r="N1248" s="1" t="str">
        <f>Paris!M$313</f>
        <v>Baqata</v>
      </c>
      <c r="O1248" s="1" t="s">
        <v>569</v>
      </c>
      <c r="P1248" s="1" t="s">
        <v>1746</v>
      </c>
    </row>
    <row r="1249" spans="6:16" x14ac:dyDescent="0.35">
      <c r="F1249" s="1" t="str">
        <f>CONCATENATE(tblCong[[#This Row],[parishCode]],"-",tblCong[[#This Row],[kCode]])</f>
        <v>D07-S03-P03-K03</v>
      </c>
      <c r="G1249" s="1" t="str">
        <f>Distrik!F$11</f>
        <v>D07</v>
      </c>
      <c r="H1249" s="1" t="str">
        <f>VLOOKUP(tblCong[[#This Row],[distCode]],tblDistrict[#All],2)</f>
        <v>Boana</v>
      </c>
      <c r="I1249" s="1" t="str">
        <f>Seket!I$55</f>
        <v>S03</v>
      </c>
      <c r="J1249" s="1" t="str">
        <f>CONCATENATE(tblCong[[#This Row],[distCode]],"-",tblCong[[#This Row],[sCode]])</f>
        <v>D07-S03</v>
      </c>
      <c r="K1249" s="1" t="str">
        <f>VLOOKUP(tblCong[[#This Row],[seketCode]],tblSeket[#All],5,FALSE)</f>
        <v>Zone 3: Nabak</v>
      </c>
      <c r="L1249" s="1" t="str">
        <f>Paris!L$313</f>
        <v>P03</v>
      </c>
      <c r="M1249" s="1" t="str">
        <f>CONCATENATE(tblCong[[#This Row],[seketCode]],"-",tblCong[[#This Row],[pCode]])</f>
        <v>D07-S03-P03</v>
      </c>
      <c r="N1249" s="1" t="str">
        <f>Paris!M$313</f>
        <v>Baqata</v>
      </c>
      <c r="O1249" s="1" t="s">
        <v>571</v>
      </c>
      <c r="P1249" s="1" t="s">
        <v>1747</v>
      </c>
    </row>
    <row r="1250" spans="6:16" x14ac:dyDescent="0.35">
      <c r="F1250" s="1" t="str">
        <f>CONCATENATE(tblCong[[#This Row],[parishCode]],"-",tblCong[[#This Row],[kCode]])</f>
        <v>D07-S03-P03-K04</v>
      </c>
      <c r="G1250" s="1" t="str">
        <f>Distrik!F$11</f>
        <v>D07</v>
      </c>
      <c r="H1250" s="1" t="str">
        <f>VLOOKUP(tblCong[[#This Row],[distCode]],tblDistrict[#All],2)</f>
        <v>Boana</v>
      </c>
      <c r="I1250" s="1" t="str">
        <f>Seket!I$55</f>
        <v>S03</v>
      </c>
      <c r="J1250" s="1" t="str">
        <f>CONCATENATE(tblCong[[#This Row],[distCode]],"-",tblCong[[#This Row],[sCode]])</f>
        <v>D07-S03</v>
      </c>
      <c r="K1250" s="1" t="str">
        <f>VLOOKUP(tblCong[[#This Row],[seketCode]],tblSeket[#All],5,FALSE)</f>
        <v>Zone 3: Nabak</v>
      </c>
      <c r="L1250" s="1" t="str">
        <f>Paris!L$313</f>
        <v>P03</v>
      </c>
      <c r="M1250" s="1" t="str">
        <f>CONCATENATE(tblCong[[#This Row],[seketCode]],"-",tblCong[[#This Row],[pCode]])</f>
        <v>D07-S03-P03</v>
      </c>
      <c r="N1250" s="1" t="str">
        <f>Paris!M$313</f>
        <v>Baqata</v>
      </c>
      <c r="O1250" s="1" t="s">
        <v>573</v>
      </c>
      <c r="P1250" s="1" t="s">
        <v>1748</v>
      </c>
    </row>
    <row r="1251" spans="6:16" x14ac:dyDescent="0.35">
      <c r="F1251" s="1" t="str">
        <f>CONCATENATE(tblCong[[#This Row],[parishCode]],"-",tblCong[[#This Row],[kCode]])</f>
        <v>D07-S03-P03-K05</v>
      </c>
      <c r="G1251" s="1" t="str">
        <f>Distrik!F$11</f>
        <v>D07</v>
      </c>
      <c r="H1251" s="1" t="str">
        <f>VLOOKUP(tblCong[[#This Row],[distCode]],tblDistrict[#All],2)</f>
        <v>Boana</v>
      </c>
      <c r="I1251" s="1" t="str">
        <f>Seket!I$55</f>
        <v>S03</v>
      </c>
      <c r="J1251" s="1" t="str">
        <f>CONCATENATE(tblCong[[#This Row],[distCode]],"-",tblCong[[#This Row],[sCode]])</f>
        <v>D07-S03</v>
      </c>
      <c r="K1251" s="1" t="str">
        <f>VLOOKUP(tblCong[[#This Row],[seketCode]],tblSeket[#All],5,FALSE)</f>
        <v>Zone 3: Nabak</v>
      </c>
      <c r="L1251" s="1" t="str">
        <f>Paris!L$313</f>
        <v>P03</v>
      </c>
      <c r="M1251" s="1" t="str">
        <f>CONCATENATE(tblCong[[#This Row],[seketCode]],"-",tblCong[[#This Row],[pCode]])</f>
        <v>D07-S03-P03</v>
      </c>
      <c r="N1251" s="1" t="str">
        <f>Paris!M$313</f>
        <v>Baqata</v>
      </c>
      <c r="O1251" s="1" t="s">
        <v>575</v>
      </c>
      <c r="P1251" s="1" t="s">
        <v>1749</v>
      </c>
    </row>
    <row r="1252" spans="6:16" x14ac:dyDescent="0.35">
      <c r="F1252" s="1" t="str">
        <f>CONCATENATE(tblCong[[#This Row],[parishCode]],"-",tblCong[[#This Row],[kCode]])</f>
        <v>D07-S03-P03-K06</v>
      </c>
      <c r="G1252" s="1" t="str">
        <f>Distrik!F$11</f>
        <v>D07</v>
      </c>
      <c r="H1252" s="1" t="str">
        <f>VLOOKUP(tblCong[[#This Row],[distCode]],tblDistrict[#All],2)</f>
        <v>Boana</v>
      </c>
      <c r="I1252" s="1" t="str">
        <f>Seket!I$55</f>
        <v>S03</v>
      </c>
      <c r="J1252" s="1" t="str">
        <f>CONCATENATE(tblCong[[#This Row],[distCode]],"-",tblCong[[#This Row],[sCode]])</f>
        <v>D07-S03</v>
      </c>
      <c r="K1252" s="1" t="str">
        <f>VLOOKUP(tblCong[[#This Row],[seketCode]],tblSeket[#All],5,FALSE)</f>
        <v>Zone 3: Nabak</v>
      </c>
      <c r="L1252" s="1" t="str">
        <f>Paris!L$313</f>
        <v>P03</v>
      </c>
      <c r="M1252" s="1" t="str">
        <f>CONCATENATE(tblCong[[#This Row],[seketCode]],"-",tblCong[[#This Row],[pCode]])</f>
        <v>D07-S03-P03</v>
      </c>
      <c r="N1252" s="1" t="str">
        <f>Paris!M$313</f>
        <v>Baqata</v>
      </c>
      <c r="O1252" s="1" t="s">
        <v>576</v>
      </c>
      <c r="P1252" s="1" t="s">
        <v>1750</v>
      </c>
    </row>
    <row r="1253" spans="6:16" x14ac:dyDescent="0.35">
      <c r="F1253" s="1" t="str">
        <f>CONCATENATE(tblCong[[#This Row],[parishCode]],"-",tblCong[[#This Row],[kCode]])</f>
        <v>D07-S03-P03-K07</v>
      </c>
      <c r="G1253" s="1" t="str">
        <f>Distrik!F$11</f>
        <v>D07</v>
      </c>
      <c r="H1253" s="1" t="str">
        <f>VLOOKUP(tblCong[[#This Row],[distCode]],tblDistrict[#All],2)</f>
        <v>Boana</v>
      </c>
      <c r="I1253" s="1" t="str">
        <f>Seket!I$55</f>
        <v>S03</v>
      </c>
      <c r="J1253" s="1" t="str">
        <f>CONCATENATE(tblCong[[#This Row],[distCode]],"-",tblCong[[#This Row],[sCode]])</f>
        <v>D07-S03</v>
      </c>
      <c r="K1253" s="1" t="str">
        <f>VLOOKUP(tblCong[[#This Row],[seketCode]],tblSeket[#All],5,FALSE)</f>
        <v>Zone 3: Nabak</v>
      </c>
      <c r="L1253" s="1" t="str">
        <f>Paris!L$313</f>
        <v>P03</v>
      </c>
      <c r="M1253" s="1" t="str">
        <f>CONCATENATE(tblCong[[#This Row],[seketCode]],"-",tblCong[[#This Row],[pCode]])</f>
        <v>D07-S03-P03</v>
      </c>
      <c r="N1253" s="1" t="str">
        <f>Paris!M$313</f>
        <v>Baqata</v>
      </c>
      <c r="O1253" s="1" t="s">
        <v>578</v>
      </c>
      <c r="P1253" s="1" t="s">
        <v>1751</v>
      </c>
    </row>
    <row r="1254" spans="6:16" x14ac:dyDescent="0.35">
      <c r="F1254" s="1" t="str">
        <f>CONCATENATE(tblCong[[#This Row],[parishCode]],"-",tblCong[[#This Row],[kCode]])</f>
        <v>D07-S03-P04-K01</v>
      </c>
      <c r="G1254" s="1" t="str">
        <f>Distrik!F$11</f>
        <v>D07</v>
      </c>
      <c r="H1254" s="1" t="str">
        <f>VLOOKUP(tblCong[[#This Row],[distCode]],tblDistrict[#All],2)</f>
        <v>Boana</v>
      </c>
      <c r="I1254" s="1" t="str">
        <f>Seket!I$55</f>
        <v>S03</v>
      </c>
      <c r="J1254" s="1" t="str">
        <f>CONCATENATE(tblCong[[#This Row],[distCode]],"-",tblCong[[#This Row],[sCode]])</f>
        <v>D07-S03</v>
      </c>
      <c r="K1254" s="1" t="str">
        <f>VLOOKUP(tblCong[[#This Row],[seketCode]],tblSeket[#All],5,FALSE)</f>
        <v>Zone 3: Nabak</v>
      </c>
      <c r="L1254" s="1" t="str">
        <f>Paris!L$314</f>
        <v>P04</v>
      </c>
      <c r="M1254" s="1" t="str">
        <f>CONCATENATE(tblCong[[#This Row],[seketCode]],"-",tblCong[[#This Row],[pCode]])</f>
        <v>D07-S03-P04</v>
      </c>
      <c r="N1254" s="1" t="str">
        <f>Paris!M$314</f>
        <v>Tuni</v>
      </c>
      <c r="O1254" s="1" t="s">
        <v>567</v>
      </c>
      <c r="P1254" s="1" t="s">
        <v>1752</v>
      </c>
    </row>
    <row r="1255" spans="6:16" x14ac:dyDescent="0.35">
      <c r="F1255" s="1" t="str">
        <f>CONCATENATE(tblCong[[#This Row],[parishCode]],"-",tblCong[[#This Row],[kCode]])</f>
        <v>D07-S03-P04-K02</v>
      </c>
      <c r="G1255" s="1" t="str">
        <f>Distrik!F$11</f>
        <v>D07</v>
      </c>
      <c r="H1255" s="1" t="str">
        <f>VLOOKUP(tblCong[[#This Row],[distCode]],tblDistrict[#All],2)</f>
        <v>Boana</v>
      </c>
      <c r="I1255" s="1" t="str">
        <f>Seket!I$55</f>
        <v>S03</v>
      </c>
      <c r="J1255" s="1" t="str">
        <f>CONCATENATE(tblCong[[#This Row],[distCode]],"-",tblCong[[#This Row],[sCode]])</f>
        <v>D07-S03</v>
      </c>
      <c r="K1255" s="1" t="str">
        <f>VLOOKUP(tblCong[[#This Row],[seketCode]],tblSeket[#All],5,FALSE)</f>
        <v>Zone 3: Nabak</v>
      </c>
      <c r="L1255" s="1" t="str">
        <f>Paris!L$314</f>
        <v>P04</v>
      </c>
      <c r="M1255" s="1" t="str">
        <f>CONCATENATE(tblCong[[#This Row],[seketCode]],"-",tblCong[[#This Row],[pCode]])</f>
        <v>D07-S03-P04</v>
      </c>
      <c r="N1255" s="1" t="str">
        <f>Paris!M$314</f>
        <v>Tuni</v>
      </c>
      <c r="O1255" s="1" t="s">
        <v>569</v>
      </c>
      <c r="P1255" s="1" t="s">
        <v>1753</v>
      </c>
    </row>
    <row r="1256" spans="6:16" x14ac:dyDescent="0.35">
      <c r="F1256" s="1" t="str">
        <f>CONCATENATE(tblCong[[#This Row],[parishCode]],"-",tblCong[[#This Row],[kCode]])</f>
        <v>D07-S03-P04-K03</v>
      </c>
      <c r="G1256" s="1" t="str">
        <f>Distrik!F$11</f>
        <v>D07</v>
      </c>
      <c r="H1256" s="1" t="str">
        <f>VLOOKUP(tblCong[[#This Row],[distCode]],tblDistrict[#All],2)</f>
        <v>Boana</v>
      </c>
      <c r="I1256" s="1" t="str">
        <f>Seket!I$55</f>
        <v>S03</v>
      </c>
      <c r="J1256" s="1" t="str">
        <f>CONCATENATE(tblCong[[#This Row],[distCode]],"-",tblCong[[#This Row],[sCode]])</f>
        <v>D07-S03</v>
      </c>
      <c r="K1256" s="1" t="str">
        <f>VLOOKUP(tblCong[[#This Row],[seketCode]],tblSeket[#All],5,FALSE)</f>
        <v>Zone 3: Nabak</v>
      </c>
      <c r="L1256" s="1" t="str">
        <f>Paris!L$314</f>
        <v>P04</v>
      </c>
      <c r="M1256" s="1" t="str">
        <f>CONCATENATE(tblCong[[#This Row],[seketCode]],"-",tblCong[[#This Row],[pCode]])</f>
        <v>D07-S03-P04</v>
      </c>
      <c r="N1256" s="1" t="str">
        <f>Paris!M$314</f>
        <v>Tuni</v>
      </c>
      <c r="O1256" s="1" t="s">
        <v>571</v>
      </c>
      <c r="P1256" s="1" t="s">
        <v>1754</v>
      </c>
    </row>
    <row r="1257" spans="6:16" x14ac:dyDescent="0.35">
      <c r="F1257" s="1" t="str">
        <f>CONCATENATE(tblCong[[#This Row],[parishCode]],"-",tblCong[[#This Row],[kCode]])</f>
        <v>D07-S03-P04-K04</v>
      </c>
      <c r="G1257" s="1" t="str">
        <f>Distrik!F$11</f>
        <v>D07</v>
      </c>
      <c r="H1257" s="1" t="str">
        <f>VLOOKUP(tblCong[[#This Row],[distCode]],tblDistrict[#All],2)</f>
        <v>Boana</v>
      </c>
      <c r="I1257" s="1" t="str">
        <f>Seket!I$55</f>
        <v>S03</v>
      </c>
      <c r="J1257" s="1" t="str">
        <f>CONCATENATE(tblCong[[#This Row],[distCode]],"-",tblCong[[#This Row],[sCode]])</f>
        <v>D07-S03</v>
      </c>
      <c r="K1257" s="1" t="str">
        <f>VLOOKUP(tblCong[[#This Row],[seketCode]],tblSeket[#All],5,FALSE)</f>
        <v>Zone 3: Nabak</v>
      </c>
      <c r="L1257" s="1" t="str">
        <f>Paris!L$314</f>
        <v>P04</v>
      </c>
      <c r="M1257" s="1" t="str">
        <f>CONCATENATE(tblCong[[#This Row],[seketCode]],"-",tblCong[[#This Row],[pCode]])</f>
        <v>D07-S03-P04</v>
      </c>
      <c r="N1257" s="1" t="str">
        <f>Paris!M$314</f>
        <v>Tuni</v>
      </c>
      <c r="O1257" s="1" t="s">
        <v>573</v>
      </c>
      <c r="P1257" s="1" t="s">
        <v>1755</v>
      </c>
    </row>
    <row r="1258" spans="6:16" x14ac:dyDescent="0.35">
      <c r="F1258" s="1" t="str">
        <f>CONCATENATE(tblCong[[#This Row],[parishCode]],"-",tblCong[[#This Row],[kCode]])</f>
        <v>D07-S03-P04-K05</v>
      </c>
      <c r="G1258" s="1" t="str">
        <f>Distrik!F$11</f>
        <v>D07</v>
      </c>
      <c r="H1258" s="1" t="str">
        <f>VLOOKUP(tblCong[[#This Row],[distCode]],tblDistrict[#All],2)</f>
        <v>Boana</v>
      </c>
      <c r="I1258" s="1" t="str">
        <f>Seket!I$55</f>
        <v>S03</v>
      </c>
      <c r="J1258" s="1" t="str">
        <f>CONCATENATE(tblCong[[#This Row],[distCode]],"-",tblCong[[#This Row],[sCode]])</f>
        <v>D07-S03</v>
      </c>
      <c r="K1258" s="1" t="str">
        <f>VLOOKUP(tblCong[[#This Row],[seketCode]],tblSeket[#All],5,FALSE)</f>
        <v>Zone 3: Nabak</v>
      </c>
      <c r="L1258" s="1" t="str">
        <f>Paris!L$314</f>
        <v>P04</v>
      </c>
      <c r="M1258" s="1" t="str">
        <f>CONCATENATE(tblCong[[#This Row],[seketCode]],"-",tblCong[[#This Row],[pCode]])</f>
        <v>D07-S03-P04</v>
      </c>
      <c r="N1258" s="1" t="str">
        <f>Paris!M$314</f>
        <v>Tuni</v>
      </c>
      <c r="O1258" s="1" t="s">
        <v>575</v>
      </c>
      <c r="P1258" s="1" t="s">
        <v>1756</v>
      </c>
    </row>
    <row r="1259" spans="6:16" x14ac:dyDescent="0.35">
      <c r="F1259" s="1" t="str">
        <f>CONCATENATE(tblCong[[#This Row],[parishCode]],"-",tblCong[[#This Row],[kCode]])</f>
        <v>D07-S03-P04-K06</v>
      </c>
      <c r="G1259" s="1" t="str">
        <f>Distrik!F$11</f>
        <v>D07</v>
      </c>
      <c r="H1259" s="1" t="str">
        <f>VLOOKUP(tblCong[[#This Row],[distCode]],tblDistrict[#All],2)</f>
        <v>Boana</v>
      </c>
      <c r="I1259" s="1" t="str">
        <f>Seket!I$55</f>
        <v>S03</v>
      </c>
      <c r="J1259" s="1" t="str">
        <f>CONCATENATE(tblCong[[#This Row],[distCode]],"-",tblCong[[#This Row],[sCode]])</f>
        <v>D07-S03</v>
      </c>
      <c r="K1259" s="1" t="str">
        <f>VLOOKUP(tblCong[[#This Row],[seketCode]],tblSeket[#All],5,FALSE)</f>
        <v>Zone 3: Nabak</v>
      </c>
      <c r="L1259" s="1" t="str">
        <f>Paris!L$314</f>
        <v>P04</v>
      </c>
      <c r="M1259" s="1" t="str">
        <f>CONCATENATE(tblCong[[#This Row],[seketCode]],"-",tblCong[[#This Row],[pCode]])</f>
        <v>D07-S03-P04</v>
      </c>
      <c r="N1259" s="1" t="str">
        <f>Paris!M$314</f>
        <v>Tuni</v>
      </c>
      <c r="O1259" s="1" t="s">
        <v>576</v>
      </c>
      <c r="P1259" s="1" t="s">
        <v>1757</v>
      </c>
    </row>
    <row r="1260" spans="6:16" x14ac:dyDescent="0.35">
      <c r="F1260" s="1" t="str">
        <f>CONCATENATE(tblCong[[#This Row],[parishCode]],"-",tblCong[[#This Row],[kCode]])</f>
        <v>D07-S03-P04-K07</v>
      </c>
      <c r="G1260" s="1" t="str">
        <f>Distrik!F$11</f>
        <v>D07</v>
      </c>
      <c r="H1260" s="1" t="str">
        <f>VLOOKUP(tblCong[[#This Row],[distCode]],tblDistrict[#All],2)</f>
        <v>Boana</v>
      </c>
      <c r="I1260" s="1" t="str">
        <f>Seket!I$55</f>
        <v>S03</v>
      </c>
      <c r="J1260" s="1" t="str">
        <f>CONCATENATE(tblCong[[#This Row],[distCode]],"-",tblCong[[#This Row],[sCode]])</f>
        <v>D07-S03</v>
      </c>
      <c r="K1260" s="1" t="str">
        <f>VLOOKUP(tblCong[[#This Row],[seketCode]],tblSeket[#All],5,FALSE)</f>
        <v>Zone 3: Nabak</v>
      </c>
      <c r="L1260" s="1" t="str">
        <f>Paris!L$314</f>
        <v>P04</v>
      </c>
      <c r="M1260" s="1" t="str">
        <f>CONCATENATE(tblCong[[#This Row],[seketCode]],"-",tblCong[[#This Row],[pCode]])</f>
        <v>D07-S03-P04</v>
      </c>
      <c r="N1260" s="1" t="str">
        <f>Paris!M$314</f>
        <v>Tuni</v>
      </c>
      <c r="O1260" s="1" t="s">
        <v>578</v>
      </c>
      <c r="P1260" s="1" t="s">
        <v>1758</v>
      </c>
    </row>
    <row r="1261" spans="6:16" x14ac:dyDescent="0.35">
      <c r="F1261" s="1" t="str">
        <f>CONCATENATE(tblCong[[#This Row],[parishCode]],"-",tblCong[[#This Row],[kCode]])</f>
        <v>D07-S03-P04-K08</v>
      </c>
      <c r="G1261" s="1" t="str">
        <f>Distrik!F$11</f>
        <v>D07</v>
      </c>
      <c r="H1261" s="1" t="str">
        <f>VLOOKUP(tblCong[[#This Row],[distCode]],tblDistrict[#All],2)</f>
        <v>Boana</v>
      </c>
      <c r="I1261" s="1" t="str">
        <f>Seket!I$55</f>
        <v>S03</v>
      </c>
      <c r="J1261" s="1" t="str">
        <f>CONCATENATE(tblCong[[#This Row],[distCode]],"-",tblCong[[#This Row],[sCode]])</f>
        <v>D07-S03</v>
      </c>
      <c r="K1261" s="1" t="str">
        <f>VLOOKUP(tblCong[[#This Row],[seketCode]],tblSeket[#All],5,FALSE)</f>
        <v>Zone 3: Nabak</v>
      </c>
      <c r="L1261" s="1" t="str">
        <f>Paris!L$314</f>
        <v>P04</v>
      </c>
      <c r="M1261" s="1" t="str">
        <f>CONCATENATE(tblCong[[#This Row],[seketCode]],"-",tblCong[[#This Row],[pCode]])</f>
        <v>D07-S03-P04</v>
      </c>
      <c r="N1261" s="1" t="str">
        <f>Paris!M$314</f>
        <v>Tuni</v>
      </c>
      <c r="O1261" s="1" t="s">
        <v>651</v>
      </c>
      <c r="P1261" s="1" t="s">
        <v>1759</v>
      </c>
    </row>
    <row r="1262" spans="6:16" x14ac:dyDescent="0.35">
      <c r="F1262" s="1" t="str">
        <f>CONCATENATE(tblCong[[#This Row],[parishCode]],"-",tblCong[[#This Row],[kCode]])</f>
        <v>D07-S03-P04-K09</v>
      </c>
      <c r="G1262" s="1" t="str">
        <f>Distrik!F$11</f>
        <v>D07</v>
      </c>
      <c r="H1262" s="1" t="str">
        <f>VLOOKUP(tblCong[[#This Row],[distCode]],tblDistrict[#All],2)</f>
        <v>Boana</v>
      </c>
      <c r="I1262" s="1" t="str">
        <f>Seket!I$55</f>
        <v>S03</v>
      </c>
      <c r="J1262" s="1" t="str">
        <f>CONCATENATE(tblCong[[#This Row],[distCode]],"-",tblCong[[#This Row],[sCode]])</f>
        <v>D07-S03</v>
      </c>
      <c r="K1262" s="1" t="str">
        <f>VLOOKUP(tblCong[[#This Row],[seketCode]],tblSeket[#All],5,FALSE)</f>
        <v>Zone 3: Nabak</v>
      </c>
      <c r="L1262" s="1" t="str">
        <f>Paris!L$314</f>
        <v>P04</v>
      </c>
      <c r="M1262" s="1" t="str">
        <f>CONCATENATE(tblCong[[#This Row],[seketCode]],"-",tblCong[[#This Row],[pCode]])</f>
        <v>D07-S03-P04</v>
      </c>
      <c r="N1262" s="1" t="str">
        <f>Paris!M$314</f>
        <v>Tuni</v>
      </c>
      <c r="O1262" s="1" t="s">
        <v>653</v>
      </c>
      <c r="P1262" s="1" t="s">
        <v>1760</v>
      </c>
    </row>
    <row r="1263" spans="6:16" x14ac:dyDescent="0.35">
      <c r="F1263" s="1" t="str">
        <f>CONCATENATE(tblCong[[#This Row],[parishCode]],"-",tblCong[[#This Row],[kCode]])</f>
        <v>D07-S03-P05-K01</v>
      </c>
      <c r="G1263" s="1" t="str">
        <f>Distrik!F$11</f>
        <v>D07</v>
      </c>
      <c r="H1263" s="1" t="str">
        <f>VLOOKUP(tblCong[[#This Row],[distCode]],tblDistrict[#All],2)</f>
        <v>Boana</v>
      </c>
      <c r="I1263" s="1" t="str">
        <f>Seket!I$55</f>
        <v>S03</v>
      </c>
      <c r="J1263" s="1" t="str">
        <f>CONCATENATE(tblCong[[#This Row],[distCode]],"-",tblCong[[#This Row],[sCode]])</f>
        <v>D07-S03</v>
      </c>
      <c r="K1263" s="1" t="str">
        <f>VLOOKUP(tblCong[[#This Row],[seketCode]],tblSeket[#All],5,FALSE)</f>
        <v>Zone 3: Nabak</v>
      </c>
      <c r="L1263" s="1" t="str">
        <f>Paris!L$315</f>
        <v>P05</v>
      </c>
      <c r="M1263" s="1" t="str">
        <f>CONCATENATE(tblCong[[#This Row],[seketCode]],"-",tblCong[[#This Row],[pCode]])</f>
        <v>D07-S03-P05</v>
      </c>
      <c r="N1263" s="1" t="str">
        <f>Paris!M$315</f>
        <v>Roumi</v>
      </c>
      <c r="O1263" s="1" t="s">
        <v>567</v>
      </c>
      <c r="P1263" s="1" t="s">
        <v>1761</v>
      </c>
    </row>
    <row r="1264" spans="6:16" x14ac:dyDescent="0.35">
      <c r="F1264" s="1" t="str">
        <f>CONCATENATE(tblCong[[#This Row],[parishCode]],"-",tblCong[[#This Row],[kCode]])</f>
        <v>D07-S03-P05-K02</v>
      </c>
      <c r="G1264" s="1" t="str">
        <f>Distrik!F$11</f>
        <v>D07</v>
      </c>
      <c r="H1264" s="1" t="str">
        <f>VLOOKUP(tblCong[[#This Row],[distCode]],tblDistrict[#All],2)</f>
        <v>Boana</v>
      </c>
      <c r="I1264" s="1" t="str">
        <f>Seket!I$55</f>
        <v>S03</v>
      </c>
      <c r="J1264" s="1" t="str">
        <f>CONCATENATE(tblCong[[#This Row],[distCode]],"-",tblCong[[#This Row],[sCode]])</f>
        <v>D07-S03</v>
      </c>
      <c r="K1264" s="1" t="str">
        <f>VLOOKUP(tblCong[[#This Row],[seketCode]],tblSeket[#All],5,FALSE)</f>
        <v>Zone 3: Nabak</v>
      </c>
      <c r="L1264" s="1" t="str">
        <f>Paris!L$315</f>
        <v>P05</v>
      </c>
      <c r="M1264" s="1" t="str">
        <f>CONCATENATE(tblCong[[#This Row],[seketCode]],"-",tblCong[[#This Row],[pCode]])</f>
        <v>D07-S03-P05</v>
      </c>
      <c r="N1264" s="1" t="str">
        <f>Paris!M$315</f>
        <v>Roumi</v>
      </c>
      <c r="O1264" s="1" t="s">
        <v>569</v>
      </c>
      <c r="P1264" s="1" t="s">
        <v>1762</v>
      </c>
    </row>
    <row r="1265" spans="6:16" x14ac:dyDescent="0.35">
      <c r="F1265" s="1" t="str">
        <f>CONCATENATE(tblCong[[#This Row],[parishCode]],"-",tblCong[[#This Row],[kCode]])</f>
        <v>D07-S03-P05-K03</v>
      </c>
      <c r="G1265" s="1" t="str">
        <f>Distrik!F$11</f>
        <v>D07</v>
      </c>
      <c r="H1265" s="1" t="str">
        <f>VLOOKUP(tblCong[[#This Row],[distCode]],tblDistrict[#All],2)</f>
        <v>Boana</v>
      </c>
      <c r="I1265" s="1" t="str">
        <f>Seket!I$55</f>
        <v>S03</v>
      </c>
      <c r="J1265" s="1" t="str">
        <f>CONCATENATE(tblCong[[#This Row],[distCode]],"-",tblCong[[#This Row],[sCode]])</f>
        <v>D07-S03</v>
      </c>
      <c r="K1265" s="1" t="str">
        <f>VLOOKUP(tblCong[[#This Row],[seketCode]],tblSeket[#All],5,FALSE)</f>
        <v>Zone 3: Nabak</v>
      </c>
      <c r="L1265" s="1" t="str">
        <f>Paris!L$315</f>
        <v>P05</v>
      </c>
      <c r="M1265" s="1" t="str">
        <f>CONCATENATE(tblCong[[#This Row],[seketCode]],"-",tblCong[[#This Row],[pCode]])</f>
        <v>D07-S03-P05</v>
      </c>
      <c r="N1265" s="1" t="str">
        <f>Paris!M$315</f>
        <v>Roumi</v>
      </c>
      <c r="O1265" s="1" t="s">
        <v>571</v>
      </c>
      <c r="P1265" s="1" t="s">
        <v>1763</v>
      </c>
    </row>
    <row r="1266" spans="6:16" x14ac:dyDescent="0.35">
      <c r="F1266" s="1" t="str">
        <f>CONCATENATE(tblCong[[#This Row],[parishCode]],"-",tblCong[[#This Row],[kCode]])</f>
        <v>D07-S03-P05-K04</v>
      </c>
      <c r="G1266" s="1" t="str">
        <f>Distrik!F$11</f>
        <v>D07</v>
      </c>
      <c r="H1266" s="1" t="str">
        <f>VLOOKUP(tblCong[[#This Row],[distCode]],tblDistrict[#All],2)</f>
        <v>Boana</v>
      </c>
      <c r="I1266" s="1" t="str">
        <f>Seket!I$55</f>
        <v>S03</v>
      </c>
      <c r="J1266" s="1" t="str">
        <f>CONCATENATE(tblCong[[#This Row],[distCode]],"-",tblCong[[#This Row],[sCode]])</f>
        <v>D07-S03</v>
      </c>
      <c r="K1266" s="1" t="str">
        <f>VLOOKUP(tblCong[[#This Row],[seketCode]],tblSeket[#All],5,FALSE)</f>
        <v>Zone 3: Nabak</v>
      </c>
      <c r="L1266" s="1" t="str">
        <f>Paris!L$315</f>
        <v>P05</v>
      </c>
      <c r="M1266" s="1" t="str">
        <f>CONCATENATE(tblCong[[#This Row],[seketCode]],"-",tblCong[[#This Row],[pCode]])</f>
        <v>D07-S03-P05</v>
      </c>
      <c r="N1266" s="1" t="str">
        <f>Paris!M$315</f>
        <v>Roumi</v>
      </c>
      <c r="O1266" s="1" t="s">
        <v>573</v>
      </c>
      <c r="P1266" s="1" t="s">
        <v>1764</v>
      </c>
    </row>
    <row r="1267" spans="6:16" x14ac:dyDescent="0.35">
      <c r="F1267" s="1" t="str">
        <f>CONCATENATE(tblCong[[#This Row],[parishCode]],"-",tblCong[[#This Row],[kCode]])</f>
        <v>D07-S03-P05-K05</v>
      </c>
      <c r="G1267" s="1" t="str">
        <f>Distrik!F$11</f>
        <v>D07</v>
      </c>
      <c r="H1267" s="1" t="str">
        <f>VLOOKUP(tblCong[[#This Row],[distCode]],tblDistrict[#All],2)</f>
        <v>Boana</v>
      </c>
      <c r="I1267" s="1" t="str">
        <f>Seket!I$55</f>
        <v>S03</v>
      </c>
      <c r="J1267" s="1" t="str">
        <f>CONCATENATE(tblCong[[#This Row],[distCode]],"-",tblCong[[#This Row],[sCode]])</f>
        <v>D07-S03</v>
      </c>
      <c r="K1267" s="1" t="str">
        <f>VLOOKUP(tblCong[[#This Row],[seketCode]],tblSeket[#All],5,FALSE)</f>
        <v>Zone 3: Nabak</v>
      </c>
      <c r="L1267" s="1" t="str">
        <f>Paris!L$315</f>
        <v>P05</v>
      </c>
      <c r="M1267" s="1" t="str">
        <f>CONCATENATE(tblCong[[#This Row],[seketCode]],"-",tblCong[[#This Row],[pCode]])</f>
        <v>D07-S03-P05</v>
      </c>
      <c r="N1267" s="1" t="str">
        <f>Paris!M$315</f>
        <v>Roumi</v>
      </c>
      <c r="O1267" s="1" t="s">
        <v>575</v>
      </c>
      <c r="P1267" s="1" t="s">
        <v>1765</v>
      </c>
    </row>
    <row r="1268" spans="6:16" x14ac:dyDescent="0.35">
      <c r="F1268" s="1" t="str">
        <f>CONCATENATE(tblCong[[#This Row],[parishCode]],"-",tblCong[[#This Row],[kCode]])</f>
        <v>D07-S03-P05-K06</v>
      </c>
      <c r="G1268" s="1" t="str">
        <f>Distrik!F$11</f>
        <v>D07</v>
      </c>
      <c r="H1268" s="1" t="str">
        <f>VLOOKUP(tblCong[[#This Row],[distCode]],tblDistrict[#All],2)</f>
        <v>Boana</v>
      </c>
      <c r="I1268" s="1" t="str">
        <f>Seket!I$55</f>
        <v>S03</v>
      </c>
      <c r="J1268" s="1" t="str">
        <f>CONCATENATE(tblCong[[#This Row],[distCode]],"-",tblCong[[#This Row],[sCode]])</f>
        <v>D07-S03</v>
      </c>
      <c r="K1268" s="1" t="str">
        <f>VLOOKUP(tblCong[[#This Row],[seketCode]],tblSeket[#All],5,FALSE)</f>
        <v>Zone 3: Nabak</v>
      </c>
      <c r="L1268" s="1" t="str">
        <f>Paris!L$315</f>
        <v>P05</v>
      </c>
      <c r="M1268" s="1" t="str">
        <f>CONCATENATE(tblCong[[#This Row],[seketCode]],"-",tblCong[[#This Row],[pCode]])</f>
        <v>D07-S03-P05</v>
      </c>
      <c r="N1268" s="1" t="str">
        <f>Paris!M$315</f>
        <v>Roumi</v>
      </c>
      <c r="O1268" s="1" t="s">
        <v>576</v>
      </c>
      <c r="P1268" s="1" t="s">
        <v>1766</v>
      </c>
    </row>
    <row r="1269" spans="6:16" x14ac:dyDescent="0.35">
      <c r="F1269" s="1" t="str">
        <f>CONCATENATE(tblCong[[#This Row],[parishCode]],"-",tblCong[[#This Row],[kCode]])</f>
        <v>D07-S03-P06-K01</v>
      </c>
      <c r="G1269" s="1" t="str">
        <f>Distrik!F$11</f>
        <v>D07</v>
      </c>
      <c r="H1269" s="1" t="str">
        <f>VLOOKUP(tblCong[[#This Row],[distCode]],tblDistrict[#All],2)</f>
        <v>Boana</v>
      </c>
      <c r="I1269" s="1" t="str">
        <f>Seket!I$55</f>
        <v>S03</v>
      </c>
      <c r="J1269" s="1" t="str">
        <f>CONCATENATE(tblCong[[#This Row],[distCode]],"-",tblCong[[#This Row],[sCode]])</f>
        <v>D07-S03</v>
      </c>
      <c r="K1269" s="1" t="str">
        <f>VLOOKUP(tblCong[[#This Row],[seketCode]],tblSeket[#All],5,FALSE)</f>
        <v>Zone 3: Nabak</v>
      </c>
      <c r="L1269" s="1" t="str">
        <f>Paris!L$316</f>
        <v>P06</v>
      </c>
      <c r="M1269" s="1" t="str">
        <f>CONCATENATE(tblCong[[#This Row],[seketCode]],"-",tblCong[[#This Row],[pCode]])</f>
        <v>D07-S03-P06</v>
      </c>
      <c r="N1269" s="1" t="str">
        <f>Paris!M$316</f>
        <v>Mamasi</v>
      </c>
      <c r="O1269" s="1" t="s">
        <v>567</v>
      </c>
      <c r="P1269" s="1" t="s">
        <v>1767</v>
      </c>
    </row>
    <row r="1270" spans="6:16" x14ac:dyDescent="0.35">
      <c r="F1270" s="1" t="str">
        <f>CONCATENATE(tblCong[[#This Row],[parishCode]],"-",tblCong[[#This Row],[kCode]])</f>
        <v>D07-S03-P06-K02</v>
      </c>
      <c r="G1270" s="1" t="str">
        <f>Distrik!F$11</f>
        <v>D07</v>
      </c>
      <c r="H1270" s="1" t="str">
        <f>VLOOKUP(tblCong[[#This Row],[distCode]],tblDistrict[#All],2)</f>
        <v>Boana</v>
      </c>
      <c r="I1270" s="1" t="str">
        <f>Seket!I$55</f>
        <v>S03</v>
      </c>
      <c r="J1270" s="1" t="str">
        <f>CONCATENATE(tblCong[[#This Row],[distCode]],"-",tblCong[[#This Row],[sCode]])</f>
        <v>D07-S03</v>
      </c>
      <c r="K1270" s="1" t="str">
        <f>VLOOKUP(tblCong[[#This Row],[seketCode]],tblSeket[#All],5,FALSE)</f>
        <v>Zone 3: Nabak</v>
      </c>
      <c r="L1270" s="1" t="str">
        <f>Paris!L$316</f>
        <v>P06</v>
      </c>
      <c r="M1270" s="1" t="str">
        <f>CONCATENATE(tblCong[[#This Row],[seketCode]],"-",tblCong[[#This Row],[pCode]])</f>
        <v>D07-S03-P06</v>
      </c>
      <c r="N1270" s="1" t="str">
        <f>Paris!M$316</f>
        <v>Mamasi</v>
      </c>
      <c r="O1270" s="1" t="s">
        <v>569</v>
      </c>
      <c r="P1270" s="1" t="s">
        <v>1768</v>
      </c>
    </row>
    <row r="1271" spans="6:16" x14ac:dyDescent="0.35">
      <c r="F1271" s="1" t="str">
        <f>CONCATENATE(tblCong[[#This Row],[parishCode]],"-",tblCong[[#This Row],[kCode]])</f>
        <v>D07-S03-P06-K03</v>
      </c>
      <c r="G1271" s="1" t="str">
        <f>Distrik!F$11</f>
        <v>D07</v>
      </c>
      <c r="H1271" s="1" t="str">
        <f>VLOOKUP(tblCong[[#This Row],[distCode]],tblDistrict[#All],2)</f>
        <v>Boana</v>
      </c>
      <c r="I1271" s="1" t="str">
        <f>Seket!I$55</f>
        <v>S03</v>
      </c>
      <c r="J1271" s="1" t="str">
        <f>CONCATENATE(tblCong[[#This Row],[distCode]],"-",tblCong[[#This Row],[sCode]])</f>
        <v>D07-S03</v>
      </c>
      <c r="K1271" s="1" t="str">
        <f>VLOOKUP(tblCong[[#This Row],[seketCode]],tblSeket[#All],5,FALSE)</f>
        <v>Zone 3: Nabak</v>
      </c>
      <c r="L1271" s="1" t="str">
        <f>Paris!L$316</f>
        <v>P06</v>
      </c>
      <c r="M1271" s="1" t="str">
        <f>CONCATENATE(tblCong[[#This Row],[seketCode]],"-",tblCong[[#This Row],[pCode]])</f>
        <v>D07-S03-P06</v>
      </c>
      <c r="N1271" s="1" t="str">
        <f>Paris!M$316</f>
        <v>Mamasi</v>
      </c>
      <c r="O1271" s="1" t="s">
        <v>571</v>
      </c>
      <c r="P1271" s="1" t="s">
        <v>1769</v>
      </c>
    </row>
    <row r="1272" spans="6:16" x14ac:dyDescent="0.35">
      <c r="F1272" s="1" t="str">
        <f>CONCATENATE(tblCong[[#This Row],[parishCode]],"-",tblCong[[#This Row],[kCode]])</f>
        <v>D07-S03-P06-K04</v>
      </c>
      <c r="G1272" s="1" t="str">
        <f>Distrik!F$11</f>
        <v>D07</v>
      </c>
      <c r="H1272" s="1" t="str">
        <f>VLOOKUP(tblCong[[#This Row],[distCode]],tblDistrict[#All],2)</f>
        <v>Boana</v>
      </c>
      <c r="I1272" s="1" t="str">
        <f>Seket!I$55</f>
        <v>S03</v>
      </c>
      <c r="J1272" s="1" t="str">
        <f>CONCATENATE(tblCong[[#This Row],[distCode]],"-",tblCong[[#This Row],[sCode]])</f>
        <v>D07-S03</v>
      </c>
      <c r="K1272" s="1" t="str">
        <f>VLOOKUP(tblCong[[#This Row],[seketCode]],tblSeket[#All],5,FALSE)</f>
        <v>Zone 3: Nabak</v>
      </c>
      <c r="L1272" s="1" t="str">
        <f>Paris!L$316</f>
        <v>P06</v>
      </c>
      <c r="M1272" s="1" t="str">
        <f>CONCATENATE(tblCong[[#This Row],[seketCode]],"-",tblCong[[#This Row],[pCode]])</f>
        <v>D07-S03-P06</v>
      </c>
      <c r="N1272" s="1" t="str">
        <f>Paris!M$316</f>
        <v>Mamasi</v>
      </c>
      <c r="O1272" s="1" t="s">
        <v>573</v>
      </c>
      <c r="P1272" s="1" t="s">
        <v>1770</v>
      </c>
    </row>
    <row r="1273" spans="6:16" x14ac:dyDescent="0.35">
      <c r="F1273" s="1" t="str">
        <f>CONCATENATE(tblCong[[#This Row],[parishCode]],"-",tblCong[[#This Row],[kCode]])</f>
        <v>D08-S01-P01-K01</v>
      </c>
      <c r="G1273" s="1" t="str">
        <f>Distrik!F$12</f>
        <v>D08</v>
      </c>
      <c r="H1273" s="1" t="str">
        <f>VLOOKUP(tblCong[[#This Row],[distCode]],tblDistrict[#All],2)</f>
        <v>Mumeng</v>
      </c>
      <c r="I1273" s="1" t="str">
        <f>Seket!I$56</f>
        <v>S01</v>
      </c>
      <c r="J1273" s="1" t="str">
        <f>CONCATENATE(tblCong[[#This Row],[distCode]],"-",tblCong[[#This Row],[sCode]])</f>
        <v>D08-S01</v>
      </c>
      <c r="K1273" s="1" t="str">
        <f>VLOOKUP(tblCong[[#This Row],[seketCode]],tblSeket[#All],5,FALSE)</f>
        <v>Zone 1</v>
      </c>
      <c r="L1273" s="1" t="str">
        <f>Paris!L$317</f>
        <v>P01</v>
      </c>
      <c r="M1273" s="1" t="str">
        <f>CONCATENATE(tblCong[[#This Row],[seketCode]],"-",tblCong[[#This Row],[pCode]])</f>
        <v>D08-S01-P01</v>
      </c>
      <c r="N1273" s="1" t="str">
        <f>Paris!M$317</f>
        <v>Wau Taun</v>
      </c>
      <c r="O1273" s="1" t="s">
        <v>567</v>
      </c>
      <c r="P1273" s="1" t="s">
        <v>1771</v>
      </c>
    </row>
    <row r="1274" spans="6:16" x14ac:dyDescent="0.35">
      <c r="F1274" s="1" t="str">
        <f>CONCATENATE(tblCong[[#This Row],[parishCode]],"-",tblCong[[#This Row],[kCode]])</f>
        <v>D08-S01-P01-K02</v>
      </c>
      <c r="G1274" s="1" t="str">
        <f>Distrik!F$12</f>
        <v>D08</v>
      </c>
      <c r="H1274" s="1" t="str">
        <f>VLOOKUP(tblCong[[#This Row],[distCode]],tblDistrict[#All],2)</f>
        <v>Mumeng</v>
      </c>
      <c r="I1274" s="1" t="str">
        <f>Seket!I$56</f>
        <v>S01</v>
      </c>
      <c r="J1274" s="1" t="str">
        <f>CONCATENATE(tblCong[[#This Row],[distCode]],"-",tblCong[[#This Row],[sCode]])</f>
        <v>D08-S01</v>
      </c>
      <c r="K1274" s="1" t="str">
        <f>VLOOKUP(tblCong[[#This Row],[seketCode]],tblSeket[#All],5,FALSE)</f>
        <v>Zone 1</v>
      </c>
      <c r="L1274" s="1" t="str">
        <f>Paris!L$317</f>
        <v>P01</v>
      </c>
      <c r="M1274" s="1" t="str">
        <f>CONCATENATE(tblCong[[#This Row],[seketCode]],"-",tblCong[[#This Row],[pCode]])</f>
        <v>D08-S01-P01</v>
      </c>
      <c r="N1274" s="1" t="str">
        <f>Paris!M$317</f>
        <v>Wau Taun</v>
      </c>
      <c r="O1274" s="1" t="s">
        <v>569</v>
      </c>
      <c r="P1274" s="1" t="s">
        <v>1772</v>
      </c>
    </row>
    <row r="1275" spans="6:16" x14ac:dyDescent="0.35">
      <c r="F1275" s="1" t="str">
        <f>CONCATENATE(tblCong[[#This Row],[parishCode]],"-",tblCong[[#This Row],[kCode]])</f>
        <v>D08-S01-P01-K03</v>
      </c>
      <c r="G1275" s="1" t="str">
        <f>Distrik!F$12</f>
        <v>D08</v>
      </c>
      <c r="H1275" s="1" t="str">
        <f>VLOOKUP(tblCong[[#This Row],[distCode]],tblDistrict[#All],2)</f>
        <v>Mumeng</v>
      </c>
      <c r="I1275" s="1" t="str">
        <f>Seket!I$56</f>
        <v>S01</v>
      </c>
      <c r="J1275" s="1" t="str">
        <f>CONCATENATE(tblCong[[#This Row],[distCode]],"-",tblCong[[#This Row],[sCode]])</f>
        <v>D08-S01</v>
      </c>
      <c r="K1275" s="1" t="str">
        <f>VLOOKUP(tblCong[[#This Row],[seketCode]],tblSeket[#All],5,FALSE)</f>
        <v>Zone 1</v>
      </c>
      <c r="L1275" s="1" t="str">
        <f>Paris!L$317</f>
        <v>P01</v>
      </c>
      <c r="M1275" s="1" t="str">
        <f>CONCATENATE(tblCong[[#This Row],[seketCode]],"-",tblCong[[#This Row],[pCode]])</f>
        <v>D08-S01-P01</v>
      </c>
      <c r="N1275" s="1" t="str">
        <f>Paris!M$317</f>
        <v>Wau Taun</v>
      </c>
      <c r="O1275" s="1" t="s">
        <v>571</v>
      </c>
      <c r="P1275" s="1" t="s">
        <v>1773</v>
      </c>
    </row>
    <row r="1276" spans="6:16" x14ac:dyDescent="0.35">
      <c r="F1276" s="1" t="str">
        <f>CONCATENATE(tblCong[[#This Row],[parishCode]],"-",tblCong[[#This Row],[kCode]])</f>
        <v>D08-S01-P01-K04</v>
      </c>
      <c r="G1276" s="1" t="str">
        <f>Distrik!F$12</f>
        <v>D08</v>
      </c>
      <c r="H1276" s="1" t="str">
        <f>VLOOKUP(tblCong[[#This Row],[distCode]],tblDistrict[#All],2)</f>
        <v>Mumeng</v>
      </c>
      <c r="I1276" s="1" t="str">
        <f>Seket!I$56</f>
        <v>S01</v>
      </c>
      <c r="J1276" s="1" t="str">
        <f>CONCATENATE(tblCong[[#This Row],[distCode]],"-",tblCong[[#This Row],[sCode]])</f>
        <v>D08-S01</v>
      </c>
      <c r="K1276" s="1" t="str">
        <f>VLOOKUP(tblCong[[#This Row],[seketCode]],tblSeket[#All],5,FALSE)</f>
        <v>Zone 1</v>
      </c>
      <c r="L1276" s="1" t="str">
        <f>Paris!L$317</f>
        <v>P01</v>
      </c>
      <c r="M1276" s="1" t="str">
        <f>CONCATENATE(tblCong[[#This Row],[seketCode]],"-",tblCong[[#This Row],[pCode]])</f>
        <v>D08-S01-P01</v>
      </c>
      <c r="N1276" s="1" t="str">
        <f>Paris!M$317</f>
        <v>Wau Taun</v>
      </c>
      <c r="O1276" s="1" t="s">
        <v>573</v>
      </c>
      <c r="P1276" s="1" t="s">
        <v>1774</v>
      </c>
    </row>
    <row r="1277" spans="6:16" x14ac:dyDescent="0.35">
      <c r="F1277" s="1" t="str">
        <f>CONCATENATE(tblCong[[#This Row],[parishCode]],"-",tblCong[[#This Row],[kCode]])</f>
        <v>D08-S01-P01-K05</v>
      </c>
      <c r="G1277" s="1" t="str">
        <f>Distrik!F$12</f>
        <v>D08</v>
      </c>
      <c r="H1277" s="1" t="str">
        <f>VLOOKUP(tblCong[[#This Row],[distCode]],tblDistrict[#All],2)</f>
        <v>Mumeng</v>
      </c>
      <c r="I1277" s="1" t="str">
        <f>Seket!I$56</f>
        <v>S01</v>
      </c>
      <c r="J1277" s="1" t="str">
        <f>CONCATENATE(tblCong[[#This Row],[distCode]],"-",tblCong[[#This Row],[sCode]])</f>
        <v>D08-S01</v>
      </c>
      <c r="K1277" s="1" t="str">
        <f>VLOOKUP(tblCong[[#This Row],[seketCode]],tblSeket[#All],5,FALSE)</f>
        <v>Zone 1</v>
      </c>
      <c r="L1277" s="1" t="str">
        <f>Paris!L$317</f>
        <v>P01</v>
      </c>
      <c r="M1277" s="1" t="str">
        <f>CONCATENATE(tblCong[[#This Row],[seketCode]],"-",tblCong[[#This Row],[pCode]])</f>
        <v>D08-S01-P01</v>
      </c>
      <c r="N1277" s="1" t="str">
        <f>Paris!M$317</f>
        <v>Wau Taun</v>
      </c>
      <c r="O1277" s="1" t="s">
        <v>575</v>
      </c>
      <c r="P1277" s="1" t="s">
        <v>1775</v>
      </c>
    </row>
    <row r="1278" spans="6:16" x14ac:dyDescent="0.35">
      <c r="F1278" s="1" t="str">
        <f>CONCATENATE(tblCong[[#This Row],[parishCode]],"-",tblCong[[#This Row],[kCode]])</f>
        <v>D08-S01-P01-K06</v>
      </c>
      <c r="G1278" s="1" t="str">
        <f>Distrik!F$12</f>
        <v>D08</v>
      </c>
      <c r="H1278" s="1" t="str">
        <f>VLOOKUP(tblCong[[#This Row],[distCode]],tblDistrict[#All],2)</f>
        <v>Mumeng</v>
      </c>
      <c r="I1278" s="1" t="str">
        <f>Seket!I$56</f>
        <v>S01</v>
      </c>
      <c r="J1278" s="1" t="str">
        <f>CONCATENATE(tblCong[[#This Row],[distCode]],"-",tblCong[[#This Row],[sCode]])</f>
        <v>D08-S01</v>
      </c>
      <c r="K1278" s="1" t="str">
        <f>VLOOKUP(tblCong[[#This Row],[seketCode]],tblSeket[#All],5,FALSE)</f>
        <v>Zone 1</v>
      </c>
      <c r="L1278" s="1" t="str">
        <f>Paris!L$317</f>
        <v>P01</v>
      </c>
      <c r="M1278" s="1" t="str">
        <f>CONCATENATE(tblCong[[#This Row],[seketCode]],"-",tblCong[[#This Row],[pCode]])</f>
        <v>D08-S01-P01</v>
      </c>
      <c r="N1278" s="1" t="str">
        <f>Paris!M$317</f>
        <v>Wau Taun</v>
      </c>
      <c r="O1278" s="1" t="s">
        <v>576</v>
      </c>
      <c r="P1278" s="1" t="s">
        <v>1776</v>
      </c>
    </row>
    <row r="1279" spans="6:16" x14ac:dyDescent="0.35">
      <c r="F1279" s="1" t="str">
        <f>CONCATENATE(tblCong[[#This Row],[parishCode]],"-",tblCong[[#This Row],[kCode]])</f>
        <v>D08-S01-P01-K07</v>
      </c>
      <c r="G1279" s="1" t="str">
        <f>Distrik!F$12</f>
        <v>D08</v>
      </c>
      <c r="H1279" s="1" t="str">
        <f>VLOOKUP(tblCong[[#This Row],[distCode]],tblDistrict[#All],2)</f>
        <v>Mumeng</v>
      </c>
      <c r="I1279" s="1" t="str">
        <f>Seket!I$56</f>
        <v>S01</v>
      </c>
      <c r="J1279" s="1" t="str">
        <f>CONCATENATE(tblCong[[#This Row],[distCode]],"-",tblCong[[#This Row],[sCode]])</f>
        <v>D08-S01</v>
      </c>
      <c r="K1279" s="1" t="str">
        <f>VLOOKUP(tblCong[[#This Row],[seketCode]],tblSeket[#All],5,FALSE)</f>
        <v>Zone 1</v>
      </c>
      <c r="L1279" s="1" t="str">
        <f>Paris!L$317</f>
        <v>P01</v>
      </c>
      <c r="M1279" s="1" t="str">
        <f>CONCATENATE(tblCong[[#This Row],[seketCode]],"-",tblCong[[#This Row],[pCode]])</f>
        <v>D08-S01-P01</v>
      </c>
      <c r="N1279" s="1" t="str">
        <f>Paris!M$317</f>
        <v>Wau Taun</v>
      </c>
      <c r="O1279" s="1" t="s">
        <v>578</v>
      </c>
      <c r="P1279" s="1" t="s">
        <v>1777</v>
      </c>
    </row>
    <row r="1280" spans="6:16" x14ac:dyDescent="0.35">
      <c r="F1280" s="1" t="str">
        <f>CONCATENATE(tblCong[[#This Row],[parishCode]],"-",tblCong[[#This Row],[kCode]])</f>
        <v>D08-S01-P01-K08</v>
      </c>
      <c r="G1280" s="1" t="str">
        <f>Distrik!F$12</f>
        <v>D08</v>
      </c>
      <c r="H1280" s="1" t="str">
        <f>VLOOKUP(tblCong[[#This Row],[distCode]],tblDistrict[#All],2)</f>
        <v>Mumeng</v>
      </c>
      <c r="I1280" s="1" t="str">
        <f>Seket!I$56</f>
        <v>S01</v>
      </c>
      <c r="J1280" s="1" t="str">
        <f>CONCATENATE(tblCong[[#This Row],[distCode]],"-",tblCong[[#This Row],[sCode]])</f>
        <v>D08-S01</v>
      </c>
      <c r="K1280" s="1" t="str">
        <f>VLOOKUP(tblCong[[#This Row],[seketCode]],tblSeket[#All],5,FALSE)</f>
        <v>Zone 1</v>
      </c>
      <c r="L1280" s="1" t="str">
        <f>Paris!L$317</f>
        <v>P01</v>
      </c>
      <c r="M1280" s="1" t="str">
        <f>CONCATENATE(tblCong[[#This Row],[seketCode]],"-",tblCong[[#This Row],[pCode]])</f>
        <v>D08-S01-P01</v>
      </c>
      <c r="N1280" s="1" t="str">
        <f>Paris!M$317</f>
        <v>Wau Taun</v>
      </c>
      <c r="O1280" s="1" t="s">
        <v>651</v>
      </c>
      <c r="P1280" s="1" t="s">
        <v>1778</v>
      </c>
    </row>
    <row r="1281" spans="6:16" x14ac:dyDescent="0.35">
      <c r="F1281" s="1" t="str">
        <f>CONCATENATE(tblCong[[#This Row],[parishCode]],"-",tblCong[[#This Row],[kCode]])</f>
        <v>D08-S01-P01-K09</v>
      </c>
      <c r="G1281" s="1" t="str">
        <f>Distrik!F$12</f>
        <v>D08</v>
      </c>
      <c r="H1281" s="1" t="str">
        <f>VLOOKUP(tblCong[[#This Row],[distCode]],tblDistrict[#All],2)</f>
        <v>Mumeng</v>
      </c>
      <c r="I1281" s="1" t="str">
        <f>Seket!I$56</f>
        <v>S01</v>
      </c>
      <c r="J1281" s="1" t="str">
        <f>CONCATENATE(tblCong[[#This Row],[distCode]],"-",tblCong[[#This Row],[sCode]])</f>
        <v>D08-S01</v>
      </c>
      <c r="K1281" s="1" t="str">
        <f>VLOOKUP(tblCong[[#This Row],[seketCode]],tblSeket[#All],5,FALSE)</f>
        <v>Zone 1</v>
      </c>
      <c r="L1281" s="1" t="str">
        <f>Paris!L$317</f>
        <v>P01</v>
      </c>
      <c r="M1281" s="1" t="str">
        <f>CONCATENATE(tblCong[[#This Row],[seketCode]],"-",tblCong[[#This Row],[pCode]])</f>
        <v>D08-S01-P01</v>
      </c>
      <c r="N1281" s="1" t="str">
        <f>Paris!M$317</f>
        <v>Wau Taun</v>
      </c>
      <c r="O1281" s="1" t="s">
        <v>653</v>
      </c>
      <c r="P1281" s="1" t="s">
        <v>1779</v>
      </c>
    </row>
    <row r="1282" spans="6:16" x14ac:dyDescent="0.35">
      <c r="F1282" s="1" t="str">
        <f>CONCATENATE(tblCong[[#This Row],[parishCode]],"-",tblCong[[#This Row],[kCode]])</f>
        <v>D08-S01-P01-K10</v>
      </c>
      <c r="G1282" s="1" t="str">
        <f>Distrik!F$12</f>
        <v>D08</v>
      </c>
      <c r="H1282" s="1" t="str">
        <f>VLOOKUP(tblCong[[#This Row],[distCode]],tblDistrict[#All],2)</f>
        <v>Mumeng</v>
      </c>
      <c r="I1282" s="1" t="str">
        <f>Seket!I$56</f>
        <v>S01</v>
      </c>
      <c r="J1282" s="1" t="str">
        <f>CONCATENATE(tblCong[[#This Row],[distCode]],"-",tblCong[[#This Row],[sCode]])</f>
        <v>D08-S01</v>
      </c>
      <c r="K1282" s="1" t="str">
        <f>VLOOKUP(tblCong[[#This Row],[seketCode]],tblSeket[#All],5,FALSE)</f>
        <v>Zone 1</v>
      </c>
      <c r="L1282" s="1" t="str">
        <f>Paris!L$317</f>
        <v>P01</v>
      </c>
      <c r="M1282" s="1" t="str">
        <f>CONCATENATE(tblCong[[#This Row],[seketCode]],"-",tblCong[[#This Row],[pCode]])</f>
        <v>D08-S01-P01</v>
      </c>
      <c r="N1282" s="1" t="str">
        <f>Paris!M$317</f>
        <v>Wau Taun</v>
      </c>
      <c r="O1282" s="1" t="s">
        <v>655</v>
      </c>
      <c r="P1282" s="1" t="s">
        <v>1780</v>
      </c>
    </row>
    <row r="1283" spans="6:16" x14ac:dyDescent="0.35">
      <c r="F1283" s="1" t="str">
        <f>CONCATENATE(tblCong[[#This Row],[parishCode]],"-",tblCong[[#This Row],[kCode]])</f>
        <v>D08-S01-P02-K01</v>
      </c>
      <c r="G1283" s="1" t="str">
        <f>Distrik!F$12</f>
        <v>D08</v>
      </c>
      <c r="H1283" s="1" t="str">
        <f>VLOOKUP(tblCong[[#This Row],[distCode]],tblDistrict[#All],2)</f>
        <v>Mumeng</v>
      </c>
      <c r="I1283" s="1" t="str">
        <f>Seket!I$56</f>
        <v>S01</v>
      </c>
      <c r="J1283" s="1" t="str">
        <f>CONCATENATE(tblCong[[#This Row],[distCode]],"-",tblCong[[#This Row],[sCode]])</f>
        <v>D08-S01</v>
      </c>
      <c r="K1283" s="1" t="str">
        <f>VLOOKUP(tblCong[[#This Row],[seketCode]],tblSeket[#All],5,FALSE)</f>
        <v>Zone 1</v>
      </c>
      <c r="L1283" s="1" t="str">
        <f>Paris!L$318</f>
        <v>P02</v>
      </c>
      <c r="M1283" s="1" t="str">
        <f>CONCATENATE(tblCong[[#This Row],[seketCode]],"-",tblCong[[#This Row],[pCode]])</f>
        <v>D08-S01-P02</v>
      </c>
      <c r="N1283" s="1" t="s">
        <v>526</v>
      </c>
      <c r="O1283" s="1" t="s">
        <v>567</v>
      </c>
      <c r="P1283" s="1" t="s">
        <v>1781</v>
      </c>
    </row>
    <row r="1284" spans="6:16" x14ac:dyDescent="0.35">
      <c r="F1284" s="1" t="str">
        <f>CONCATENATE(tblCong[[#This Row],[parishCode]],"-",tblCong[[#This Row],[kCode]])</f>
        <v>D08-S01-P02-K02</v>
      </c>
      <c r="G1284" s="1" t="str">
        <f>Distrik!F$12</f>
        <v>D08</v>
      </c>
      <c r="H1284" s="1" t="str">
        <f>VLOOKUP(tblCong[[#This Row],[distCode]],tblDistrict[#All],2)</f>
        <v>Mumeng</v>
      </c>
      <c r="I1284" s="1" t="str">
        <f>Seket!I$56</f>
        <v>S01</v>
      </c>
      <c r="J1284" s="1" t="str">
        <f>CONCATENATE(tblCong[[#This Row],[distCode]],"-",tblCong[[#This Row],[sCode]])</f>
        <v>D08-S01</v>
      </c>
      <c r="K1284" s="1" t="str">
        <f>VLOOKUP(tblCong[[#This Row],[seketCode]],tblSeket[#All],5,FALSE)</f>
        <v>Zone 1</v>
      </c>
      <c r="L1284" s="1" t="str">
        <f>Paris!L$318</f>
        <v>P02</v>
      </c>
      <c r="M1284" s="1" t="str">
        <f>CONCATENATE(tblCong[[#This Row],[seketCode]],"-",tblCong[[#This Row],[pCode]])</f>
        <v>D08-S01-P02</v>
      </c>
      <c r="N1284" s="1" t="s">
        <v>526</v>
      </c>
      <c r="O1284" s="1" t="s">
        <v>569</v>
      </c>
      <c r="P1284" s="1" t="s">
        <v>1782</v>
      </c>
    </row>
    <row r="1285" spans="6:16" x14ac:dyDescent="0.35">
      <c r="F1285" s="1" t="str">
        <f>CONCATENATE(tblCong[[#This Row],[parishCode]],"-",tblCong[[#This Row],[kCode]])</f>
        <v>D08-S01-P02-K03</v>
      </c>
      <c r="G1285" s="1" t="str">
        <f>Distrik!F$12</f>
        <v>D08</v>
      </c>
      <c r="H1285" s="1" t="str">
        <f>VLOOKUP(tblCong[[#This Row],[distCode]],tblDistrict[#All],2)</f>
        <v>Mumeng</v>
      </c>
      <c r="I1285" s="1" t="str">
        <f>Seket!I$56</f>
        <v>S01</v>
      </c>
      <c r="J1285" s="1" t="str">
        <f>CONCATENATE(tblCong[[#This Row],[distCode]],"-",tblCong[[#This Row],[sCode]])</f>
        <v>D08-S01</v>
      </c>
      <c r="K1285" s="1" t="str">
        <f>VLOOKUP(tblCong[[#This Row],[seketCode]],tblSeket[#All],5,FALSE)</f>
        <v>Zone 1</v>
      </c>
      <c r="L1285" s="1" t="str">
        <f>Paris!L$318</f>
        <v>P02</v>
      </c>
      <c r="M1285" s="1" t="str">
        <f>CONCATENATE(tblCong[[#This Row],[seketCode]],"-",tblCong[[#This Row],[pCode]])</f>
        <v>D08-S01-P02</v>
      </c>
      <c r="N1285" s="1" t="s">
        <v>526</v>
      </c>
      <c r="O1285" s="1" t="s">
        <v>571</v>
      </c>
      <c r="P1285" s="1" t="s">
        <v>1783</v>
      </c>
    </row>
    <row r="1286" spans="6:16" x14ac:dyDescent="0.35">
      <c r="F1286" s="1" t="str">
        <f>CONCATENATE(tblCong[[#This Row],[parishCode]],"-",tblCong[[#This Row],[kCode]])</f>
        <v>D08-S01-P03-K01</v>
      </c>
      <c r="G1286" s="1" t="str">
        <f>Distrik!F$12</f>
        <v>D08</v>
      </c>
      <c r="H1286" s="1" t="str">
        <f>VLOOKUP(tblCong[[#This Row],[distCode]],tblDistrict[#All],2)</f>
        <v>Mumeng</v>
      </c>
      <c r="I1286" s="1" t="str">
        <f>Seket!I$56</f>
        <v>S01</v>
      </c>
      <c r="J1286" s="1" t="str">
        <f>CONCATENATE(tblCong[[#This Row],[distCode]],"-",tblCong[[#This Row],[sCode]])</f>
        <v>D08-S01</v>
      </c>
      <c r="K1286" s="1" t="str">
        <f>VLOOKUP(tblCong[[#This Row],[seketCode]],tblSeket[#All],5,FALSE)</f>
        <v>Zone 1</v>
      </c>
      <c r="L1286" s="1" t="str">
        <f>Paris!L$319</f>
        <v>P03</v>
      </c>
      <c r="M1286" s="1" t="str">
        <f>CONCATENATE(tblCong[[#This Row],[seketCode]],"-",tblCong[[#This Row],[pCode]])</f>
        <v>D08-S01-P03</v>
      </c>
      <c r="N1286" s="1" t="s">
        <v>527</v>
      </c>
      <c r="O1286" s="1" t="s">
        <v>567</v>
      </c>
      <c r="P1286" s="1" t="s">
        <v>1784</v>
      </c>
    </row>
    <row r="1287" spans="6:16" x14ac:dyDescent="0.35">
      <c r="F1287" s="1" t="str">
        <f>CONCATENATE(tblCong[[#This Row],[parishCode]],"-",tblCong[[#This Row],[kCode]])</f>
        <v>D08-S01-P03-K02</v>
      </c>
      <c r="G1287" s="1" t="str">
        <f>Distrik!F$12</f>
        <v>D08</v>
      </c>
      <c r="H1287" s="1" t="str">
        <f>VLOOKUP(tblCong[[#This Row],[distCode]],tblDistrict[#All],2)</f>
        <v>Mumeng</v>
      </c>
      <c r="I1287" s="1" t="str">
        <f>Seket!I$56</f>
        <v>S01</v>
      </c>
      <c r="J1287" s="1" t="str">
        <f>CONCATENATE(tblCong[[#This Row],[distCode]],"-",tblCong[[#This Row],[sCode]])</f>
        <v>D08-S01</v>
      </c>
      <c r="K1287" s="1" t="str">
        <f>VLOOKUP(tblCong[[#This Row],[seketCode]],tblSeket[#All],5,FALSE)</f>
        <v>Zone 1</v>
      </c>
      <c r="L1287" s="1" t="str">
        <f>Paris!L$319</f>
        <v>P03</v>
      </c>
      <c r="M1287" s="1" t="str">
        <f>CONCATENATE(tblCong[[#This Row],[seketCode]],"-",tblCong[[#This Row],[pCode]])</f>
        <v>D08-S01-P03</v>
      </c>
      <c r="N1287" s="1" t="s">
        <v>527</v>
      </c>
      <c r="O1287" s="1" t="s">
        <v>569</v>
      </c>
      <c r="P1287" s="1" t="s">
        <v>506</v>
      </c>
    </row>
    <row r="1288" spans="6:16" x14ac:dyDescent="0.35">
      <c r="F1288" s="1" t="str">
        <f>CONCATENATE(tblCong[[#This Row],[parishCode]],"-",tblCong[[#This Row],[kCode]])</f>
        <v>D08-S01-P03-K03</v>
      </c>
      <c r="G1288" s="1" t="str">
        <f>Distrik!F$12</f>
        <v>D08</v>
      </c>
      <c r="H1288" s="1" t="str">
        <f>VLOOKUP(tblCong[[#This Row],[distCode]],tblDistrict[#All],2)</f>
        <v>Mumeng</v>
      </c>
      <c r="I1288" s="1" t="str">
        <f>Seket!I$56</f>
        <v>S01</v>
      </c>
      <c r="J1288" s="1" t="str">
        <f>CONCATENATE(tblCong[[#This Row],[distCode]],"-",tblCong[[#This Row],[sCode]])</f>
        <v>D08-S01</v>
      </c>
      <c r="K1288" s="1" t="str">
        <f>VLOOKUP(tblCong[[#This Row],[seketCode]],tblSeket[#All],5,FALSE)</f>
        <v>Zone 1</v>
      </c>
      <c r="L1288" s="1" t="str">
        <f>Paris!L$319</f>
        <v>P03</v>
      </c>
      <c r="M1288" s="1" t="str">
        <f>CONCATENATE(tblCong[[#This Row],[seketCode]],"-",tblCong[[#This Row],[pCode]])</f>
        <v>D08-S01-P03</v>
      </c>
      <c r="N1288" s="1" t="s">
        <v>527</v>
      </c>
      <c r="O1288" s="1" t="s">
        <v>571</v>
      </c>
      <c r="P1288" s="1" t="s">
        <v>506</v>
      </c>
    </row>
    <row r="1289" spans="6:16" x14ac:dyDescent="0.35">
      <c r="F1289" s="1" t="str">
        <f>CONCATENATE(tblCong[[#This Row],[parishCode]],"-",tblCong[[#This Row],[kCode]])</f>
        <v>D08-S01-P04-K01</v>
      </c>
      <c r="G1289" s="1" t="str">
        <f>Distrik!F$12</f>
        <v>D08</v>
      </c>
      <c r="H1289" s="1" t="str">
        <f>VLOOKUP(tblCong[[#This Row],[distCode]],tblDistrict[#All],2)</f>
        <v>Mumeng</v>
      </c>
      <c r="I1289" s="1" t="str">
        <f>Seket!I$56</f>
        <v>S01</v>
      </c>
      <c r="J1289" s="1" t="str">
        <f>CONCATENATE(tblCong[[#This Row],[distCode]],"-",tblCong[[#This Row],[sCode]])</f>
        <v>D08-S01</v>
      </c>
      <c r="K1289" s="1" t="str">
        <f>VLOOKUP(tblCong[[#This Row],[seketCode]],tblSeket[#All],5,FALSE)</f>
        <v>Zone 1</v>
      </c>
      <c r="L1289" s="1" t="str">
        <f>Paris!L$320</f>
        <v>P04</v>
      </c>
      <c r="M1289" s="1" t="str">
        <f>CONCATENATE(tblCong[[#This Row],[seketCode]],"-",tblCong[[#This Row],[pCode]])</f>
        <v>D08-S01-P04</v>
      </c>
      <c r="N1289" s="1" t="s">
        <v>528</v>
      </c>
      <c r="O1289" s="1" t="s">
        <v>567</v>
      </c>
      <c r="P1289" s="1" t="s">
        <v>528</v>
      </c>
    </row>
    <row r="1290" spans="6:16" x14ac:dyDescent="0.35">
      <c r="F1290" s="1" t="str">
        <f>CONCATENATE(tblCong[[#This Row],[parishCode]],"-",tblCong[[#This Row],[kCode]])</f>
        <v>D08-S01-P05-K01</v>
      </c>
      <c r="G1290" s="1" t="str">
        <f>Distrik!F$12</f>
        <v>D08</v>
      </c>
      <c r="H1290" s="1" t="str">
        <f>VLOOKUP(tblCong[[#This Row],[distCode]],tblDistrict[#All],2)</f>
        <v>Mumeng</v>
      </c>
      <c r="I1290" s="1" t="str">
        <f>Seket!I$56</f>
        <v>S01</v>
      </c>
      <c r="J1290" s="1" t="str">
        <f>CONCATENATE(tblCong[[#This Row],[distCode]],"-",tblCong[[#This Row],[sCode]])</f>
        <v>D08-S01</v>
      </c>
      <c r="K1290" s="1" t="str">
        <f>VLOOKUP(tblCong[[#This Row],[seketCode]],tblSeket[#All],5,FALSE)</f>
        <v>Zone 1</v>
      </c>
      <c r="L1290" s="1" t="str">
        <f>Paris!L$321</f>
        <v>P05</v>
      </c>
      <c r="M1290" s="1" t="str">
        <f>CONCATENATE(tblCong[[#This Row],[seketCode]],"-",tblCong[[#This Row],[pCode]])</f>
        <v>D08-S01-P05</v>
      </c>
      <c r="N1290" s="1" t="s">
        <v>529</v>
      </c>
      <c r="O1290" s="1" t="s">
        <v>567</v>
      </c>
      <c r="P1290" s="1" t="s">
        <v>1785</v>
      </c>
    </row>
    <row r="1291" spans="6:16" x14ac:dyDescent="0.35">
      <c r="F1291" s="1" t="str">
        <f>CONCATENATE(tblCong[[#This Row],[parishCode]],"-",tblCong[[#This Row],[kCode]])</f>
        <v>D08-S01-P05-K02</v>
      </c>
      <c r="G1291" s="1" t="str">
        <f>Distrik!F$12</f>
        <v>D08</v>
      </c>
      <c r="H1291" s="1" t="str">
        <f>VLOOKUP(tblCong[[#This Row],[distCode]],tblDistrict[#All],2)</f>
        <v>Mumeng</v>
      </c>
      <c r="I1291" s="1" t="str">
        <f>Seket!I$56</f>
        <v>S01</v>
      </c>
      <c r="J1291" s="1" t="str">
        <f>CONCATENATE(tblCong[[#This Row],[distCode]],"-",tblCong[[#This Row],[sCode]])</f>
        <v>D08-S01</v>
      </c>
      <c r="K1291" s="1" t="str">
        <f>VLOOKUP(tblCong[[#This Row],[seketCode]],tblSeket[#All],5,FALSE)</f>
        <v>Zone 1</v>
      </c>
      <c r="L1291" s="1" t="str">
        <f>Paris!L$321</f>
        <v>P05</v>
      </c>
      <c r="M1291" s="1" t="str">
        <f>CONCATENATE(tblCong[[#This Row],[seketCode]],"-",tblCong[[#This Row],[pCode]])</f>
        <v>D08-S01-P05</v>
      </c>
      <c r="N1291" s="1" t="s">
        <v>529</v>
      </c>
      <c r="O1291" s="1" t="s">
        <v>569</v>
      </c>
      <c r="P1291" s="1" t="s">
        <v>1786</v>
      </c>
    </row>
    <row r="1292" spans="6:16" x14ac:dyDescent="0.35">
      <c r="F1292" s="1" t="str">
        <f>CONCATENATE(tblCong[[#This Row],[parishCode]],"-",tblCong[[#This Row],[kCode]])</f>
        <v>D08-S02-P01-K01</v>
      </c>
      <c r="G1292" s="1" t="str">
        <f>Distrik!F$12</f>
        <v>D08</v>
      </c>
      <c r="H1292" s="1" t="str">
        <f>VLOOKUP(tblCong[[#This Row],[distCode]],tblDistrict[#All],2)</f>
        <v>Mumeng</v>
      </c>
      <c r="I1292" s="1" t="str">
        <f>Seket!I$57</f>
        <v>S02</v>
      </c>
      <c r="J1292" s="1" t="str">
        <f>CONCATENATE(tblCong[[#This Row],[distCode]],"-",tblCong[[#This Row],[sCode]])</f>
        <v>D08-S02</v>
      </c>
      <c r="K1292" s="1" t="str">
        <f>VLOOKUP(tblCong[[#This Row],[seketCode]],tblSeket[#All],5,FALSE)</f>
        <v>Zone 2</v>
      </c>
      <c r="L1292" s="1" t="str">
        <f>Paris!L$322</f>
        <v>P01</v>
      </c>
      <c r="M1292" s="1" t="str">
        <f>CONCATENATE(tblCong[[#This Row],[seketCode]],"-",tblCong[[#This Row],[pCode]])</f>
        <v>D08-S02-P01</v>
      </c>
      <c r="N1292" s="1" t="s">
        <v>530</v>
      </c>
      <c r="O1292" s="1" t="s">
        <v>567</v>
      </c>
      <c r="P1292" s="1" t="s">
        <v>1787</v>
      </c>
    </row>
    <row r="1293" spans="6:16" x14ac:dyDescent="0.35">
      <c r="F1293" s="1" t="str">
        <f>CONCATENATE(tblCong[[#This Row],[parishCode]],"-",tblCong[[#This Row],[kCode]])</f>
        <v>D08-S02-P01-K02</v>
      </c>
      <c r="G1293" s="1" t="str">
        <f>Distrik!F$12</f>
        <v>D08</v>
      </c>
      <c r="H1293" s="1" t="str">
        <f>VLOOKUP(tblCong[[#This Row],[distCode]],tblDistrict[#All],2)</f>
        <v>Mumeng</v>
      </c>
      <c r="I1293" s="1" t="str">
        <f>Seket!I$57</f>
        <v>S02</v>
      </c>
      <c r="J1293" s="1" t="str">
        <f>CONCATENATE(tblCong[[#This Row],[distCode]],"-",tblCong[[#This Row],[sCode]])</f>
        <v>D08-S02</v>
      </c>
      <c r="K1293" s="1" t="str">
        <f>VLOOKUP(tblCong[[#This Row],[seketCode]],tblSeket[#All],5,FALSE)</f>
        <v>Zone 2</v>
      </c>
      <c r="L1293" s="1" t="str">
        <f>Paris!L$322</f>
        <v>P01</v>
      </c>
      <c r="M1293" s="1" t="str">
        <f>CONCATENATE(tblCong[[#This Row],[seketCode]],"-",tblCong[[#This Row],[pCode]])</f>
        <v>D08-S02-P01</v>
      </c>
      <c r="N1293" s="1" t="s">
        <v>530</v>
      </c>
      <c r="O1293" s="1" t="s">
        <v>569</v>
      </c>
      <c r="P1293" s="1" t="s">
        <v>1788</v>
      </c>
    </row>
    <row r="1294" spans="6:16" x14ac:dyDescent="0.35">
      <c r="F1294" s="1" t="str">
        <f>CONCATENATE(tblCong[[#This Row],[parishCode]],"-",tblCong[[#This Row],[kCode]])</f>
        <v>D08-S02-P01-K03</v>
      </c>
      <c r="G1294" s="1" t="str">
        <f>Distrik!F$12</f>
        <v>D08</v>
      </c>
      <c r="H1294" s="1" t="str">
        <f>VLOOKUP(tblCong[[#This Row],[distCode]],tblDistrict[#All],2)</f>
        <v>Mumeng</v>
      </c>
      <c r="I1294" s="1" t="str">
        <f>Seket!I$57</f>
        <v>S02</v>
      </c>
      <c r="J1294" s="1" t="str">
        <f>CONCATENATE(tblCong[[#This Row],[distCode]],"-",tblCong[[#This Row],[sCode]])</f>
        <v>D08-S02</v>
      </c>
      <c r="K1294" s="1" t="str">
        <f>VLOOKUP(tblCong[[#This Row],[seketCode]],tblSeket[#All],5,FALSE)</f>
        <v>Zone 2</v>
      </c>
      <c r="L1294" s="1" t="str">
        <f>Paris!L$322</f>
        <v>P01</v>
      </c>
      <c r="M1294" s="1" t="str">
        <f>CONCATENATE(tblCong[[#This Row],[seketCode]],"-",tblCong[[#This Row],[pCode]])</f>
        <v>D08-S02-P01</v>
      </c>
      <c r="N1294" s="1" t="s">
        <v>530</v>
      </c>
      <c r="O1294" s="1" t="s">
        <v>571</v>
      </c>
      <c r="P1294" s="1" t="s">
        <v>538</v>
      </c>
    </row>
    <row r="1295" spans="6:16" x14ac:dyDescent="0.35">
      <c r="F1295" s="1" t="str">
        <f>CONCATENATE(tblCong[[#This Row],[parishCode]],"-",tblCong[[#This Row],[kCode]])</f>
        <v>D08-S02-P01-K04</v>
      </c>
      <c r="G1295" s="1" t="str">
        <f>Distrik!F$12</f>
        <v>D08</v>
      </c>
      <c r="H1295" s="1" t="str">
        <f>VLOOKUP(tblCong[[#This Row],[distCode]],tblDistrict[#All],2)</f>
        <v>Mumeng</v>
      </c>
      <c r="I1295" s="1" t="str">
        <f>Seket!I$57</f>
        <v>S02</v>
      </c>
      <c r="J1295" s="1" t="str">
        <f>CONCATENATE(tblCong[[#This Row],[distCode]],"-",tblCong[[#This Row],[sCode]])</f>
        <v>D08-S02</v>
      </c>
      <c r="K1295" s="1" t="str">
        <f>VLOOKUP(tblCong[[#This Row],[seketCode]],tblSeket[#All],5,FALSE)</f>
        <v>Zone 2</v>
      </c>
      <c r="L1295" s="1" t="str">
        <f>Paris!L$322</f>
        <v>P01</v>
      </c>
      <c r="M1295" s="1" t="str">
        <f>CONCATENATE(tblCong[[#This Row],[seketCode]],"-",tblCong[[#This Row],[pCode]])</f>
        <v>D08-S02-P01</v>
      </c>
      <c r="N1295" s="1" t="s">
        <v>530</v>
      </c>
      <c r="O1295" s="1" t="s">
        <v>573</v>
      </c>
      <c r="P1295" s="1" t="s">
        <v>1789</v>
      </c>
    </row>
    <row r="1296" spans="6:16" x14ac:dyDescent="0.35">
      <c r="F1296" s="1" t="str">
        <f>CONCATENATE(tblCong[[#This Row],[parishCode]],"-",tblCong[[#This Row],[kCode]])</f>
        <v>D08-S02-P01-K05</v>
      </c>
      <c r="G1296" s="1" t="str">
        <f>Distrik!F$12</f>
        <v>D08</v>
      </c>
      <c r="H1296" s="1" t="str">
        <f>VLOOKUP(tblCong[[#This Row],[distCode]],tblDistrict[#All],2)</f>
        <v>Mumeng</v>
      </c>
      <c r="I1296" s="1" t="str">
        <f>Seket!I$57</f>
        <v>S02</v>
      </c>
      <c r="J1296" s="1" t="str">
        <f>CONCATENATE(tblCong[[#This Row],[distCode]],"-",tblCong[[#This Row],[sCode]])</f>
        <v>D08-S02</v>
      </c>
      <c r="K1296" s="1" t="str">
        <f>VLOOKUP(tblCong[[#This Row],[seketCode]],tblSeket[#All],5,FALSE)</f>
        <v>Zone 2</v>
      </c>
      <c r="L1296" s="1" t="str">
        <f>Paris!L$322</f>
        <v>P01</v>
      </c>
      <c r="M1296" s="1" t="str">
        <f>CONCATENATE(tblCong[[#This Row],[seketCode]],"-",tblCong[[#This Row],[pCode]])</f>
        <v>D08-S02-P01</v>
      </c>
      <c r="N1296" s="1" t="s">
        <v>530</v>
      </c>
      <c r="O1296" s="1" t="s">
        <v>575</v>
      </c>
      <c r="P1296" s="1" t="s">
        <v>1790</v>
      </c>
    </row>
    <row r="1297" spans="6:16" x14ac:dyDescent="0.35">
      <c r="F1297" s="1" t="str">
        <f>CONCATENATE(tblCong[[#This Row],[parishCode]],"-",tblCong[[#This Row],[kCode]])</f>
        <v>D08-S02-P01-K06</v>
      </c>
      <c r="G1297" s="1" t="str">
        <f>Distrik!F$12</f>
        <v>D08</v>
      </c>
      <c r="H1297" s="1" t="str">
        <f>VLOOKUP(tblCong[[#This Row],[distCode]],tblDistrict[#All],2)</f>
        <v>Mumeng</v>
      </c>
      <c r="I1297" s="1" t="str">
        <f>Seket!I$57</f>
        <v>S02</v>
      </c>
      <c r="J1297" s="1" t="str">
        <f>CONCATENATE(tblCong[[#This Row],[distCode]],"-",tblCong[[#This Row],[sCode]])</f>
        <v>D08-S02</v>
      </c>
      <c r="K1297" s="1" t="str">
        <f>VLOOKUP(tblCong[[#This Row],[seketCode]],tblSeket[#All],5,FALSE)</f>
        <v>Zone 2</v>
      </c>
      <c r="L1297" s="1" t="str">
        <f>Paris!L$322</f>
        <v>P01</v>
      </c>
      <c r="M1297" s="1" t="str">
        <f>CONCATENATE(tblCong[[#This Row],[seketCode]],"-",tblCong[[#This Row],[pCode]])</f>
        <v>D08-S02-P01</v>
      </c>
      <c r="N1297" s="1" t="s">
        <v>530</v>
      </c>
      <c r="O1297" s="1" t="s">
        <v>576</v>
      </c>
      <c r="P1297" s="1" t="s">
        <v>287</v>
      </c>
    </row>
    <row r="1298" spans="6:16" x14ac:dyDescent="0.35">
      <c r="F1298" s="1" t="str">
        <f>CONCATENATE(tblCong[[#This Row],[parishCode]],"-",tblCong[[#This Row],[kCode]])</f>
        <v>D08-S02-P01-K07</v>
      </c>
      <c r="G1298" s="1" t="str">
        <f>Distrik!F$12</f>
        <v>D08</v>
      </c>
      <c r="H1298" s="1" t="str">
        <f>VLOOKUP(tblCong[[#This Row],[distCode]],tblDistrict[#All],2)</f>
        <v>Mumeng</v>
      </c>
      <c r="I1298" s="1" t="str">
        <f>Seket!I$57</f>
        <v>S02</v>
      </c>
      <c r="J1298" s="1" t="str">
        <f>CONCATENATE(tblCong[[#This Row],[distCode]],"-",tblCong[[#This Row],[sCode]])</f>
        <v>D08-S02</v>
      </c>
      <c r="K1298" s="1" t="str">
        <f>VLOOKUP(tblCong[[#This Row],[seketCode]],tblSeket[#All],5,FALSE)</f>
        <v>Zone 2</v>
      </c>
      <c r="L1298" s="1" t="str">
        <f>Paris!L$322</f>
        <v>P01</v>
      </c>
      <c r="M1298" s="1" t="str">
        <f>CONCATENATE(tblCong[[#This Row],[seketCode]],"-",tblCong[[#This Row],[pCode]])</f>
        <v>D08-S02-P01</v>
      </c>
      <c r="N1298" s="1" t="s">
        <v>530</v>
      </c>
      <c r="O1298" s="1" t="s">
        <v>578</v>
      </c>
      <c r="P1298" s="1" t="s">
        <v>1330</v>
      </c>
    </row>
    <row r="1299" spans="6:16" x14ac:dyDescent="0.35">
      <c r="F1299" s="1" t="str">
        <f>CONCATENATE(tblCong[[#This Row],[parishCode]],"-",tblCong[[#This Row],[kCode]])</f>
        <v>D08-S02-P01-K08</v>
      </c>
      <c r="G1299" s="1" t="str">
        <f>Distrik!F$12</f>
        <v>D08</v>
      </c>
      <c r="H1299" s="1" t="str">
        <f>VLOOKUP(tblCong[[#This Row],[distCode]],tblDistrict[#All],2)</f>
        <v>Mumeng</v>
      </c>
      <c r="I1299" s="1" t="str">
        <f>Seket!I$57</f>
        <v>S02</v>
      </c>
      <c r="J1299" s="1" t="str">
        <f>CONCATENATE(tblCong[[#This Row],[distCode]],"-",tblCong[[#This Row],[sCode]])</f>
        <v>D08-S02</v>
      </c>
      <c r="K1299" s="1" t="str">
        <f>VLOOKUP(tblCong[[#This Row],[seketCode]],tblSeket[#All],5,FALSE)</f>
        <v>Zone 2</v>
      </c>
      <c r="L1299" s="1" t="str">
        <f>Paris!L$322</f>
        <v>P01</v>
      </c>
      <c r="M1299" s="1" t="str">
        <f>CONCATENATE(tblCong[[#This Row],[seketCode]],"-",tblCong[[#This Row],[pCode]])</f>
        <v>D08-S02-P01</v>
      </c>
      <c r="N1299" s="1" t="s">
        <v>530</v>
      </c>
      <c r="O1299" s="1" t="s">
        <v>651</v>
      </c>
      <c r="P1299" s="1" t="s">
        <v>1791</v>
      </c>
    </row>
    <row r="1300" spans="6:16" x14ac:dyDescent="0.35">
      <c r="F1300" s="1" t="str">
        <f>CONCATENATE(tblCong[[#This Row],[parishCode]],"-",tblCong[[#This Row],[kCode]])</f>
        <v>D08-S02-P02-K01</v>
      </c>
      <c r="G1300" s="1" t="str">
        <f>Distrik!F$12</f>
        <v>D08</v>
      </c>
      <c r="H1300" s="1" t="str">
        <f>VLOOKUP(tblCong[[#This Row],[distCode]],tblDistrict[#All],2)</f>
        <v>Mumeng</v>
      </c>
      <c r="I1300" s="1" t="str">
        <f>Seket!I$57</f>
        <v>S02</v>
      </c>
      <c r="J1300" s="1" t="str">
        <f>CONCATENATE(tblCong[[#This Row],[distCode]],"-",tblCong[[#This Row],[sCode]])</f>
        <v>D08-S02</v>
      </c>
      <c r="K1300" s="1" t="str">
        <f>VLOOKUP(tblCong[[#This Row],[seketCode]],tblSeket[#All],5,FALSE)</f>
        <v>Zone 2</v>
      </c>
      <c r="L1300" s="1" t="str">
        <f>Paris!L$323</f>
        <v>P02</v>
      </c>
      <c r="M1300" s="1" t="str">
        <f>CONCATENATE(tblCong[[#This Row],[seketCode]],"-",tblCong[[#This Row],[pCode]])</f>
        <v>D08-S02-P02</v>
      </c>
      <c r="N1300" s="1" t="s">
        <v>328</v>
      </c>
      <c r="O1300" s="1" t="s">
        <v>567</v>
      </c>
      <c r="P1300" s="1" t="s">
        <v>1792</v>
      </c>
    </row>
    <row r="1301" spans="6:16" x14ac:dyDescent="0.35">
      <c r="F1301" s="1" t="str">
        <f>CONCATENATE(tblCong[[#This Row],[parishCode]],"-",tblCong[[#This Row],[kCode]])</f>
        <v>D08-S02-P02-K02</v>
      </c>
      <c r="G1301" s="1" t="str">
        <f>Distrik!F$12</f>
        <v>D08</v>
      </c>
      <c r="H1301" s="1" t="str">
        <f>VLOOKUP(tblCong[[#This Row],[distCode]],tblDistrict[#All],2)</f>
        <v>Mumeng</v>
      </c>
      <c r="I1301" s="1" t="str">
        <f>Seket!I$57</f>
        <v>S02</v>
      </c>
      <c r="J1301" s="1" t="str">
        <f>CONCATENATE(tblCong[[#This Row],[distCode]],"-",tblCong[[#This Row],[sCode]])</f>
        <v>D08-S02</v>
      </c>
      <c r="K1301" s="1" t="str">
        <f>VLOOKUP(tblCong[[#This Row],[seketCode]],tblSeket[#All],5,FALSE)</f>
        <v>Zone 2</v>
      </c>
      <c r="L1301" s="1" t="str">
        <f>Paris!L$323</f>
        <v>P02</v>
      </c>
      <c r="M1301" s="1" t="str">
        <f>CONCATENATE(tblCong[[#This Row],[seketCode]],"-",tblCong[[#This Row],[pCode]])</f>
        <v>D08-S02-P02</v>
      </c>
      <c r="N1301" s="1" t="s">
        <v>328</v>
      </c>
      <c r="O1301" s="1" t="s">
        <v>569</v>
      </c>
      <c r="P1301" s="1" t="s">
        <v>1793</v>
      </c>
    </row>
    <row r="1302" spans="6:16" x14ac:dyDescent="0.35">
      <c r="F1302" s="1" t="str">
        <f>CONCATENATE(tblCong[[#This Row],[parishCode]],"-",tblCong[[#This Row],[kCode]])</f>
        <v>D08-S02-P02-K03</v>
      </c>
      <c r="G1302" s="1" t="str">
        <f>Distrik!F$12</f>
        <v>D08</v>
      </c>
      <c r="H1302" s="1" t="str">
        <f>VLOOKUP(tblCong[[#This Row],[distCode]],tblDistrict[#All],2)</f>
        <v>Mumeng</v>
      </c>
      <c r="I1302" s="1" t="str">
        <f>Seket!I$57</f>
        <v>S02</v>
      </c>
      <c r="J1302" s="1" t="str">
        <f>CONCATENATE(tblCong[[#This Row],[distCode]],"-",tblCong[[#This Row],[sCode]])</f>
        <v>D08-S02</v>
      </c>
      <c r="K1302" s="1" t="str">
        <f>VLOOKUP(tblCong[[#This Row],[seketCode]],tblSeket[#All],5,FALSE)</f>
        <v>Zone 2</v>
      </c>
      <c r="L1302" s="1" t="str">
        <f>Paris!L$323</f>
        <v>P02</v>
      </c>
      <c r="M1302" s="1" t="str">
        <f>CONCATENATE(tblCong[[#This Row],[seketCode]],"-",tblCong[[#This Row],[pCode]])</f>
        <v>D08-S02-P02</v>
      </c>
      <c r="N1302" s="1" t="s">
        <v>328</v>
      </c>
      <c r="O1302" s="1" t="s">
        <v>571</v>
      </c>
      <c r="P1302" s="1" t="s">
        <v>1794</v>
      </c>
    </row>
    <row r="1303" spans="6:16" x14ac:dyDescent="0.35">
      <c r="F1303" s="1" t="str">
        <f>CONCATENATE(tblCong[[#This Row],[parishCode]],"-",tblCong[[#This Row],[kCode]])</f>
        <v>D08-S02-P02-K04</v>
      </c>
      <c r="G1303" s="1" t="str">
        <f>Distrik!F$12</f>
        <v>D08</v>
      </c>
      <c r="H1303" s="1" t="str">
        <f>VLOOKUP(tblCong[[#This Row],[distCode]],tblDistrict[#All],2)</f>
        <v>Mumeng</v>
      </c>
      <c r="I1303" s="1" t="str">
        <f>Seket!I$57</f>
        <v>S02</v>
      </c>
      <c r="J1303" s="1" t="str">
        <f>CONCATENATE(tblCong[[#This Row],[distCode]],"-",tblCong[[#This Row],[sCode]])</f>
        <v>D08-S02</v>
      </c>
      <c r="K1303" s="1" t="str">
        <f>VLOOKUP(tblCong[[#This Row],[seketCode]],tblSeket[#All],5,FALSE)</f>
        <v>Zone 2</v>
      </c>
      <c r="L1303" s="1" t="str">
        <f>Paris!L$323</f>
        <v>P02</v>
      </c>
      <c r="M1303" s="1" t="str">
        <f>CONCATENATE(tblCong[[#This Row],[seketCode]],"-",tblCong[[#This Row],[pCode]])</f>
        <v>D08-S02-P02</v>
      </c>
      <c r="N1303" s="1" t="s">
        <v>328</v>
      </c>
      <c r="O1303" s="1" t="s">
        <v>573</v>
      </c>
      <c r="P1303" s="1" t="s">
        <v>1795</v>
      </c>
    </row>
    <row r="1304" spans="6:16" x14ac:dyDescent="0.35">
      <c r="F1304" s="1" t="str">
        <f>CONCATENATE(tblCong[[#This Row],[parishCode]],"-",tblCong[[#This Row],[kCode]])</f>
        <v>D08-S02-P02-K05</v>
      </c>
      <c r="G1304" s="1" t="str">
        <f>Distrik!F$12</f>
        <v>D08</v>
      </c>
      <c r="H1304" s="1" t="str">
        <f>VLOOKUP(tblCong[[#This Row],[distCode]],tblDistrict[#All],2)</f>
        <v>Mumeng</v>
      </c>
      <c r="I1304" s="1" t="str">
        <f>Seket!I$57</f>
        <v>S02</v>
      </c>
      <c r="J1304" s="1" t="str">
        <f>CONCATENATE(tblCong[[#This Row],[distCode]],"-",tblCong[[#This Row],[sCode]])</f>
        <v>D08-S02</v>
      </c>
      <c r="K1304" s="1" t="str">
        <f>VLOOKUP(tblCong[[#This Row],[seketCode]],tblSeket[#All],5,FALSE)</f>
        <v>Zone 2</v>
      </c>
      <c r="L1304" s="1" t="str">
        <f>Paris!L$323</f>
        <v>P02</v>
      </c>
      <c r="M1304" s="1" t="str">
        <f>CONCATENATE(tblCong[[#This Row],[seketCode]],"-",tblCong[[#This Row],[pCode]])</f>
        <v>D08-S02-P02</v>
      </c>
      <c r="N1304" s="1" t="s">
        <v>328</v>
      </c>
      <c r="O1304" s="1" t="s">
        <v>575</v>
      </c>
      <c r="P1304" s="1" t="s">
        <v>1796</v>
      </c>
    </row>
    <row r="1305" spans="6:16" x14ac:dyDescent="0.35">
      <c r="F1305" s="1" t="str">
        <f>CONCATENATE(tblCong[[#This Row],[parishCode]],"-",tblCong[[#This Row],[kCode]])</f>
        <v>D08-S02-P02-K06</v>
      </c>
      <c r="G1305" s="1" t="str">
        <f>Distrik!F$12</f>
        <v>D08</v>
      </c>
      <c r="H1305" s="1" t="str">
        <f>VLOOKUP(tblCong[[#This Row],[distCode]],tblDistrict[#All],2)</f>
        <v>Mumeng</v>
      </c>
      <c r="I1305" s="1" t="str">
        <f>Seket!I$57</f>
        <v>S02</v>
      </c>
      <c r="J1305" s="1" t="str">
        <f>CONCATENATE(tblCong[[#This Row],[distCode]],"-",tblCong[[#This Row],[sCode]])</f>
        <v>D08-S02</v>
      </c>
      <c r="K1305" s="1" t="str">
        <f>VLOOKUP(tblCong[[#This Row],[seketCode]],tblSeket[#All],5,FALSE)</f>
        <v>Zone 2</v>
      </c>
      <c r="L1305" s="1" t="str">
        <f>Paris!L$323</f>
        <v>P02</v>
      </c>
      <c r="M1305" s="1" t="str">
        <f>CONCATENATE(tblCong[[#This Row],[seketCode]],"-",tblCong[[#This Row],[pCode]])</f>
        <v>D08-S02-P02</v>
      </c>
      <c r="N1305" s="1" t="s">
        <v>328</v>
      </c>
      <c r="O1305" s="1" t="s">
        <v>576</v>
      </c>
      <c r="P1305" s="1" t="s">
        <v>1150</v>
      </c>
    </row>
    <row r="1306" spans="6:16" x14ac:dyDescent="0.35">
      <c r="F1306" s="1" t="str">
        <f>CONCATENATE(tblCong[[#This Row],[parishCode]],"-",tblCong[[#This Row],[kCode]])</f>
        <v>D08-S02-P02-K07</v>
      </c>
      <c r="G1306" s="1" t="str">
        <f>Distrik!F$12</f>
        <v>D08</v>
      </c>
      <c r="H1306" s="1" t="str">
        <f>VLOOKUP(tblCong[[#This Row],[distCode]],tblDistrict[#All],2)</f>
        <v>Mumeng</v>
      </c>
      <c r="I1306" s="1" t="str">
        <f>Seket!I$57</f>
        <v>S02</v>
      </c>
      <c r="J1306" s="1" t="str">
        <f>CONCATENATE(tblCong[[#This Row],[distCode]],"-",tblCong[[#This Row],[sCode]])</f>
        <v>D08-S02</v>
      </c>
      <c r="K1306" s="1" t="str">
        <f>VLOOKUP(tblCong[[#This Row],[seketCode]],tblSeket[#All],5,FALSE)</f>
        <v>Zone 2</v>
      </c>
      <c r="L1306" s="1" t="str">
        <f>Paris!L$323</f>
        <v>P02</v>
      </c>
      <c r="M1306" s="1" t="str">
        <f>CONCATENATE(tblCong[[#This Row],[seketCode]],"-",tblCong[[#This Row],[pCode]])</f>
        <v>D08-S02-P02</v>
      </c>
      <c r="N1306" s="1" t="s">
        <v>328</v>
      </c>
      <c r="O1306" s="1" t="s">
        <v>578</v>
      </c>
      <c r="P1306" s="1" t="s">
        <v>1797</v>
      </c>
    </row>
    <row r="1307" spans="6:16" x14ac:dyDescent="0.35">
      <c r="F1307" s="1" t="str">
        <f>CONCATENATE(tblCong[[#This Row],[parishCode]],"-",tblCong[[#This Row],[kCode]])</f>
        <v>D08-S02-P02-K08</v>
      </c>
      <c r="G1307" s="1" t="str">
        <f>Distrik!F$12</f>
        <v>D08</v>
      </c>
      <c r="H1307" s="1" t="str">
        <f>VLOOKUP(tblCong[[#This Row],[distCode]],tblDistrict[#All],2)</f>
        <v>Mumeng</v>
      </c>
      <c r="I1307" s="1" t="str">
        <f>Seket!I$57</f>
        <v>S02</v>
      </c>
      <c r="J1307" s="1" t="str">
        <f>CONCATENATE(tblCong[[#This Row],[distCode]],"-",tblCong[[#This Row],[sCode]])</f>
        <v>D08-S02</v>
      </c>
      <c r="K1307" s="1" t="str">
        <f>VLOOKUP(tblCong[[#This Row],[seketCode]],tblSeket[#All],5,FALSE)</f>
        <v>Zone 2</v>
      </c>
      <c r="L1307" s="1" t="str">
        <f>Paris!L$323</f>
        <v>P02</v>
      </c>
      <c r="M1307" s="1" t="str">
        <f>CONCATENATE(tblCong[[#This Row],[seketCode]],"-",tblCong[[#This Row],[pCode]])</f>
        <v>D08-S02-P02</v>
      </c>
      <c r="N1307" s="1" t="s">
        <v>328</v>
      </c>
      <c r="O1307" s="1" t="s">
        <v>651</v>
      </c>
      <c r="P1307" s="1" t="s">
        <v>1798</v>
      </c>
    </row>
    <row r="1308" spans="6:16" x14ac:dyDescent="0.35">
      <c r="F1308" s="1" t="str">
        <f>CONCATENATE(tblCong[[#This Row],[parishCode]],"-",tblCong[[#This Row],[kCode]])</f>
        <v>D08-S02-P02-K09</v>
      </c>
      <c r="G1308" s="1" t="str">
        <f>Distrik!F$12</f>
        <v>D08</v>
      </c>
      <c r="H1308" s="1" t="str">
        <f>VLOOKUP(tblCong[[#This Row],[distCode]],tblDistrict[#All],2)</f>
        <v>Mumeng</v>
      </c>
      <c r="I1308" s="1" t="str">
        <f>Seket!I$57</f>
        <v>S02</v>
      </c>
      <c r="J1308" s="1" t="str">
        <f>CONCATENATE(tblCong[[#This Row],[distCode]],"-",tblCong[[#This Row],[sCode]])</f>
        <v>D08-S02</v>
      </c>
      <c r="K1308" s="1" t="str">
        <f>VLOOKUP(tblCong[[#This Row],[seketCode]],tblSeket[#All],5,FALSE)</f>
        <v>Zone 2</v>
      </c>
      <c r="L1308" s="1" t="str">
        <f>Paris!L$323</f>
        <v>P02</v>
      </c>
      <c r="M1308" s="1" t="str">
        <f>CONCATENATE(tblCong[[#This Row],[seketCode]],"-",tblCong[[#This Row],[pCode]])</f>
        <v>D08-S02-P02</v>
      </c>
      <c r="N1308" s="1" t="s">
        <v>328</v>
      </c>
      <c r="O1308" s="1" t="s">
        <v>653</v>
      </c>
      <c r="P1308" s="1" t="s">
        <v>1799</v>
      </c>
    </row>
    <row r="1309" spans="6:16" x14ac:dyDescent="0.35">
      <c r="F1309" s="1" t="str">
        <f>CONCATENATE(tblCong[[#This Row],[parishCode]],"-",tblCong[[#This Row],[kCode]])</f>
        <v>D08-S02-P02-K10</v>
      </c>
      <c r="G1309" s="1" t="str">
        <f>Distrik!F$12</f>
        <v>D08</v>
      </c>
      <c r="H1309" s="1" t="str">
        <f>VLOOKUP(tblCong[[#This Row],[distCode]],tblDistrict[#All],2)</f>
        <v>Mumeng</v>
      </c>
      <c r="I1309" s="1" t="str">
        <f>Seket!I$57</f>
        <v>S02</v>
      </c>
      <c r="J1309" s="1" t="str">
        <f>CONCATENATE(tblCong[[#This Row],[distCode]],"-",tblCong[[#This Row],[sCode]])</f>
        <v>D08-S02</v>
      </c>
      <c r="K1309" s="1" t="str">
        <f>VLOOKUP(tblCong[[#This Row],[seketCode]],tblSeket[#All],5,FALSE)</f>
        <v>Zone 2</v>
      </c>
      <c r="L1309" s="1" t="str">
        <f>Paris!L$323</f>
        <v>P02</v>
      </c>
      <c r="M1309" s="1" t="str">
        <f>CONCATENATE(tblCong[[#This Row],[seketCode]],"-",tblCong[[#This Row],[pCode]])</f>
        <v>D08-S02-P02</v>
      </c>
      <c r="N1309" s="1" t="s">
        <v>328</v>
      </c>
      <c r="O1309" s="1" t="s">
        <v>655</v>
      </c>
      <c r="P1309" s="1" t="s">
        <v>1800</v>
      </c>
    </row>
    <row r="1310" spans="6:16" x14ac:dyDescent="0.35">
      <c r="F1310" s="1" t="str">
        <f>CONCATENATE(tblCong[[#This Row],[parishCode]],"-",tblCong[[#This Row],[kCode]])</f>
        <v>D08-S02-P02-K11</v>
      </c>
      <c r="G1310" s="1" t="str">
        <f>Distrik!F$12</f>
        <v>D08</v>
      </c>
      <c r="H1310" s="1" t="str">
        <f>VLOOKUP(tblCong[[#This Row],[distCode]],tblDistrict[#All],2)</f>
        <v>Mumeng</v>
      </c>
      <c r="I1310" s="1" t="str">
        <f>Seket!I$57</f>
        <v>S02</v>
      </c>
      <c r="J1310" s="1" t="str">
        <f>CONCATENATE(tblCong[[#This Row],[distCode]],"-",tblCong[[#This Row],[sCode]])</f>
        <v>D08-S02</v>
      </c>
      <c r="K1310" s="1" t="str">
        <f>VLOOKUP(tblCong[[#This Row],[seketCode]],tblSeket[#All],5,FALSE)</f>
        <v>Zone 2</v>
      </c>
      <c r="L1310" s="1" t="str">
        <f>Paris!L$323</f>
        <v>P02</v>
      </c>
      <c r="M1310" s="1" t="str">
        <f>CONCATENATE(tblCong[[#This Row],[seketCode]],"-",tblCong[[#This Row],[pCode]])</f>
        <v>D08-S02-P02</v>
      </c>
      <c r="N1310" s="1" t="s">
        <v>328</v>
      </c>
      <c r="O1310" s="1" t="s">
        <v>1013</v>
      </c>
      <c r="P1310" s="1" t="s">
        <v>1801</v>
      </c>
    </row>
    <row r="1311" spans="6:16" x14ac:dyDescent="0.35">
      <c r="F1311" s="1" t="str">
        <f>CONCATENATE(tblCong[[#This Row],[parishCode]],"-",tblCong[[#This Row],[kCode]])</f>
        <v>D08-S02-P03-K01</v>
      </c>
      <c r="G1311" s="1" t="str">
        <f>Distrik!F$12</f>
        <v>D08</v>
      </c>
      <c r="H1311" s="1" t="str">
        <f>VLOOKUP(tblCong[[#This Row],[distCode]],tblDistrict[#All],2)</f>
        <v>Mumeng</v>
      </c>
      <c r="I1311" s="1" t="str">
        <f>Seket!I$57</f>
        <v>S02</v>
      </c>
      <c r="J1311" s="1" t="str">
        <f>CONCATENATE(tblCong[[#This Row],[distCode]],"-",tblCong[[#This Row],[sCode]])</f>
        <v>D08-S02</v>
      </c>
      <c r="K1311" s="1" t="str">
        <f>VLOOKUP(tblCong[[#This Row],[seketCode]],tblSeket[#All],5,FALSE)</f>
        <v>Zone 2</v>
      </c>
      <c r="L1311" s="1" t="str">
        <f>Paris!L$324</f>
        <v>P03</v>
      </c>
      <c r="M1311" s="1" t="str">
        <f>CONCATENATE(tblCong[[#This Row],[seketCode]],"-",tblCong[[#This Row],[pCode]])</f>
        <v>D08-S02-P03</v>
      </c>
      <c r="N1311" s="1" t="s">
        <v>531</v>
      </c>
      <c r="O1311" s="1" t="s">
        <v>567</v>
      </c>
      <c r="P1311" s="1" t="s">
        <v>1802</v>
      </c>
    </row>
    <row r="1312" spans="6:16" x14ac:dyDescent="0.35">
      <c r="F1312" s="1" t="str">
        <f>CONCATENATE(tblCong[[#This Row],[parishCode]],"-",tblCong[[#This Row],[kCode]])</f>
        <v>D08-S02-P03-K02</v>
      </c>
      <c r="G1312" s="1" t="str">
        <f>Distrik!F$12</f>
        <v>D08</v>
      </c>
      <c r="H1312" s="1" t="str">
        <f>VLOOKUP(tblCong[[#This Row],[distCode]],tblDistrict[#All],2)</f>
        <v>Mumeng</v>
      </c>
      <c r="I1312" s="1" t="str">
        <f>Seket!I$57</f>
        <v>S02</v>
      </c>
      <c r="J1312" s="1" t="str">
        <f>CONCATENATE(tblCong[[#This Row],[distCode]],"-",tblCong[[#This Row],[sCode]])</f>
        <v>D08-S02</v>
      </c>
      <c r="K1312" s="1" t="str">
        <f>VLOOKUP(tblCong[[#This Row],[seketCode]],tblSeket[#All],5,FALSE)</f>
        <v>Zone 2</v>
      </c>
      <c r="L1312" s="1" t="str">
        <f>Paris!L$324</f>
        <v>P03</v>
      </c>
      <c r="M1312" s="1" t="str">
        <f>CONCATENATE(tblCong[[#This Row],[seketCode]],"-",tblCong[[#This Row],[pCode]])</f>
        <v>D08-S02-P03</v>
      </c>
      <c r="N1312" s="1" t="s">
        <v>531</v>
      </c>
      <c r="O1312" s="1" t="s">
        <v>569</v>
      </c>
      <c r="P1312" s="1" t="s">
        <v>1803</v>
      </c>
    </row>
    <row r="1313" spans="6:16" x14ac:dyDescent="0.35">
      <c r="F1313" s="1" t="str">
        <f>CONCATENATE(tblCong[[#This Row],[parishCode]],"-",tblCong[[#This Row],[kCode]])</f>
        <v>D08-S02-P03-K03</v>
      </c>
      <c r="G1313" s="1" t="str">
        <f>Distrik!F$12</f>
        <v>D08</v>
      </c>
      <c r="H1313" s="1" t="str">
        <f>VLOOKUP(tblCong[[#This Row],[distCode]],tblDistrict[#All],2)</f>
        <v>Mumeng</v>
      </c>
      <c r="I1313" s="1" t="str">
        <f>Seket!I$57</f>
        <v>S02</v>
      </c>
      <c r="J1313" s="1" t="str">
        <f>CONCATENATE(tblCong[[#This Row],[distCode]],"-",tblCong[[#This Row],[sCode]])</f>
        <v>D08-S02</v>
      </c>
      <c r="K1313" s="1" t="str">
        <f>VLOOKUP(tblCong[[#This Row],[seketCode]],tblSeket[#All],5,FALSE)</f>
        <v>Zone 2</v>
      </c>
      <c r="L1313" s="1" t="str">
        <f>Paris!L$324</f>
        <v>P03</v>
      </c>
      <c r="M1313" s="1" t="str">
        <f>CONCATENATE(tblCong[[#This Row],[seketCode]],"-",tblCong[[#This Row],[pCode]])</f>
        <v>D08-S02-P03</v>
      </c>
      <c r="N1313" s="1" t="s">
        <v>531</v>
      </c>
      <c r="O1313" s="1" t="s">
        <v>571</v>
      </c>
      <c r="P1313" s="1" t="s">
        <v>1804</v>
      </c>
    </row>
    <row r="1314" spans="6:16" x14ac:dyDescent="0.35">
      <c r="F1314" s="1" t="str">
        <f>CONCATENATE(tblCong[[#This Row],[parishCode]],"-",tblCong[[#This Row],[kCode]])</f>
        <v>D08-S02-P04-K01</v>
      </c>
      <c r="G1314" s="1" t="str">
        <f>Distrik!F$12</f>
        <v>D08</v>
      </c>
      <c r="H1314" s="1" t="str">
        <f>VLOOKUP(tblCong[[#This Row],[distCode]],tblDistrict[#All],2)</f>
        <v>Mumeng</v>
      </c>
      <c r="I1314" s="1" t="str">
        <f>Seket!I$57</f>
        <v>S02</v>
      </c>
      <c r="J1314" s="1" t="str">
        <f>CONCATENATE(tblCong[[#This Row],[distCode]],"-",tblCong[[#This Row],[sCode]])</f>
        <v>D08-S02</v>
      </c>
      <c r="K1314" s="1" t="str">
        <f>VLOOKUP(tblCong[[#This Row],[seketCode]],tblSeket[#All],5,FALSE)</f>
        <v>Zone 2</v>
      </c>
      <c r="L1314" s="1" t="str">
        <f>Paris!L$325</f>
        <v>P04</v>
      </c>
      <c r="M1314" s="1" t="str">
        <f>CONCATENATE(tblCong[[#This Row],[seketCode]],"-",tblCong[[#This Row],[pCode]])</f>
        <v>D08-S02-P04</v>
      </c>
      <c r="N1314" s="1" t="s">
        <v>532</v>
      </c>
      <c r="O1314" s="1" t="s">
        <v>567</v>
      </c>
      <c r="P1314" s="1" t="s">
        <v>1805</v>
      </c>
    </row>
    <row r="1315" spans="6:16" x14ac:dyDescent="0.35">
      <c r="F1315" s="1" t="str">
        <f>CONCATENATE(tblCong[[#This Row],[parishCode]],"-",tblCong[[#This Row],[kCode]])</f>
        <v>D08-S02-P04-K02</v>
      </c>
      <c r="G1315" s="1" t="str">
        <f>Distrik!F$12</f>
        <v>D08</v>
      </c>
      <c r="H1315" s="1" t="str">
        <f>VLOOKUP(tblCong[[#This Row],[distCode]],tblDistrict[#All],2)</f>
        <v>Mumeng</v>
      </c>
      <c r="I1315" s="1" t="str">
        <f>Seket!I$57</f>
        <v>S02</v>
      </c>
      <c r="J1315" s="1" t="str">
        <f>CONCATENATE(tblCong[[#This Row],[distCode]],"-",tblCong[[#This Row],[sCode]])</f>
        <v>D08-S02</v>
      </c>
      <c r="K1315" s="1" t="str">
        <f>VLOOKUP(tblCong[[#This Row],[seketCode]],tblSeket[#All],5,FALSE)</f>
        <v>Zone 2</v>
      </c>
      <c r="L1315" s="1" t="str">
        <f>Paris!L$325</f>
        <v>P04</v>
      </c>
      <c r="M1315" s="1" t="str">
        <f>CONCATENATE(tblCong[[#This Row],[seketCode]],"-",tblCong[[#This Row],[pCode]])</f>
        <v>D08-S02-P04</v>
      </c>
      <c r="N1315" s="1" t="s">
        <v>532</v>
      </c>
      <c r="O1315" s="1" t="s">
        <v>569</v>
      </c>
      <c r="P1315" s="1" t="s">
        <v>1806</v>
      </c>
    </row>
    <row r="1316" spans="6:16" x14ac:dyDescent="0.35">
      <c r="F1316" s="1" t="str">
        <f>CONCATENATE(tblCong[[#This Row],[parishCode]],"-",tblCong[[#This Row],[kCode]])</f>
        <v>D08-S02-P04-K03</v>
      </c>
      <c r="G1316" s="1" t="str">
        <f>Distrik!F$12</f>
        <v>D08</v>
      </c>
      <c r="H1316" s="1" t="str">
        <f>VLOOKUP(tblCong[[#This Row],[distCode]],tblDistrict[#All],2)</f>
        <v>Mumeng</v>
      </c>
      <c r="I1316" s="1" t="str">
        <f>Seket!I$57</f>
        <v>S02</v>
      </c>
      <c r="J1316" s="1" t="str">
        <f>CONCATENATE(tblCong[[#This Row],[distCode]],"-",tblCong[[#This Row],[sCode]])</f>
        <v>D08-S02</v>
      </c>
      <c r="K1316" s="1" t="str">
        <f>VLOOKUP(tblCong[[#This Row],[seketCode]],tblSeket[#All],5,FALSE)</f>
        <v>Zone 2</v>
      </c>
      <c r="L1316" s="1" t="str">
        <f>Paris!L$325</f>
        <v>P04</v>
      </c>
      <c r="M1316" s="1" t="str">
        <f>CONCATENATE(tblCong[[#This Row],[seketCode]],"-",tblCong[[#This Row],[pCode]])</f>
        <v>D08-S02-P04</v>
      </c>
      <c r="N1316" s="1" t="s">
        <v>532</v>
      </c>
      <c r="O1316" s="1" t="s">
        <v>571</v>
      </c>
      <c r="P1316" s="1" t="s">
        <v>1807</v>
      </c>
    </row>
    <row r="1317" spans="6:16" x14ac:dyDescent="0.35">
      <c r="F1317" s="1" t="str">
        <f>CONCATENATE(tblCong[[#This Row],[parishCode]],"-",tblCong[[#This Row],[kCode]])</f>
        <v>D08-S02-P04-K04</v>
      </c>
      <c r="G1317" s="1" t="str">
        <f>Distrik!F$12</f>
        <v>D08</v>
      </c>
      <c r="H1317" s="1" t="str">
        <f>VLOOKUP(tblCong[[#This Row],[distCode]],tblDistrict[#All],2)</f>
        <v>Mumeng</v>
      </c>
      <c r="I1317" s="1" t="str">
        <f>Seket!I$57</f>
        <v>S02</v>
      </c>
      <c r="J1317" s="1" t="str">
        <f>CONCATENATE(tblCong[[#This Row],[distCode]],"-",tblCong[[#This Row],[sCode]])</f>
        <v>D08-S02</v>
      </c>
      <c r="K1317" s="1" t="str">
        <f>VLOOKUP(tblCong[[#This Row],[seketCode]],tblSeket[#All],5,FALSE)</f>
        <v>Zone 2</v>
      </c>
      <c r="L1317" s="1" t="str">
        <f>Paris!L$325</f>
        <v>P04</v>
      </c>
      <c r="M1317" s="1" t="str">
        <f>CONCATENATE(tblCong[[#This Row],[seketCode]],"-",tblCong[[#This Row],[pCode]])</f>
        <v>D08-S02-P04</v>
      </c>
      <c r="N1317" s="1" t="s">
        <v>532</v>
      </c>
      <c r="O1317" s="1" t="s">
        <v>573</v>
      </c>
      <c r="P1317" s="1" t="s">
        <v>1808</v>
      </c>
    </row>
    <row r="1318" spans="6:16" x14ac:dyDescent="0.35">
      <c r="F1318" s="1" t="str">
        <f>CONCATENATE(tblCong[[#This Row],[parishCode]],"-",tblCong[[#This Row],[kCode]])</f>
        <v>D08-S03-P01-K01</v>
      </c>
      <c r="G1318" s="1" t="str">
        <f>Distrik!F$12</f>
        <v>D08</v>
      </c>
      <c r="H1318" s="1" t="str">
        <f>VLOOKUP(tblCong[[#This Row],[distCode]],tblDistrict[#All],2)</f>
        <v>Mumeng</v>
      </c>
      <c r="I1318" s="1" t="str">
        <f>Seket!I$58</f>
        <v>S03</v>
      </c>
      <c r="J1318" s="1" t="str">
        <f>CONCATENATE(tblCong[[#This Row],[distCode]],"-",tblCong[[#This Row],[sCode]])</f>
        <v>D08-S03</v>
      </c>
      <c r="K1318" s="1" t="str">
        <f>VLOOKUP(tblCong[[#This Row],[seketCode]],tblSeket[#All],5,FALSE)</f>
        <v>Zone 3</v>
      </c>
      <c r="L1318" s="1" t="str">
        <f>Paris!L$326</f>
        <v>P01</v>
      </c>
      <c r="M1318" s="1" t="str">
        <f>CONCATENATE(tblCong[[#This Row],[seketCode]],"-",tblCong[[#This Row],[pCode]])</f>
        <v>D08-S03-P01</v>
      </c>
      <c r="N1318" s="1" t="s">
        <v>361</v>
      </c>
      <c r="O1318" s="1" t="s">
        <v>567</v>
      </c>
      <c r="P1318" s="1" t="s">
        <v>1809</v>
      </c>
    </row>
    <row r="1319" spans="6:16" x14ac:dyDescent="0.35">
      <c r="F1319" s="1" t="str">
        <f>CONCATENATE(tblCong[[#This Row],[parishCode]],"-",tblCong[[#This Row],[kCode]])</f>
        <v>D08-S03-P01-K02</v>
      </c>
      <c r="G1319" s="1" t="str">
        <f>Distrik!F$12</f>
        <v>D08</v>
      </c>
      <c r="H1319" s="1" t="str">
        <f>VLOOKUP(tblCong[[#This Row],[distCode]],tblDistrict[#All],2)</f>
        <v>Mumeng</v>
      </c>
      <c r="I1319" s="1" t="str">
        <f>Seket!I$58</f>
        <v>S03</v>
      </c>
      <c r="J1319" s="1" t="str">
        <f>CONCATENATE(tblCong[[#This Row],[distCode]],"-",tblCong[[#This Row],[sCode]])</f>
        <v>D08-S03</v>
      </c>
      <c r="K1319" s="1" t="str">
        <f>VLOOKUP(tblCong[[#This Row],[seketCode]],tblSeket[#All],5,FALSE)</f>
        <v>Zone 3</v>
      </c>
      <c r="L1319" s="1" t="str">
        <f>Paris!L$326</f>
        <v>P01</v>
      </c>
      <c r="M1319" s="1" t="str">
        <f>CONCATENATE(tblCong[[#This Row],[seketCode]],"-",tblCong[[#This Row],[pCode]])</f>
        <v>D08-S03-P01</v>
      </c>
      <c r="N1319" s="1" t="s">
        <v>361</v>
      </c>
      <c r="O1319" s="1" t="s">
        <v>569</v>
      </c>
      <c r="P1319" s="1" t="s">
        <v>1810</v>
      </c>
    </row>
    <row r="1320" spans="6:16" x14ac:dyDescent="0.35">
      <c r="F1320" s="1" t="str">
        <f>CONCATENATE(tblCong[[#This Row],[parishCode]],"-",tblCong[[#This Row],[kCode]])</f>
        <v>D08-S03-P01-K03</v>
      </c>
      <c r="G1320" s="1" t="str">
        <f>Distrik!F$12</f>
        <v>D08</v>
      </c>
      <c r="H1320" s="1" t="str">
        <f>VLOOKUP(tblCong[[#This Row],[distCode]],tblDistrict[#All],2)</f>
        <v>Mumeng</v>
      </c>
      <c r="I1320" s="1" t="str">
        <f>Seket!I$58</f>
        <v>S03</v>
      </c>
      <c r="J1320" s="1" t="str">
        <f>CONCATENATE(tblCong[[#This Row],[distCode]],"-",tblCong[[#This Row],[sCode]])</f>
        <v>D08-S03</v>
      </c>
      <c r="K1320" s="1" t="str">
        <f>VLOOKUP(tblCong[[#This Row],[seketCode]],tblSeket[#All],5,FALSE)</f>
        <v>Zone 3</v>
      </c>
      <c r="L1320" s="1" t="str">
        <f>Paris!L$326</f>
        <v>P01</v>
      </c>
      <c r="M1320" s="1" t="str">
        <f>CONCATENATE(tblCong[[#This Row],[seketCode]],"-",tblCong[[#This Row],[pCode]])</f>
        <v>D08-S03-P01</v>
      </c>
      <c r="N1320" s="1" t="s">
        <v>361</v>
      </c>
      <c r="O1320" s="1" t="s">
        <v>571</v>
      </c>
      <c r="P1320" s="1" t="s">
        <v>1811</v>
      </c>
    </row>
    <row r="1321" spans="6:16" x14ac:dyDescent="0.35">
      <c r="F1321" s="1" t="str">
        <f>CONCATENATE(tblCong[[#This Row],[parishCode]],"-",tblCong[[#This Row],[kCode]])</f>
        <v>D08-S03-P01-K04</v>
      </c>
      <c r="G1321" s="1" t="str">
        <f>Distrik!F$12</f>
        <v>D08</v>
      </c>
      <c r="H1321" s="1" t="str">
        <f>VLOOKUP(tblCong[[#This Row],[distCode]],tblDistrict[#All],2)</f>
        <v>Mumeng</v>
      </c>
      <c r="I1321" s="1" t="str">
        <f>Seket!I$58</f>
        <v>S03</v>
      </c>
      <c r="J1321" s="1" t="str">
        <f>CONCATENATE(tblCong[[#This Row],[distCode]],"-",tblCong[[#This Row],[sCode]])</f>
        <v>D08-S03</v>
      </c>
      <c r="K1321" s="1" t="str">
        <f>VLOOKUP(tblCong[[#This Row],[seketCode]],tblSeket[#All],5,FALSE)</f>
        <v>Zone 3</v>
      </c>
      <c r="L1321" s="1" t="str">
        <f>Paris!L$326</f>
        <v>P01</v>
      </c>
      <c r="M1321" s="1" t="str">
        <f>CONCATENATE(tblCong[[#This Row],[seketCode]],"-",tblCong[[#This Row],[pCode]])</f>
        <v>D08-S03-P01</v>
      </c>
      <c r="N1321" s="1" t="s">
        <v>361</v>
      </c>
      <c r="O1321" s="1" t="s">
        <v>573</v>
      </c>
      <c r="P1321" s="1" t="s">
        <v>1812</v>
      </c>
    </row>
    <row r="1322" spans="6:16" x14ac:dyDescent="0.35">
      <c r="F1322" s="1" t="str">
        <f>CONCATENATE(tblCong[[#This Row],[parishCode]],"-",tblCong[[#This Row],[kCode]])</f>
        <v>D08-S03-P01-K05</v>
      </c>
      <c r="G1322" s="1" t="str">
        <f>Distrik!F$12</f>
        <v>D08</v>
      </c>
      <c r="H1322" s="1" t="str">
        <f>VLOOKUP(tblCong[[#This Row],[distCode]],tblDistrict[#All],2)</f>
        <v>Mumeng</v>
      </c>
      <c r="I1322" s="1" t="str">
        <f>Seket!I$58</f>
        <v>S03</v>
      </c>
      <c r="J1322" s="1" t="str">
        <f>CONCATENATE(tblCong[[#This Row],[distCode]],"-",tblCong[[#This Row],[sCode]])</f>
        <v>D08-S03</v>
      </c>
      <c r="K1322" s="1" t="str">
        <f>VLOOKUP(tblCong[[#This Row],[seketCode]],tblSeket[#All],5,FALSE)</f>
        <v>Zone 3</v>
      </c>
      <c r="L1322" s="1" t="str">
        <f>Paris!L$326</f>
        <v>P01</v>
      </c>
      <c r="M1322" s="1" t="str">
        <f>CONCATENATE(tblCong[[#This Row],[seketCode]],"-",tblCong[[#This Row],[pCode]])</f>
        <v>D08-S03-P01</v>
      </c>
      <c r="N1322" s="1" t="s">
        <v>361</v>
      </c>
      <c r="O1322" s="1" t="s">
        <v>575</v>
      </c>
      <c r="P1322" s="1" t="s">
        <v>1813</v>
      </c>
    </row>
    <row r="1323" spans="6:16" x14ac:dyDescent="0.35">
      <c r="F1323" s="1" t="str">
        <f>CONCATENATE(tblCong[[#This Row],[parishCode]],"-",tblCong[[#This Row],[kCode]])</f>
        <v>D08-S03-P01-K06</v>
      </c>
      <c r="G1323" s="1" t="str">
        <f>Distrik!F$12</f>
        <v>D08</v>
      </c>
      <c r="H1323" s="1" t="str">
        <f>VLOOKUP(tblCong[[#This Row],[distCode]],tblDistrict[#All],2)</f>
        <v>Mumeng</v>
      </c>
      <c r="I1323" s="1" t="str">
        <f>Seket!I$58</f>
        <v>S03</v>
      </c>
      <c r="J1323" s="1" t="str">
        <f>CONCATENATE(tblCong[[#This Row],[distCode]],"-",tblCong[[#This Row],[sCode]])</f>
        <v>D08-S03</v>
      </c>
      <c r="K1323" s="1" t="str">
        <f>VLOOKUP(tblCong[[#This Row],[seketCode]],tblSeket[#All],5,FALSE)</f>
        <v>Zone 3</v>
      </c>
      <c r="L1323" s="1" t="str">
        <f>Paris!L$326</f>
        <v>P01</v>
      </c>
      <c r="M1323" s="1" t="str">
        <f>CONCATENATE(tblCong[[#This Row],[seketCode]],"-",tblCong[[#This Row],[pCode]])</f>
        <v>D08-S03-P01</v>
      </c>
      <c r="N1323" s="1" t="s">
        <v>361</v>
      </c>
      <c r="O1323" s="1" t="s">
        <v>576</v>
      </c>
      <c r="P1323" s="1" t="s">
        <v>1814</v>
      </c>
    </row>
    <row r="1324" spans="6:16" x14ac:dyDescent="0.35">
      <c r="F1324" s="1" t="str">
        <f>CONCATENATE(tblCong[[#This Row],[parishCode]],"-",tblCong[[#This Row],[kCode]])</f>
        <v>D08-S03-P02-K01</v>
      </c>
      <c r="G1324" s="1" t="str">
        <f>Distrik!F$12</f>
        <v>D08</v>
      </c>
      <c r="H1324" s="1" t="str">
        <f>VLOOKUP(tblCong[[#This Row],[distCode]],tblDistrict[#All],2)</f>
        <v>Mumeng</v>
      </c>
      <c r="I1324" s="1" t="str">
        <f>Seket!I$58</f>
        <v>S03</v>
      </c>
      <c r="J1324" s="1" t="str">
        <f>CONCATENATE(tblCong[[#This Row],[distCode]],"-",tblCong[[#This Row],[sCode]])</f>
        <v>D08-S03</v>
      </c>
      <c r="K1324" s="1" t="str">
        <f>VLOOKUP(tblCong[[#This Row],[seketCode]],tblSeket[#All],5,FALSE)</f>
        <v>Zone 3</v>
      </c>
      <c r="L1324" s="1" t="str">
        <f>Paris!L$327</f>
        <v>P02</v>
      </c>
      <c r="M1324" s="1" t="str">
        <f>CONCATENATE(tblCong[[#This Row],[seketCode]],"-",tblCong[[#This Row],[pCode]])</f>
        <v>D08-S03-P02</v>
      </c>
      <c r="N1324" s="1" t="s">
        <v>533</v>
      </c>
      <c r="O1324" s="1" t="s">
        <v>567</v>
      </c>
      <c r="P1324" s="1" t="s">
        <v>1789</v>
      </c>
    </row>
    <row r="1325" spans="6:16" x14ac:dyDescent="0.35">
      <c r="F1325" s="1" t="str">
        <f>CONCATENATE(tblCong[[#This Row],[parishCode]],"-",tblCong[[#This Row],[kCode]])</f>
        <v>D08-S03-P02-K02</v>
      </c>
      <c r="G1325" s="1" t="str">
        <f>Distrik!F$12</f>
        <v>D08</v>
      </c>
      <c r="H1325" s="1" t="str">
        <f>VLOOKUP(tblCong[[#This Row],[distCode]],tblDistrict[#All],2)</f>
        <v>Mumeng</v>
      </c>
      <c r="I1325" s="1" t="str">
        <f>Seket!I$58</f>
        <v>S03</v>
      </c>
      <c r="J1325" s="1" t="str">
        <f>CONCATENATE(tblCong[[#This Row],[distCode]],"-",tblCong[[#This Row],[sCode]])</f>
        <v>D08-S03</v>
      </c>
      <c r="K1325" s="1" t="str">
        <f>VLOOKUP(tblCong[[#This Row],[seketCode]],tblSeket[#All],5,FALSE)</f>
        <v>Zone 3</v>
      </c>
      <c r="L1325" s="1" t="str">
        <f>Paris!L$327</f>
        <v>P02</v>
      </c>
      <c r="M1325" s="1" t="str">
        <f>CONCATENATE(tblCong[[#This Row],[seketCode]],"-",tblCong[[#This Row],[pCode]])</f>
        <v>D08-S03-P02</v>
      </c>
      <c r="N1325" s="1" t="s">
        <v>533</v>
      </c>
      <c r="O1325" s="1" t="s">
        <v>569</v>
      </c>
      <c r="P1325" s="1" t="s">
        <v>1815</v>
      </c>
    </row>
    <row r="1326" spans="6:16" x14ac:dyDescent="0.35">
      <c r="F1326" s="1" t="str">
        <f>CONCATENATE(tblCong[[#This Row],[parishCode]],"-",tblCong[[#This Row],[kCode]])</f>
        <v>D08-S03-P02-K03</v>
      </c>
      <c r="G1326" s="1" t="str">
        <f>Distrik!F$12</f>
        <v>D08</v>
      </c>
      <c r="H1326" s="1" t="str">
        <f>VLOOKUP(tblCong[[#This Row],[distCode]],tblDistrict[#All],2)</f>
        <v>Mumeng</v>
      </c>
      <c r="I1326" s="1" t="str">
        <f>Seket!I$58</f>
        <v>S03</v>
      </c>
      <c r="J1326" s="1" t="str">
        <f>CONCATENATE(tblCong[[#This Row],[distCode]],"-",tblCong[[#This Row],[sCode]])</f>
        <v>D08-S03</v>
      </c>
      <c r="K1326" s="1" t="str">
        <f>VLOOKUP(tblCong[[#This Row],[seketCode]],tblSeket[#All],5,FALSE)</f>
        <v>Zone 3</v>
      </c>
      <c r="L1326" s="1" t="str">
        <f>Paris!L$327</f>
        <v>P02</v>
      </c>
      <c r="M1326" s="1" t="str">
        <f>CONCATENATE(tblCong[[#This Row],[seketCode]],"-",tblCong[[#This Row],[pCode]])</f>
        <v>D08-S03-P02</v>
      </c>
      <c r="N1326" s="1" t="s">
        <v>533</v>
      </c>
      <c r="O1326" s="1" t="s">
        <v>571</v>
      </c>
      <c r="P1326" s="1" t="s">
        <v>1816</v>
      </c>
    </row>
    <row r="1327" spans="6:16" x14ac:dyDescent="0.35">
      <c r="F1327" s="1" t="str">
        <f>CONCATENATE(tblCong[[#This Row],[parishCode]],"-",tblCong[[#This Row],[kCode]])</f>
        <v>D08-S03-P02-K04</v>
      </c>
      <c r="G1327" s="1" t="str">
        <f>Distrik!F$12</f>
        <v>D08</v>
      </c>
      <c r="H1327" s="1" t="str">
        <f>VLOOKUP(tblCong[[#This Row],[distCode]],tblDistrict[#All],2)</f>
        <v>Mumeng</v>
      </c>
      <c r="I1327" s="1" t="str">
        <f>Seket!I$58</f>
        <v>S03</v>
      </c>
      <c r="J1327" s="1" t="str">
        <f>CONCATENATE(tblCong[[#This Row],[distCode]],"-",tblCong[[#This Row],[sCode]])</f>
        <v>D08-S03</v>
      </c>
      <c r="K1327" s="1" t="str">
        <f>VLOOKUP(tblCong[[#This Row],[seketCode]],tblSeket[#All],5,FALSE)</f>
        <v>Zone 3</v>
      </c>
      <c r="L1327" s="1" t="str">
        <f>Paris!L$327</f>
        <v>P02</v>
      </c>
      <c r="M1327" s="1" t="str">
        <f>CONCATENATE(tblCong[[#This Row],[seketCode]],"-",tblCong[[#This Row],[pCode]])</f>
        <v>D08-S03-P02</v>
      </c>
      <c r="N1327" s="1" t="s">
        <v>533</v>
      </c>
      <c r="O1327" s="1" t="s">
        <v>573</v>
      </c>
      <c r="P1327" s="1" t="s">
        <v>1817</v>
      </c>
    </row>
    <row r="1328" spans="6:16" x14ac:dyDescent="0.35">
      <c r="F1328" s="1" t="str">
        <f>CONCATENATE(tblCong[[#This Row],[parishCode]],"-",tblCong[[#This Row],[kCode]])</f>
        <v>D08-S03-P03-K01</v>
      </c>
      <c r="G1328" s="1" t="str">
        <f>Distrik!F$12</f>
        <v>D08</v>
      </c>
      <c r="H1328" s="1" t="str">
        <f>VLOOKUP(tblCong[[#This Row],[distCode]],tblDistrict[#All],2)</f>
        <v>Mumeng</v>
      </c>
      <c r="I1328" s="1" t="str">
        <f>Seket!I$58</f>
        <v>S03</v>
      </c>
      <c r="J1328" s="1" t="str">
        <f>CONCATENATE(tblCong[[#This Row],[distCode]],"-",tblCong[[#This Row],[sCode]])</f>
        <v>D08-S03</v>
      </c>
      <c r="K1328" s="1" t="str">
        <f>VLOOKUP(tblCong[[#This Row],[seketCode]],tblSeket[#All],5,FALSE)</f>
        <v>Zone 3</v>
      </c>
      <c r="L1328" s="1" t="str">
        <f>Paris!L$328</f>
        <v>P03</v>
      </c>
      <c r="M1328" s="1" t="str">
        <f>CONCATENATE(tblCong[[#This Row],[seketCode]],"-",tblCong[[#This Row],[pCode]])</f>
        <v>D08-S03-P03</v>
      </c>
      <c r="N1328" s="1" t="s">
        <v>534</v>
      </c>
      <c r="O1328" s="1" t="s">
        <v>567</v>
      </c>
      <c r="P1328" s="1" t="s">
        <v>1818</v>
      </c>
    </row>
    <row r="1329" spans="6:16" x14ac:dyDescent="0.35">
      <c r="F1329" s="1" t="str">
        <f>CONCATENATE(tblCong[[#This Row],[parishCode]],"-",tblCong[[#This Row],[kCode]])</f>
        <v>D08-S03-P03-K02</v>
      </c>
      <c r="G1329" s="1" t="str">
        <f>Distrik!F$12</f>
        <v>D08</v>
      </c>
      <c r="H1329" s="1" t="str">
        <f>VLOOKUP(tblCong[[#This Row],[distCode]],tblDistrict[#All],2)</f>
        <v>Mumeng</v>
      </c>
      <c r="I1329" s="1" t="str">
        <f>Seket!I$58</f>
        <v>S03</v>
      </c>
      <c r="J1329" s="1" t="str">
        <f>CONCATENATE(tblCong[[#This Row],[distCode]],"-",tblCong[[#This Row],[sCode]])</f>
        <v>D08-S03</v>
      </c>
      <c r="K1329" s="1" t="str">
        <f>VLOOKUP(tblCong[[#This Row],[seketCode]],tblSeket[#All],5,FALSE)</f>
        <v>Zone 3</v>
      </c>
      <c r="L1329" s="1" t="str">
        <f>Paris!L$328</f>
        <v>P03</v>
      </c>
      <c r="M1329" s="1" t="str">
        <f>CONCATENATE(tblCong[[#This Row],[seketCode]],"-",tblCong[[#This Row],[pCode]])</f>
        <v>D08-S03-P03</v>
      </c>
      <c r="N1329" s="1" t="s">
        <v>534</v>
      </c>
      <c r="O1329" s="1" t="s">
        <v>569</v>
      </c>
      <c r="P1329" s="1" t="s">
        <v>1819</v>
      </c>
    </row>
    <row r="1330" spans="6:16" x14ac:dyDescent="0.35">
      <c r="F1330" s="1" t="str">
        <f>CONCATENATE(tblCong[[#This Row],[parishCode]],"-",tblCong[[#This Row],[kCode]])</f>
        <v>D08-S03-P03-K03</v>
      </c>
      <c r="G1330" s="1" t="str">
        <f>Distrik!F$12</f>
        <v>D08</v>
      </c>
      <c r="H1330" s="1" t="str">
        <f>VLOOKUP(tblCong[[#This Row],[distCode]],tblDistrict[#All],2)</f>
        <v>Mumeng</v>
      </c>
      <c r="I1330" s="1" t="str">
        <f>Seket!I$58</f>
        <v>S03</v>
      </c>
      <c r="J1330" s="1" t="str">
        <f>CONCATENATE(tblCong[[#This Row],[distCode]],"-",tblCong[[#This Row],[sCode]])</f>
        <v>D08-S03</v>
      </c>
      <c r="K1330" s="1" t="str">
        <f>VLOOKUP(tblCong[[#This Row],[seketCode]],tblSeket[#All],5,FALSE)</f>
        <v>Zone 3</v>
      </c>
      <c r="L1330" s="1" t="str">
        <f>Paris!L$328</f>
        <v>P03</v>
      </c>
      <c r="M1330" s="1" t="str">
        <f>CONCATENATE(tblCong[[#This Row],[seketCode]],"-",tblCong[[#This Row],[pCode]])</f>
        <v>D08-S03-P03</v>
      </c>
      <c r="N1330" s="1" t="s">
        <v>534</v>
      </c>
      <c r="O1330" s="1" t="s">
        <v>571</v>
      </c>
      <c r="P1330" s="1" t="s">
        <v>1820</v>
      </c>
    </row>
    <row r="1331" spans="6:16" x14ac:dyDescent="0.35">
      <c r="F1331" s="1" t="str">
        <f>CONCATENATE(tblCong[[#This Row],[parishCode]],"-",tblCong[[#This Row],[kCode]])</f>
        <v>D08-S03-P03-K04</v>
      </c>
      <c r="G1331" s="1" t="str">
        <f>Distrik!F$12</f>
        <v>D08</v>
      </c>
      <c r="H1331" s="1" t="str">
        <f>VLOOKUP(tblCong[[#This Row],[distCode]],tblDistrict[#All],2)</f>
        <v>Mumeng</v>
      </c>
      <c r="I1331" s="1" t="str">
        <f>Seket!I$58</f>
        <v>S03</v>
      </c>
      <c r="J1331" s="1" t="str">
        <f>CONCATENATE(tblCong[[#This Row],[distCode]],"-",tblCong[[#This Row],[sCode]])</f>
        <v>D08-S03</v>
      </c>
      <c r="K1331" s="1" t="str">
        <f>VLOOKUP(tblCong[[#This Row],[seketCode]],tblSeket[#All],5,FALSE)</f>
        <v>Zone 3</v>
      </c>
      <c r="L1331" s="1" t="str">
        <f>Paris!L$328</f>
        <v>P03</v>
      </c>
      <c r="M1331" s="1" t="str">
        <f>CONCATENATE(tblCong[[#This Row],[seketCode]],"-",tblCong[[#This Row],[pCode]])</f>
        <v>D08-S03-P03</v>
      </c>
      <c r="N1331" s="1" t="s">
        <v>534</v>
      </c>
      <c r="O1331" s="1" t="s">
        <v>573</v>
      </c>
      <c r="P1331" s="1" t="s">
        <v>1821</v>
      </c>
    </row>
    <row r="1332" spans="6:16" x14ac:dyDescent="0.35">
      <c r="F1332" s="1" t="str">
        <f>CONCATENATE(tblCong[[#This Row],[parishCode]],"-",tblCong[[#This Row],[kCode]])</f>
        <v>D08-S03-P04-K01</v>
      </c>
      <c r="G1332" s="1" t="str">
        <f>Distrik!F$12</f>
        <v>D08</v>
      </c>
      <c r="H1332" s="1" t="str">
        <f>VLOOKUP(tblCong[[#This Row],[distCode]],tblDistrict[#All],2)</f>
        <v>Mumeng</v>
      </c>
      <c r="I1332" s="1" t="str">
        <f>Seket!I$58</f>
        <v>S03</v>
      </c>
      <c r="J1332" s="1" t="str">
        <f>CONCATENATE(tblCong[[#This Row],[distCode]],"-",tblCong[[#This Row],[sCode]])</f>
        <v>D08-S03</v>
      </c>
      <c r="K1332" s="1" t="str">
        <f>VLOOKUP(tblCong[[#This Row],[seketCode]],tblSeket[#All],5,FALSE)</f>
        <v>Zone 3</v>
      </c>
      <c r="L1332" s="1" t="str">
        <f>Paris!L$329</f>
        <v>P04</v>
      </c>
      <c r="M1332" s="1" t="str">
        <f>CONCATENATE(tblCong[[#This Row],[seketCode]],"-",tblCong[[#This Row],[pCode]])</f>
        <v>D08-S03-P04</v>
      </c>
      <c r="N1332" s="1" t="s">
        <v>535</v>
      </c>
      <c r="O1332" s="1" t="s">
        <v>567</v>
      </c>
      <c r="P1332" s="1" t="s">
        <v>1822</v>
      </c>
    </row>
    <row r="1333" spans="6:16" x14ac:dyDescent="0.35">
      <c r="F1333" s="1" t="str">
        <f>CONCATENATE(tblCong[[#This Row],[parishCode]],"-",tblCong[[#This Row],[kCode]])</f>
        <v>D08-S03-P05-K01</v>
      </c>
      <c r="G1333" s="1" t="str">
        <f>Distrik!F$12</f>
        <v>D08</v>
      </c>
      <c r="H1333" s="1" t="str">
        <f>VLOOKUP(tblCong[[#This Row],[distCode]],tblDistrict[#All],2)</f>
        <v>Mumeng</v>
      </c>
      <c r="I1333" s="1" t="str">
        <f>Seket!I$58</f>
        <v>S03</v>
      </c>
      <c r="J1333" s="1" t="str">
        <f>CONCATENATE(tblCong[[#This Row],[distCode]],"-",tblCong[[#This Row],[sCode]])</f>
        <v>D08-S03</v>
      </c>
      <c r="K1333" s="1" t="str">
        <f>VLOOKUP(tblCong[[#This Row],[seketCode]],tblSeket[#All],5,FALSE)</f>
        <v>Zone 3</v>
      </c>
      <c r="L1333" s="1" t="str">
        <f>Paris!L$330</f>
        <v>P05</v>
      </c>
      <c r="M1333" s="1" t="str">
        <f>CONCATENATE(tblCong[[#This Row],[seketCode]],"-",tblCong[[#This Row],[pCode]])</f>
        <v>D08-S03-P05</v>
      </c>
      <c r="N1333" s="1" t="s">
        <v>536</v>
      </c>
      <c r="O1333" s="1" t="s">
        <v>567</v>
      </c>
      <c r="P1333" s="1" t="s">
        <v>1823</v>
      </c>
    </row>
    <row r="1334" spans="6:16" x14ac:dyDescent="0.35">
      <c r="F1334" s="1" t="str">
        <f>CONCATENATE(tblCong[[#This Row],[parishCode]],"-",tblCong[[#This Row],[kCode]])</f>
        <v>D08-S03-P05-K02</v>
      </c>
      <c r="G1334" s="1" t="str">
        <f>Distrik!F$12</f>
        <v>D08</v>
      </c>
      <c r="H1334" s="1" t="str">
        <f>VLOOKUP(tblCong[[#This Row],[distCode]],tblDistrict[#All],2)</f>
        <v>Mumeng</v>
      </c>
      <c r="I1334" s="1" t="str">
        <f>Seket!I$58</f>
        <v>S03</v>
      </c>
      <c r="J1334" s="1" t="str">
        <f>CONCATENATE(tblCong[[#This Row],[distCode]],"-",tblCong[[#This Row],[sCode]])</f>
        <v>D08-S03</v>
      </c>
      <c r="K1334" s="1" t="str">
        <f>VLOOKUP(tblCong[[#This Row],[seketCode]],tblSeket[#All],5,FALSE)</f>
        <v>Zone 3</v>
      </c>
      <c r="L1334" s="1" t="str">
        <f>Paris!L$330</f>
        <v>P05</v>
      </c>
      <c r="M1334" s="1" t="str">
        <f>CONCATENATE(tblCong[[#This Row],[seketCode]],"-",tblCong[[#This Row],[pCode]])</f>
        <v>D08-S03-P05</v>
      </c>
      <c r="N1334" s="1" t="s">
        <v>536</v>
      </c>
      <c r="O1334" s="1" t="s">
        <v>569</v>
      </c>
      <c r="P1334" s="1" t="s">
        <v>1824</v>
      </c>
    </row>
    <row r="1335" spans="6:16" x14ac:dyDescent="0.35">
      <c r="F1335" s="1" t="str">
        <f>CONCATENATE(tblCong[[#This Row],[parishCode]],"-",tblCong[[#This Row],[kCode]])</f>
        <v>D08-S03-P05-K03</v>
      </c>
      <c r="G1335" s="1" t="str">
        <f>Distrik!F$12</f>
        <v>D08</v>
      </c>
      <c r="H1335" s="1" t="str">
        <f>VLOOKUP(tblCong[[#This Row],[distCode]],tblDistrict[#All],2)</f>
        <v>Mumeng</v>
      </c>
      <c r="I1335" s="1" t="str">
        <f>Seket!I$58</f>
        <v>S03</v>
      </c>
      <c r="J1335" s="1" t="str">
        <f>CONCATENATE(tblCong[[#This Row],[distCode]],"-",tblCong[[#This Row],[sCode]])</f>
        <v>D08-S03</v>
      </c>
      <c r="K1335" s="1" t="str">
        <f>VLOOKUP(tblCong[[#This Row],[seketCode]],tblSeket[#All],5,FALSE)</f>
        <v>Zone 3</v>
      </c>
      <c r="L1335" s="1" t="str">
        <f>Paris!L$330</f>
        <v>P05</v>
      </c>
      <c r="M1335" s="1" t="str">
        <f>CONCATENATE(tblCong[[#This Row],[seketCode]],"-",tblCong[[#This Row],[pCode]])</f>
        <v>D08-S03-P05</v>
      </c>
      <c r="N1335" s="1" t="s">
        <v>536</v>
      </c>
      <c r="O1335" s="1" t="s">
        <v>571</v>
      </c>
      <c r="P1335" s="1" t="s">
        <v>1825</v>
      </c>
    </row>
    <row r="1336" spans="6:16" x14ac:dyDescent="0.35">
      <c r="F1336" s="1" t="str">
        <f>CONCATENATE(tblCong[[#This Row],[parishCode]],"-",tblCong[[#This Row],[kCode]])</f>
        <v>D08-S04-P01-K01</v>
      </c>
      <c r="G1336" s="1" t="str">
        <f>Distrik!F$12</f>
        <v>D08</v>
      </c>
      <c r="H1336" s="1" t="str">
        <f>VLOOKUP(tblCong[[#This Row],[distCode]],tblDistrict[#All],2)</f>
        <v>Mumeng</v>
      </c>
      <c r="I1336" s="1" t="str">
        <f>Seket!I$59</f>
        <v>S04</v>
      </c>
      <c r="J1336" s="1" t="str">
        <f>CONCATENATE(tblCong[[#This Row],[distCode]],"-",tblCong[[#This Row],[sCode]])</f>
        <v>D08-S04</v>
      </c>
      <c r="K1336" s="1" t="str">
        <f>VLOOKUP(tblCong[[#This Row],[seketCode]],tblSeket[#All],5,FALSE)</f>
        <v>Zone 4</v>
      </c>
      <c r="L1336" s="1" t="str">
        <f>Paris!L$331</f>
        <v>P01</v>
      </c>
      <c r="M1336" s="1" t="str">
        <f>CONCATENATE(tblCong[[#This Row],[seketCode]],"-",tblCong[[#This Row],[pCode]])</f>
        <v>D08-S04-P01</v>
      </c>
      <c r="N1336" s="1" t="s">
        <v>537</v>
      </c>
      <c r="O1336" s="1" t="s">
        <v>567</v>
      </c>
      <c r="P1336" s="1" t="s">
        <v>1826</v>
      </c>
    </row>
    <row r="1337" spans="6:16" x14ac:dyDescent="0.35">
      <c r="F1337" s="1" t="str">
        <f>CONCATENATE(tblCong[[#This Row],[parishCode]],"-",tblCong[[#This Row],[kCode]])</f>
        <v>D08-S04-P01-K02</v>
      </c>
      <c r="G1337" s="1" t="str">
        <f>Distrik!F$12</f>
        <v>D08</v>
      </c>
      <c r="H1337" s="1" t="str">
        <f>VLOOKUP(tblCong[[#This Row],[distCode]],tblDistrict[#All],2)</f>
        <v>Mumeng</v>
      </c>
      <c r="I1337" s="1" t="str">
        <f>Seket!I$59</f>
        <v>S04</v>
      </c>
      <c r="J1337" s="1" t="str">
        <f>CONCATENATE(tblCong[[#This Row],[distCode]],"-",tblCong[[#This Row],[sCode]])</f>
        <v>D08-S04</v>
      </c>
      <c r="K1337" s="1" t="str">
        <f>VLOOKUP(tblCong[[#This Row],[seketCode]],tblSeket[#All],5,FALSE)</f>
        <v>Zone 4</v>
      </c>
      <c r="L1337" s="1" t="str">
        <f>Paris!L$331</f>
        <v>P01</v>
      </c>
      <c r="M1337" s="1" t="str">
        <f>CONCATENATE(tblCong[[#This Row],[seketCode]],"-",tblCong[[#This Row],[pCode]])</f>
        <v>D08-S04-P01</v>
      </c>
      <c r="N1337" s="1" t="s">
        <v>537</v>
      </c>
      <c r="O1337" s="1" t="s">
        <v>569</v>
      </c>
      <c r="P1337" s="1" t="s">
        <v>1827</v>
      </c>
    </row>
    <row r="1338" spans="6:16" x14ac:dyDescent="0.35">
      <c r="F1338" s="1" t="str">
        <f>CONCATENATE(tblCong[[#This Row],[parishCode]],"-",tblCong[[#This Row],[kCode]])</f>
        <v>D08-S04-P01-K03</v>
      </c>
      <c r="G1338" s="1" t="str">
        <f>Distrik!F$12</f>
        <v>D08</v>
      </c>
      <c r="H1338" s="1" t="str">
        <f>VLOOKUP(tblCong[[#This Row],[distCode]],tblDistrict[#All],2)</f>
        <v>Mumeng</v>
      </c>
      <c r="I1338" s="1" t="str">
        <f>Seket!I$59</f>
        <v>S04</v>
      </c>
      <c r="J1338" s="1" t="str">
        <f>CONCATENATE(tblCong[[#This Row],[distCode]],"-",tblCong[[#This Row],[sCode]])</f>
        <v>D08-S04</v>
      </c>
      <c r="K1338" s="1" t="str">
        <f>VLOOKUP(tblCong[[#This Row],[seketCode]],tblSeket[#All],5,FALSE)</f>
        <v>Zone 4</v>
      </c>
      <c r="L1338" s="1" t="str">
        <f>Paris!L$331</f>
        <v>P01</v>
      </c>
      <c r="M1338" s="1" t="str">
        <f>CONCATENATE(tblCong[[#This Row],[seketCode]],"-",tblCong[[#This Row],[pCode]])</f>
        <v>D08-S04-P01</v>
      </c>
      <c r="N1338" s="1" t="s">
        <v>537</v>
      </c>
      <c r="O1338" s="1" t="s">
        <v>571</v>
      </c>
      <c r="P1338" s="1" t="s">
        <v>1828</v>
      </c>
    </row>
    <row r="1339" spans="6:16" x14ac:dyDescent="0.35">
      <c r="F1339" s="1" t="str">
        <f>CONCATENATE(tblCong[[#This Row],[parishCode]],"-",tblCong[[#This Row],[kCode]])</f>
        <v>D08-S04-P01-K04</v>
      </c>
      <c r="G1339" s="1" t="str">
        <f>Distrik!F$12</f>
        <v>D08</v>
      </c>
      <c r="H1339" s="1" t="str">
        <f>VLOOKUP(tblCong[[#This Row],[distCode]],tblDistrict[#All],2)</f>
        <v>Mumeng</v>
      </c>
      <c r="I1339" s="1" t="str">
        <f>Seket!I$59</f>
        <v>S04</v>
      </c>
      <c r="J1339" s="1" t="str">
        <f>CONCATENATE(tblCong[[#This Row],[distCode]],"-",tblCong[[#This Row],[sCode]])</f>
        <v>D08-S04</v>
      </c>
      <c r="K1339" s="1" t="str">
        <f>VLOOKUP(tblCong[[#This Row],[seketCode]],tblSeket[#All],5,FALSE)</f>
        <v>Zone 4</v>
      </c>
      <c r="L1339" s="1" t="str">
        <f>Paris!L$331</f>
        <v>P01</v>
      </c>
      <c r="M1339" s="1" t="str">
        <f>CONCATENATE(tblCong[[#This Row],[seketCode]],"-",tblCong[[#This Row],[pCode]])</f>
        <v>D08-S04-P01</v>
      </c>
      <c r="N1339" s="1" t="s">
        <v>537</v>
      </c>
      <c r="O1339" s="1" t="s">
        <v>573</v>
      </c>
      <c r="P1339" s="1" t="s">
        <v>1829</v>
      </c>
    </row>
    <row r="1340" spans="6:16" x14ac:dyDescent="0.35">
      <c r="F1340" s="1" t="str">
        <f>CONCATENATE(tblCong[[#This Row],[parishCode]],"-",tblCong[[#This Row],[kCode]])</f>
        <v>D08-S04-P01-K05</v>
      </c>
      <c r="G1340" s="1" t="str">
        <f>Distrik!F$12</f>
        <v>D08</v>
      </c>
      <c r="H1340" s="1" t="str">
        <f>VLOOKUP(tblCong[[#This Row],[distCode]],tblDistrict[#All],2)</f>
        <v>Mumeng</v>
      </c>
      <c r="I1340" s="1" t="str">
        <f>Seket!I$59</f>
        <v>S04</v>
      </c>
      <c r="J1340" s="1" t="str">
        <f>CONCATENATE(tblCong[[#This Row],[distCode]],"-",tblCong[[#This Row],[sCode]])</f>
        <v>D08-S04</v>
      </c>
      <c r="K1340" s="1" t="str">
        <f>VLOOKUP(tblCong[[#This Row],[seketCode]],tblSeket[#All],5,FALSE)</f>
        <v>Zone 4</v>
      </c>
      <c r="L1340" s="1" t="str">
        <f>Paris!L$331</f>
        <v>P01</v>
      </c>
      <c r="M1340" s="1" t="str">
        <f>CONCATENATE(tblCong[[#This Row],[seketCode]],"-",tblCong[[#This Row],[pCode]])</f>
        <v>D08-S04-P01</v>
      </c>
      <c r="N1340" s="1" t="s">
        <v>537</v>
      </c>
      <c r="O1340" s="1" t="s">
        <v>575</v>
      </c>
      <c r="P1340" s="1" t="s">
        <v>1830</v>
      </c>
    </row>
    <row r="1341" spans="6:16" x14ac:dyDescent="0.35">
      <c r="F1341" s="1" t="str">
        <f>CONCATENATE(tblCong[[#This Row],[parishCode]],"-",tblCong[[#This Row],[kCode]])</f>
        <v>D08-S04-P02-K01</v>
      </c>
      <c r="G1341" s="1" t="str">
        <f>Distrik!F$12</f>
        <v>D08</v>
      </c>
      <c r="H1341" s="1" t="str">
        <f>VLOOKUP(tblCong[[#This Row],[distCode]],tblDistrict[#All],2)</f>
        <v>Mumeng</v>
      </c>
      <c r="I1341" s="1" t="str">
        <f>Seket!I$59</f>
        <v>S04</v>
      </c>
      <c r="J1341" s="1" t="str">
        <f>CONCATENATE(tblCong[[#This Row],[distCode]],"-",tblCong[[#This Row],[sCode]])</f>
        <v>D08-S04</v>
      </c>
      <c r="K1341" s="1" t="str">
        <f>VLOOKUP(tblCong[[#This Row],[seketCode]],tblSeket[#All],5,FALSE)</f>
        <v>Zone 4</v>
      </c>
      <c r="L1341" s="1" t="str">
        <f>Paris!L$332</f>
        <v>P02</v>
      </c>
      <c r="M1341" s="1" t="str">
        <f>CONCATENATE(tblCong[[#This Row],[seketCode]],"-",tblCong[[#This Row],[pCode]])</f>
        <v>D08-S04-P02</v>
      </c>
      <c r="N1341" s="1" t="s">
        <v>538</v>
      </c>
      <c r="O1341" s="1" t="s">
        <v>567</v>
      </c>
      <c r="P1341" s="1" t="s">
        <v>538</v>
      </c>
    </row>
    <row r="1342" spans="6:16" x14ac:dyDescent="0.35">
      <c r="F1342" s="1" t="str">
        <f>CONCATENATE(tblCong[[#This Row],[parishCode]],"-",tblCong[[#This Row],[kCode]])</f>
        <v>D08-S04-P02-K02</v>
      </c>
      <c r="G1342" s="1" t="str">
        <f>Distrik!F$12</f>
        <v>D08</v>
      </c>
      <c r="H1342" s="1" t="str">
        <f>VLOOKUP(tblCong[[#This Row],[distCode]],tblDistrict[#All],2)</f>
        <v>Mumeng</v>
      </c>
      <c r="I1342" s="1" t="str">
        <f>Seket!I$59</f>
        <v>S04</v>
      </c>
      <c r="J1342" s="1" t="str">
        <f>CONCATENATE(tblCong[[#This Row],[distCode]],"-",tblCong[[#This Row],[sCode]])</f>
        <v>D08-S04</v>
      </c>
      <c r="K1342" s="1" t="str">
        <f>VLOOKUP(tblCong[[#This Row],[seketCode]],tblSeket[#All],5,FALSE)</f>
        <v>Zone 4</v>
      </c>
      <c r="L1342" s="1" t="str">
        <f>Paris!L$332</f>
        <v>P02</v>
      </c>
      <c r="M1342" s="1" t="str">
        <f>CONCATENATE(tblCong[[#This Row],[seketCode]],"-",tblCong[[#This Row],[pCode]])</f>
        <v>D08-S04-P02</v>
      </c>
      <c r="N1342" s="1" t="s">
        <v>538</v>
      </c>
      <c r="O1342" s="1" t="s">
        <v>569</v>
      </c>
      <c r="P1342" s="1" t="s">
        <v>1831</v>
      </c>
    </row>
    <row r="1343" spans="6:16" x14ac:dyDescent="0.35">
      <c r="F1343" s="1" t="str">
        <f>CONCATENATE(tblCong[[#This Row],[parishCode]],"-",tblCong[[#This Row],[kCode]])</f>
        <v>D08-S04-P02-K03</v>
      </c>
      <c r="G1343" s="1" t="str">
        <f>Distrik!F$12</f>
        <v>D08</v>
      </c>
      <c r="H1343" s="1" t="str">
        <f>VLOOKUP(tblCong[[#This Row],[distCode]],tblDistrict[#All],2)</f>
        <v>Mumeng</v>
      </c>
      <c r="I1343" s="1" t="str">
        <f>Seket!I$59</f>
        <v>S04</v>
      </c>
      <c r="J1343" s="1" t="str">
        <f>CONCATENATE(tblCong[[#This Row],[distCode]],"-",tblCong[[#This Row],[sCode]])</f>
        <v>D08-S04</v>
      </c>
      <c r="K1343" s="1" t="str">
        <f>VLOOKUP(tblCong[[#This Row],[seketCode]],tblSeket[#All],5,FALSE)</f>
        <v>Zone 4</v>
      </c>
      <c r="L1343" s="1" t="str">
        <f>Paris!L$332</f>
        <v>P02</v>
      </c>
      <c r="M1343" s="1" t="str">
        <f>CONCATENATE(tblCong[[#This Row],[seketCode]],"-",tblCong[[#This Row],[pCode]])</f>
        <v>D08-S04-P02</v>
      </c>
      <c r="N1343" s="1" t="s">
        <v>538</v>
      </c>
      <c r="O1343" s="1" t="s">
        <v>571</v>
      </c>
      <c r="P1343" s="1" t="s">
        <v>1832</v>
      </c>
    </row>
    <row r="1344" spans="6:16" x14ac:dyDescent="0.35">
      <c r="F1344" s="1" t="str">
        <f>CONCATENATE(tblCong[[#This Row],[parishCode]],"-",tblCong[[#This Row],[kCode]])</f>
        <v>D08-S04-P02-K04</v>
      </c>
      <c r="G1344" s="1" t="str">
        <f>Distrik!F$12</f>
        <v>D08</v>
      </c>
      <c r="H1344" s="1" t="str">
        <f>VLOOKUP(tblCong[[#This Row],[distCode]],tblDistrict[#All],2)</f>
        <v>Mumeng</v>
      </c>
      <c r="I1344" s="1" t="str">
        <f>Seket!I$59</f>
        <v>S04</v>
      </c>
      <c r="J1344" s="1" t="str">
        <f>CONCATENATE(tblCong[[#This Row],[distCode]],"-",tblCong[[#This Row],[sCode]])</f>
        <v>D08-S04</v>
      </c>
      <c r="K1344" s="1" t="str">
        <f>VLOOKUP(tblCong[[#This Row],[seketCode]],tblSeket[#All],5,FALSE)</f>
        <v>Zone 4</v>
      </c>
      <c r="L1344" s="1" t="str">
        <f>Paris!L$332</f>
        <v>P02</v>
      </c>
      <c r="M1344" s="1" t="str">
        <f>CONCATENATE(tblCong[[#This Row],[seketCode]],"-",tblCong[[#This Row],[pCode]])</f>
        <v>D08-S04-P02</v>
      </c>
      <c r="N1344" s="1" t="s">
        <v>538</v>
      </c>
      <c r="O1344" s="1" t="s">
        <v>573</v>
      </c>
      <c r="P1344" s="1" t="s">
        <v>1833</v>
      </c>
    </row>
    <row r="1345" spans="6:16" x14ac:dyDescent="0.35">
      <c r="F1345" s="1" t="str">
        <f>CONCATENATE(tblCong[[#This Row],[parishCode]],"-",tblCong[[#This Row],[kCode]])</f>
        <v>D08-S04-P02-K05</v>
      </c>
      <c r="G1345" s="1" t="str">
        <f>Distrik!F$12</f>
        <v>D08</v>
      </c>
      <c r="H1345" s="1" t="str">
        <f>VLOOKUP(tblCong[[#This Row],[distCode]],tblDistrict[#All],2)</f>
        <v>Mumeng</v>
      </c>
      <c r="I1345" s="1" t="str">
        <f>Seket!I$59</f>
        <v>S04</v>
      </c>
      <c r="J1345" s="1" t="str">
        <f>CONCATENATE(tblCong[[#This Row],[distCode]],"-",tblCong[[#This Row],[sCode]])</f>
        <v>D08-S04</v>
      </c>
      <c r="K1345" s="1" t="str">
        <f>VLOOKUP(tblCong[[#This Row],[seketCode]],tblSeket[#All],5,FALSE)</f>
        <v>Zone 4</v>
      </c>
      <c r="L1345" s="1" t="str">
        <f>Paris!L$332</f>
        <v>P02</v>
      </c>
      <c r="M1345" s="1" t="str">
        <f>CONCATENATE(tblCong[[#This Row],[seketCode]],"-",tblCong[[#This Row],[pCode]])</f>
        <v>D08-S04-P02</v>
      </c>
      <c r="N1345" s="1" t="s">
        <v>538</v>
      </c>
      <c r="O1345" s="1" t="s">
        <v>575</v>
      </c>
      <c r="P1345" s="1" t="s">
        <v>1834</v>
      </c>
    </row>
    <row r="1346" spans="6:16" x14ac:dyDescent="0.35">
      <c r="F1346" s="1" t="str">
        <f>CONCATENATE(tblCong[[#This Row],[parishCode]],"-",tblCong[[#This Row],[kCode]])</f>
        <v>D08-S05-P01-K02</v>
      </c>
      <c r="G1346" s="1" t="str">
        <f>Distrik!F$12</f>
        <v>D08</v>
      </c>
      <c r="H1346" s="1" t="str">
        <f>VLOOKUP(tblCong[[#This Row],[distCode]],tblDistrict[#All],2)</f>
        <v>Mumeng</v>
      </c>
      <c r="I1346" s="1" t="str">
        <f>Seket!I$60</f>
        <v>S05</v>
      </c>
      <c r="J1346" s="1" t="str">
        <f>CONCATENATE(tblCong[[#This Row],[distCode]],"-",tblCong[[#This Row],[sCode]])</f>
        <v>D08-S05</v>
      </c>
      <c r="K1346" s="1" t="str">
        <f>VLOOKUP(tblCong[[#This Row],[seketCode]],tblSeket[#All],5,FALSE)</f>
        <v>Zone 5</v>
      </c>
      <c r="L1346" s="1" t="str">
        <f>Paris!L$333</f>
        <v>P01</v>
      </c>
      <c r="M1346" s="1" t="str">
        <f>CONCATENATE(tblCong[[#This Row],[seketCode]],"-",tblCong[[#This Row],[pCode]])</f>
        <v>D08-S05-P01</v>
      </c>
      <c r="N1346" s="1" t="s">
        <v>539</v>
      </c>
      <c r="O1346" s="1" t="s">
        <v>569</v>
      </c>
      <c r="P1346" s="1" t="s">
        <v>1835</v>
      </c>
    </row>
    <row r="1347" spans="6:16" x14ac:dyDescent="0.35">
      <c r="F1347" s="1" t="str">
        <f>CONCATENATE(tblCong[[#This Row],[parishCode]],"-",tblCong[[#This Row],[kCode]])</f>
        <v>D08-S05-P01-K03</v>
      </c>
      <c r="G1347" s="1" t="str">
        <f>Distrik!F$12</f>
        <v>D08</v>
      </c>
      <c r="H1347" s="1" t="str">
        <f>VLOOKUP(tblCong[[#This Row],[distCode]],tblDistrict[#All],2)</f>
        <v>Mumeng</v>
      </c>
      <c r="I1347" s="1" t="str">
        <f>Seket!I$60</f>
        <v>S05</v>
      </c>
      <c r="J1347" s="1" t="str">
        <f>CONCATENATE(tblCong[[#This Row],[distCode]],"-",tblCong[[#This Row],[sCode]])</f>
        <v>D08-S05</v>
      </c>
      <c r="K1347" s="1" t="str">
        <f>VLOOKUP(tblCong[[#This Row],[seketCode]],tblSeket[#All],5,FALSE)</f>
        <v>Zone 5</v>
      </c>
      <c r="L1347" s="1" t="str">
        <f>Paris!L$333</f>
        <v>P01</v>
      </c>
      <c r="M1347" s="1" t="str">
        <f>CONCATENATE(tblCong[[#This Row],[seketCode]],"-",tblCong[[#This Row],[pCode]])</f>
        <v>D08-S05-P01</v>
      </c>
      <c r="N1347" s="1" t="s">
        <v>539</v>
      </c>
      <c r="O1347" s="1" t="s">
        <v>571</v>
      </c>
      <c r="P1347" s="1" t="s">
        <v>1836</v>
      </c>
    </row>
    <row r="1348" spans="6:16" x14ac:dyDescent="0.35">
      <c r="F1348" s="1" t="str">
        <f>CONCATENATE(tblCong[[#This Row],[parishCode]],"-",tblCong[[#This Row],[kCode]])</f>
        <v>D08-S05-P01-K04</v>
      </c>
      <c r="G1348" s="1" t="str">
        <f>Distrik!F$12</f>
        <v>D08</v>
      </c>
      <c r="H1348" s="1" t="str">
        <f>VLOOKUP(tblCong[[#This Row],[distCode]],tblDistrict[#All],2)</f>
        <v>Mumeng</v>
      </c>
      <c r="I1348" s="1" t="str">
        <f>Seket!I$60</f>
        <v>S05</v>
      </c>
      <c r="J1348" s="1" t="str">
        <f>CONCATENATE(tblCong[[#This Row],[distCode]],"-",tblCong[[#This Row],[sCode]])</f>
        <v>D08-S05</v>
      </c>
      <c r="K1348" s="1" t="str">
        <f>VLOOKUP(tblCong[[#This Row],[seketCode]],tblSeket[#All],5,FALSE)</f>
        <v>Zone 5</v>
      </c>
      <c r="L1348" s="1" t="str">
        <f>Paris!L$333</f>
        <v>P01</v>
      </c>
      <c r="M1348" s="1" t="str">
        <f>CONCATENATE(tblCong[[#This Row],[seketCode]],"-",tblCong[[#This Row],[pCode]])</f>
        <v>D08-S05-P01</v>
      </c>
      <c r="N1348" s="1" t="s">
        <v>539</v>
      </c>
      <c r="O1348" s="1" t="s">
        <v>573</v>
      </c>
      <c r="P1348" s="1" t="s">
        <v>1837</v>
      </c>
    </row>
    <row r="1349" spans="6:16" x14ac:dyDescent="0.35">
      <c r="F1349" s="1" t="str">
        <f>CONCATENATE(tblCong[[#This Row],[parishCode]],"-",tblCong[[#This Row],[kCode]])</f>
        <v>D08-S05-P02-K01</v>
      </c>
      <c r="G1349" s="1" t="str">
        <f>Distrik!F$12</f>
        <v>D08</v>
      </c>
      <c r="H1349" s="1" t="str">
        <f>VLOOKUP(tblCong[[#This Row],[distCode]],tblDistrict[#All],2)</f>
        <v>Mumeng</v>
      </c>
      <c r="I1349" s="1" t="str">
        <f>Seket!I$60</f>
        <v>S05</v>
      </c>
      <c r="J1349" s="1" t="str">
        <f>CONCATENATE(tblCong[[#This Row],[distCode]],"-",tblCong[[#This Row],[sCode]])</f>
        <v>D08-S05</v>
      </c>
      <c r="K1349" s="1" t="str">
        <f>VLOOKUP(tblCong[[#This Row],[seketCode]],tblSeket[#All],5,FALSE)</f>
        <v>Zone 5</v>
      </c>
      <c r="L1349" s="1" t="str">
        <f>Paris!L$334</f>
        <v>P02</v>
      </c>
      <c r="M1349" s="1" t="str">
        <f>CONCATENATE(tblCong[[#This Row],[seketCode]],"-",tblCong[[#This Row],[pCode]])</f>
        <v>D08-S05-P02</v>
      </c>
      <c r="N1349" s="1" t="s">
        <v>540</v>
      </c>
      <c r="O1349" s="1" t="s">
        <v>567</v>
      </c>
      <c r="P1349" s="1" t="s">
        <v>1838</v>
      </c>
    </row>
    <row r="1350" spans="6:16" x14ac:dyDescent="0.35">
      <c r="F1350" s="1" t="str">
        <f>CONCATENATE(tblCong[[#This Row],[parishCode]],"-",tblCong[[#This Row],[kCode]])</f>
        <v>D08-S05-P02-K02</v>
      </c>
      <c r="G1350" s="1" t="str">
        <f>Distrik!F$12</f>
        <v>D08</v>
      </c>
      <c r="H1350" s="1" t="str">
        <f>VLOOKUP(tblCong[[#This Row],[distCode]],tblDistrict[#All],2)</f>
        <v>Mumeng</v>
      </c>
      <c r="I1350" s="1" t="str">
        <f>Seket!I$60</f>
        <v>S05</v>
      </c>
      <c r="J1350" s="1" t="str">
        <f>CONCATENATE(tblCong[[#This Row],[distCode]],"-",tblCong[[#This Row],[sCode]])</f>
        <v>D08-S05</v>
      </c>
      <c r="K1350" s="1" t="str">
        <f>VLOOKUP(tblCong[[#This Row],[seketCode]],tblSeket[#All],5,FALSE)</f>
        <v>Zone 5</v>
      </c>
      <c r="L1350" s="1" t="str">
        <f>Paris!L$334</f>
        <v>P02</v>
      </c>
      <c r="M1350" s="1" t="str">
        <f>CONCATENATE(tblCong[[#This Row],[seketCode]],"-",tblCong[[#This Row],[pCode]])</f>
        <v>D08-S05-P02</v>
      </c>
      <c r="N1350" s="1" t="s">
        <v>540</v>
      </c>
      <c r="O1350" s="1" t="s">
        <v>569</v>
      </c>
      <c r="P1350" s="1" t="s">
        <v>1839</v>
      </c>
    </row>
    <row r="1351" spans="6:16" x14ac:dyDescent="0.35">
      <c r="F1351" s="1" t="str">
        <f>CONCATENATE(tblCong[[#This Row],[parishCode]],"-",tblCong[[#This Row],[kCode]])</f>
        <v>D08-S05-P02-K03</v>
      </c>
      <c r="G1351" s="1" t="str">
        <f>Distrik!F$12</f>
        <v>D08</v>
      </c>
      <c r="H1351" s="1" t="str">
        <f>VLOOKUP(tblCong[[#This Row],[distCode]],tblDistrict[#All],2)</f>
        <v>Mumeng</v>
      </c>
      <c r="I1351" s="1" t="str">
        <f>Seket!I$60</f>
        <v>S05</v>
      </c>
      <c r="J1351" s="1" t="str">
        <f>CONCATENATE(tblCong[[#This Row],[distCode]],"-",tblCong[[#This Row],[sCode]])</f>
        <v>D08-S05</v>
      </c>
      <c r="K1351" s="1" t="str">
        <f>VLOOKUP(tblCong[[#This Row],[seketCode]],tblSeket[#All],5,FALSE)</f>
        <v>Zone 5</v>
      </c>
      <c r="L1351" s="1" t="str">
        <f>Paris!L$334</f>
        <v>P02</v>
      </c>
      <c r="M1351" s="1" t="str">
        <f>CONCATENATE(tblCong[[#This Row],[seketCode]],"-",tblCong[[#This Row],[pCode]])</f>
        <v>D08-S05-P02</v>
      </c>
      <c r="N1351" s="1" t="s">
        <v>540</v>
      </c>
      <c r="O1351" s="1" t="s">
        <v>571</v>
      </c>
      <c r="P1351" s="1" t="s">
        <v>1840</v>
      </c>
    </row>
    <row r="1352" spans="6:16" x14ac:dyDescent="0.35">
      <c r="F1352" s="1" t="str">
        <f>CONCATENATE(tblCong[[#This Row],[parishCode]],"-",tblCong[[#This Row],[kCode]])</f>
        <v>D08-S05-P03-K01</v>
      </c>
      <c r="G1352" s="1" t="str">
        <f>Distrik!F$12</f>
        <v>D08</v>
      </c>
      <c r="H1352" s="1" t="str">
        <f>VLOOKUP(tblCong[[#This Row],[distCode]],tblDistrict[#All],2)</f>
        <v>Mumeng</v>
      </c>
      <c r="I1352" s="1" t="str">
        <f>Seket!I$60</f>
        <v>S05</v>
      </c>
      <c r="J1352" s="1" t="str">
        <f>CONCATENATE(tblCong[[#This Row],[distCode]],"-",tblCong[[#This Row],[sCode]])</f>
        <v>D08-S05</v>
      </c>
      <c r="K1352" s="1" t="str">
        <f>VLOOKUP(tblCong[[#This Row],[seketCode]],tblSeket[#All],5,FALSE)</f>
        <v>Zone 5</v>
      </c>
      <c r="L1352" s="1" t="str">
        <f>Paris!L$335</f>
        <v>P03</v>
      </c>
      <c r="M1352" s="1" t="str">
        <f>CONCATENATE(tblCong[[#This Row],[seketCode]],"-",tblCong[[#This Row],[pCode]])</f>
        <v>D08-S05-P03</v>
      </c>
      <c r="N1352" s="1" t="s">
        <v>541</v>
      </c>
      <c r="O1352" s="1" t="s">
        <v>567</v>
      </c>
      <c r="P1352" s="1" t="s">
        <v>1841</v>
      </c>
    </row>
    <row r="1353" spans="6:16" x14ac:dyDescent="0.35">
      <c r="F1353" s="1" t="str">
        <f>CONCATENATE(tblCong[[#This Row],[parishCode]],"-",tblCong[[#This Row],[kCode]])</f>
        <v>D08-S05-P03-K02</v>
      </c>
      <c r="G1353" s="1" t="str">
        <f>Distrik!F$12</f>
        <v>D08</v>
      </c>
      <c r="H1353" s="1" t="str">
        <f>VLOOKUP(tblCong[[#This Row],[distCode]],tblDistrict[#All],2)</f>
        <v>Mumeng</v>
      </c>
      <c r="I1353" s="1" t="str">
        <f>Seket!I$60</f>
        <v>S05</v>
      </c>
      <c r="J1353" s="1" t="str">
        <f>CONCATENATE(tblCong[[#This Row],[distCode]],"-",tblCong[[#This Row],[sCode]])</f>
        <v>D08-S05</v>
      </c>
      <c r="K1353" s="1" t="str">
        <f>VLOOKUP(tblCong[[#This Row],[seketCode]],tblSeket[#All],5,FALSE)</f>
        <v>Zone 5</v>
      </c>
      <c r="L1353" s="1" t="str">
        <f>Paris!L$335</f>
        <v>P03</v>
      </c>
      <c r="M1353" s="1" t="str">
        <f>CONCATENATE(tblCong[[#This Row],[seketCode]],"-",tblCong[[#This Row],[pCode]])</f>
        <v>D08-S05-P03</v>
      </c>
      <c r="N1353" s="1" t="s">
        <v>541</v>
      </c>
      <c r="O1353" s="1" t="s">
        <v>569</v>
      </c>
      <c r="P1353" s="1" t="s">
        <v>1842</v>
      </c>
    </row>
    <row r="1354" spans="6:16" x14ac:dyDescent="0.35">
      <c r="F1354" s="1" t="str">
        <f>CONCATENATE(tblCong[[#This Row],[parishCode]],"-",tblCong[[#This Row],[kCode]])</f>
        <v>D08-S05-P03-K03</v>
      </c>
      <c r="G1354" s="1" t="str">
        <f>Distrik!F$12</f>
        <v>D08</v>
      </c>
      <c r="H1354" s="1" t="str">
        <f>VLOOKUP(tblCong[[#This Row],[distCode]],tblDistrict[#All],2)</f>
        <v>Mumeng</v>
      </c>
      <c r="I1354" s="1" t="str">
        <f>Seket!I$60</f>
        <v>S05</v>
      </c>
      <c r="J1354" s="1" t="str">
        <f>CONCATENATE(tblCong[[#This Row],[distCode]],"-",tblCong[[#This Row],[sCode]])</f>
        <v>D08-S05</v>
      </c>
      <c r="K1354" s="1" t="str">
        <f>VLOOKUP(tblCong[[#This Row],[seketCode]],tblSeket[#All],5,FALSE)</f>
        <v>Zone 5</v>
      </c>
      <c r="L1354" s="1" t="str">
        <f>Paris!L$335</f>
        <v>P03</v>
      </c>
      <c r="M1354" s="1" t="str">
        <f>CONCATENATE(tblCong[[#This Row],[seketCode]],"-",tblCong[[#This Row],[pCode]])</f>
        <v>D08-S05-P03</v>
      </c>
      <c r="N1354" s="1" t="s">
        <v>541</v>
      </c>
      <c r="O1354" s="1" t="s">
        <v>571</v>
      </c>
      <c r="P1354" s="1" t="s">
        <v>1843</v>
      </c>
    </row>
    <row r="1355" spans="6:16" x14ac:dyDescent="0.35">
      <c r="F1355" s="1" t="str">
        <f>CONCATENATE(tblCong[[#This Row],[parishCode]],"-",tblCong[[#This Row],[kCode]])</f>
        <v>D09-S01-P01-K01</v>
      </c>
      <c r="G1355" s="1" t="str">
        <f>Distrik!F$13</f>
        <v>D09</v>
      </c>
      <c r="H1355" s="1" t="str">
        <f>VLOOKUP(tblCong[[#This Row],[distCode]],tblDistrict[#All],2)</f>
        <v>NGI</v>
      </c>
      <c r="I1355" s="1" t="str">
        <f>Seket!I$61</f>
        <v>S01</v>
      </c>
      <c r="J1355" s="1" t="str">
        <f>CONCATENATE(tblCong[[#This Row],[distCode]],"-",tblCong[[#This Row],[sCode]])</f>
        <v>D09-S01</v>
      </c>
      <c r="K1355" s="1" t="str">
        <f>VLOOKUP(tblCong[[#This Row],[seketCode]],tblSeket[#All],5,FALSE)</f>
        <v>Kimbe</v>
      </c>
      <c r="L1355" s="1" t="str">
        <f>Paris!L$336</f>
        <v>P01</v>
      </c>
      <c r="M1355" s="1" t="str">
        <f>CONCATENATE(tblCong[[#This Row],[seketCode]],"-",tblCong[[#This Row],[pCode]])</f>
        <v>D09-S01-P01</v>
      </c>
      <c r="N1355" s="1" t="s">
        <v>542</v>
      </c>
      <c r="O1355" s="1" t="s">
        <v>567</v>
      </c>
      <c r="P1355" s="1" t="s">
        <v>1065</v>
      </c>
    </row>
    <row r="1356" spans="6:16" x14ac:dyDescent="0.35">
      <c r="F1356" s="1" t="str">
        <f>CONCATENATE(tblCong[[#This Row],[parishCode]],"-",tblCong[[#This Row],[kCode]])</f>
        <v>D09-S01-P01-K02</v>
      </c>
      <c r="G1356" s="1" t="str">
        <f>Distrik!F$13</f>
        <v>D09</v>
      </c>
      <c r="H1356" s="1" t="str">
        <f>VLOOKUP(tblCong[[#This Row],[distCode]],tblDistrict[#All],2)</f>
        <v>NGI</v>
      </c>
      <c r="I1356" s="1" t="str">
        <f>Seket!I$61</f>
        <v>S01</v>
      </c>
      <c r="J1356" s="1" t="str">
        <f>CONCATENATE(tblCong[[#This Row],[distCode]],"-",tblCong[[#This Row],[sCode]])</f>
        <v>D09-S01</v>
      </c>
      <c r="K1356" s="1" t="str">
        <f>VLOOKUP(tblCong[[#This Row],[seketCode]],tblSeket[#All],5,FALSE)</f>
        <v>Kimbe</v>
      </c>
      <c r="L1356" s="1" t="str">
        <f>Paris!L$336</f>
        <v>P01</v>
      </c>
      <c r="M1356" s="1" t="str">
        <f>CONCATENATE(tblCong[[#This Row],[seketCode]],"-",tblCong[[#This Row],[pCode]])</f>
        <v>D09-S01-P01</v>
      </c>
      <c r="N1356" s="1" t="s">
        <v>542</v>
      </c>
      <c r="O1356" s="1" t="s">
        <v>569</v>
      </c>
      <c r="P1356" s="1" t="s">
        <v>1844</v>
      </c>
    </row>
    <row r="1357" spans="6:16" x14ac:dyDescent="0.35">
      <c r="F1357" s="1" t="str">
        <f>CONCATENATE(tblCong[[#This Row],[parishCode]],"-",tblCong[[#This Row],[kCode]])</f>
        <v>D09-S01-P01-K03</v>
      </c>
      <c r="G1357" s="1" t="str">
        <f>Distrik!F$13</f>
        <v>D09</v>
      </c>
      <c r="H1357" s="1" t="str">
        <f>VLOOKUP(tblCong[[#This Row],[distCode]],tblDistrict[#All],2)</f>
        <v>NGI</v>
      </c>
      <c r="I1357" s="1" t="str">
        <f>Seket!I$61</f>
        <v>S01</v>
      </c>
      <c r="J1357" s="1" t="str">
        <f>CONCATENATE(tblCong[[#This Row],[distCode]],"-",tblCong[[#This Row],[sCode]])</f>
        <v>D09-S01</v>
      </c>
      <c r="K1357" s="1" t="str">
        <f>VLOOKUP(tblCong[[#This Row],[seketCode]],tblSeket[#All],5,FALSE)</f>
        <v>Kimbe</v>
      </c>
      <c r="L1357" s="1" t="str">
        <f>Paris!L$336</f>
        <v>P01</v>
      </c>
      <c r="M1357" s="1" t="str">
        <f>CONCATENATE(tblCong[[#This Row],[seketCode]],"-",tblCong[[#This Row],[pCode]])</f>
        <v>D09-S01-P01</v>
      </c>
      <c r="N1357" s="1" t="s">
        <v>542</v>
      </c>
      <c r="O1357" s="1" t="s">
        <v>571</v>
      </c>
      <c r="P1357" s="1" t="s">
        <v>1845</v>
      </c>
    </row>
    <row r="1358" spans="6:16" x14ac:dyDescent="0.35">
      <c r="F1358" s="1" t="str">
        <f>CONCATENATE(tblCong[[#This Row],[parishCode]],"-",tblCong[[#This Row],[kCode]])</f>
        <v>D09-S01-P01-K04</v>
      </c>
      <c r="G1358" s="1" t="str">
        <f>Distrik!F$13</f>
        <v>D09</v>
      </c>
      <c r="H1358" s="1" t="str">
        <f>VLOOKUP(tblCong[[#This Row],[distCode]],tblDistrict[#All],2)</f>
        <v>NGI</v>
      </c>
      <c r="I1358" s="1" t="str">
        <f>Seket!I$61</f>
        <v>S01</v>
      </c>
      <c r="J1358" s="1" t="str">
        <f>CONCATENATE(tblCong[[#This Row],[distCode]],"-",tblCong[[#This Row],[sCode]])</f>
        <v>D09-S01</v>
      </c>
      <c r="K1358" s="1" t="str">
        <f>VLOOKUP(tblCong[[#This Row],[seketCode]],tblSeket[#All],5,FALSE)</f>
        <v>Kimbe</v>
      </c>
      <c r="L1358" s="1" t="str">
        <f>Paris!L$336</f>
        <v>P01</v>
      </c>
      <c r="M1358" s="1" t="str">
        <f>CONCATENATE(tblCong[[#This Row],[seketCode]],"-",tblCong[[#This Row],[pCode]])</f>
        <v>D09-S01-P01</v>
      </c>
      <c r="N1358" s="1" t="s">
        <v>542</v>
      </c>
      <c r="O1358" s="1" t="s">
        <v>573</v>
      </c>
      <c r="P1358" s="1" t="s">
        <v>1846</v>
      </c>
    </row>
    <row r="1359" spans="6:16" x14ac:dyDescent="0.35">
      <c r="F1359" s="1" t="str">
        <f>CONCATENATE(tblCong[[#This Row],[parishCode]],"-",tblCong[[#This Row],[kCode]])</f>
        <v>D09-S01-P01-K05</v>
      </c>
      <c r="G1359" s="1" t="str">
        <f>Distrik!F$13</f>
        <v>D09</v>
      </c>
      <c r="H1359" s="1" t="str">
        <f>VLOOKUP(tblCong[[#This Row],[distCode]],tblDistrict[#All],2)</f>
        <v>NGI</v>
      </c>
      <c r="I1359" s="1" t="str">
        <f>Seket!I$61</f>
        <v>S01</v>
      </c>
      <c r="J1359" s="1" t="str">
        <f>CONCATENATE(tblCong[[#This Row],[distCode]],"-",tblCong[[#This Row],[sCode]])</f>
        <v>D09-S01</v>
      </c>
      <c r="K1359" s="1" t="str">
        <f>VLOOKUP(tblCong[[#This Row],[seketCode]],tblSeket[#All],5,FALSE)</f>
        <v>Kimbe</v>
      </c>
      <c r="L1359" s="1" t="str">
        <f>Paris!L$336</f>
        <v>P01</v>
      </c>
      <c r="M1359" s="1" t="str">
        <f>CONCATENATE(tblCong[[#This Row],[seketCode]],"-",tblCong[[#This Row],[pCode]])</f>
        <v>D09-S01-P01</v>
      </c>
      <c r="N1359" s="1" t="s">
        <v>542</v>
      </c>
      <c r="O1359" s="1" t="s">
        <v>575</v>
      </c>
      <c r="P1359" s="1" t="s">
        <v>1847</v>
      </c>
    </row>
    <row r="1360" spans="6:16" x14ac:dyDescent="0.35">
      <c r="F1360" s="1" t="str">
        <f>CONCATENATE(tblCong[[#This Row],[parishCode]],"-",tblCong[[#This Row],[kCode]])</f>
        <v>D09-S01-P01-K06</v>
      </c>
      <c r="G1360" s="1" t="str">
        <f>Distrik!F$13</f>
        <v>D09</v>
      </c>
      <c r="H1360" s="1" t="str">
        <f>VLOOKUP(tblCong[[#This Row],[distCode]],tblDistrict[#All],2)</f>
        <v>NGI</v>
      </c>
      <c r="I1360" s="1" t="str">
        <f>Seket!I$61</f>
        <v>S01</v>
      </c>
      <c r="J1360" s="1" t="str">
        <f>CONCATENATE(tblCong[[#This Row],[distCode]],"-",tblCong[[#This Row],[sCode]])</f>
        <v>D09-S01</v>
      </c>
      <c r="K1360" s="1" t="str">
        <f>VLOOKUP(tblCong[[#This Row],[seketCode]],tblSeket[#All],5,FALSE)</f>
        <v>Kimbe</v>
      </c>
      <c r="L1360" s="1" t="str">
        <f>Paris!L$336</f>
        <v>P01</v>
      </c>
      <c r="M1360" s="1" t="str">
        <f>CONCATENATE(tblCong[[#This Row],[seketCode]],"-",tblCong[[#This Row],[pCode]])</f>
        <v>D09-S01-P01</v>
      </c>
      <c r="N1360" s="1" t="s">
        <v>542</v>
      </c>
      <c r="O1360" s="1" t="s">
        <v>576</v>
      </c>
      <c r="P1360" s="1" t="s">
        <v>1848</v>
      </c>
    </row>
    <row r="1361" spans="6:16" x14ac:dyDescent="0.35">
      <c r="F1361" s="1" t="str">
        <f>CONCATENATE(tblCong[[#This Row],[parishCode]],"-",tblCong[[#This Row],[kCode]])</f>
        <v>D09-S01-P01-K07</v>
      </c>
      <c r="G1361" s="1" t="str">
        <f>Distrik!F$13</f>
        <v>D09</v>
      </c>
      <c r="H1361" s="1" t="str">
        <f>VLOOKUP(tblCong[[#This Row],[distCode]],tblDistrict[#All],2)</f>
        <v>NGI</v>
      </c>
      <c r="I1361" s="1" t="str">
        <f>Seket!I$61</f>
        <v>S01</v>
      </c>
      <c r="J1361" s="1" t="str">
        <f>CONCATENATE(tblCong[[#This Row],[distCode]],"-",tblCong[[#This Row],[sCode]])</f>
        <v>D09-S01</v>
      </c>
      <c r="K1361" s="1" t="str">
        <f>VLOOKUP(tblCong[[#This Row],[seketCode]],tblSeket[#All],5,FALSE)</f>
        <v>Kimbe</v>
      </c>
      <c r="L1361" s="1" t="str">
        <f>Paris!L$336</f>
        <v>P01</v>
      </c>
      <c r="M1361" s="1" t="str">
        <f>CONCATENATE(tblCong[[#This Row],[seketCode]],"-",tblCong[[#This Row],[pCode]])</f>
        <v>D09-S01-P01</v>
      </c>
      <c r="N1361" s="1" t="s">
        <v>542</v>
      </c>
      <c r="O1361" s="1" t="s">
        <v>578</v>
      </c>
      <c r="P1361" s="1" t="s">
        <v>1849</v>
      </c>
    </row>
    <row r="1362" spans="6:16" x14ac:dyDescent="0.35">
      <c r="F1362" s="1" t="str">
        <f>CONCATENATE(tblCong[[#This Row],[parishCode]],"-",tblCong[[#This Row],[kCode]])</f>
        <v>D09-S04--K01</v>
      </c>
      <c r="G1362" s="1" t="str">
        <f>Distrik!F$13</f>
        <v>D09</v>
      </c>
      <c r="H1362" s="1" t="str">
        <f>VLOOKUP(tblCong[[#This Row],[distCode]],tblDistrict[#All],2)</f>
        <v>NGI</v>
      </c>
      <c r="I1362" s="1" t="str">
        <f>Seket!I$64</f>
        <v>S04</v>
      </c>
      <c r="J1362" s="1" t="str">
        <f>CONCATENATE(tblCong[[#This Row],[distCode]],"-",tblCong[[#This Row],[sCode]])</f>
        <v>D09-S04</v>
      </c>
      <c r="K1362" s="1" t="str">
        <f>VLOOKUP(tblCong[[#This Row],[seketCode]],tblSeket[#All],5,FALSE)</f>
        <v>Kevieng</v>
      </c>
      <c r="M1362" s="1" t="str">
        <f>CONCATENATE(tblCong[[#This Row],[seketCode]],"-",tblCong[[#This Row],[pCode]])</f>
        <v>D09-S04-</v>
      </c>
      <c r="O1362" s="1" t="s">
        <v>567</v>
      </c>
      <c r="P1362" s="1" t="s">
        <v>168</v>
      </c>
    </row>
    <row r="1363" spans="6:16" x14ac:dyDescent="0.35">
      <c r="F1363" s="1" t="str">
        <f>CONCATENATE(tblCong[[#This Row],[parishCode]],"-",tblCong[[#This Row],[kCode]])</f>
        <v>D09-S04--K02</v>
      </c>
      <c r="G1363" s="1" t="str">
        <f>Distrik!F$13</f>
        <v>D09</v>
      </c>
      <c r="H1363" s="1" t="str">
        <f>VLOOKUP(tblCong[[#This Row],[distCode]],tblDistrict[#All],2)</f>
        <v>NGI</v>
      </c>
      <c r="I1363" s="1" t="str">
        <f>Seket!I$64</f>
        <v>S04</v>
      </c>
      <c r="J1363" s="1" t="str">
        <f>CONCATENATE(tblCong[[#This Row],[distCode]],"-",tblCong[[#This Row],[sCode]])</f>
        <v>D09-S04</v>
      </c>
      <c r="K1363" s="1" t="str">
        <f>VLOOKUP(tblCong[[#This Row],[seketCode]],tblSeket[#All],5,FALSE)</f>
        <v>Kevieng</v>
      </c>
      <c r="M1363" s="1" t="str">
        <f>CONCATENATE(tblCong[[#This Row],[seketCode]],"-",tblCong[[#This Row],[pCode]])</f>
        <v>D09-S04-</v>
      </c>
      <c r="O1363" s="1" t="s">
        <v>569</v>
      </c>
      <c r="P1363" s="1" t="s">
        <v>1850</v>
      </c>
    </row>
    <row r="1364" spans="6:16" x14ac:dyDescent="0.35">
      <c r="F1364" s="1" t="str">
        <f>CONCATENATE(tblCong[[#This Row],[parishCode]],"-",tblCong[[#This Row],[kCode]])</f>
        <v>D12-S04--K01</v>
      </c>
      <c r="G1364" s="1" t="str">
        <f>Distrik!F$16</f>
        <v>D12</v>
      </c>
      <c r="H1364" s="1" t="str">
        <f>VLOOKUP(tblCong[[#This Row],[distCode]],tblDistrict[#All],2)</f>
        <v>Goroka</v>
      </c>
      <c r="I1364" s="1" t="str">
        <f>Seket!I$68</f>
        <v>S04</v>
      </c>
      <c r="J1364" s="1" t="str">
        <f>CONCATENATE(tblCong[[#This Row],[distCode]],"-",tblCong[[#This Row],[sCode]])</f>
        <v>D12-S04</v>
      </c>
      <c r="K1364" s="1" t="str">
        <f>VLOOKUP(tblCong[[#This Row],[seketCode]],tblSeket[#All],5,FALSE)</f>
        <v>Asaroka</v>
      </c>
      <c r="M1364" s="1" t="str">
        <f>CONCATENATE(tblCong[[#This Row],[seketCode]],"-",tblCong[[#This Row],[pCode]])</f>
        <v>D12-S04-</v>
      </c>
      <c r="N1364" s="1" t="s">
        <v>553</v>
      </c>
      <c r="O1364" s="1" t="s">
        <v>567</v>
      </c>
      <c r="P1364" s="1" t="s">
        <v>1851</v>
      </c>
    </row>
    <row r="1365" spans="6:16" x14ac:dyDescent="0.35">
      <c r="F1365" s="1" t="str">
        <f>CONCATENATE(tblCong[[#This Row],[parishCode]],"-",tblCong[[#This Row],[kCode]])</f>
        <v>D12-S04-P01-K02</v>
      </c>
      <c r="G1365" s="1" t="str">
        <f>Distrik!F$16</f>
        <v>D12</v>
      </c>
      <c r="H1365" s="1" t="str">
        <f>VLOOKUP(tblCong[[#This Row],[distCode]],tblDistrict[#All],2)</f>
        <v>Goroka</v>
      </c>
      <c r="I1365" s="1" t="str">
        <f>Seket!I$68</f>
        <v>S04</v>
      </c>
      <c r="J1365" s="1" t="str">
        <f>CONCATENATE(tblCong[[#This Row],[distCode]],"-",tblCong[[#This Row],[sCode]])</f>
        <v>D12-S04</v>
      </c>
      <c r="K1365" s="1" t="str">
        <f>VLOOKUP(tblCong[[#This Row],[seketCode]],tblSeket[#All],5,FALSE)</f>
        <v>Asaroka</v>
      </c>
      <c r="L1365" s="1" t="str">
        <f>Paris!L$348</f>
        <v>P01</v>
      </c>
      <c r="M1365" s="1" t="str">
        <f>CONCATENATE(tblCong[[#This Row],[seketCode]],"-",tblCong[[#This Row],[pCode]])</f>
        <v>D12-S04-P01</v>
      </c>
      <c r="N1365" s="1" t="s">
        <v>553</v>
      </c>
      <c r="O1365" s="1" t="s">
        <v>569</v>
      </c>
      <c r="P1365" s="1" t="s">
        <v>1852</v>
      </c>
    </row>
    <row r="1366" spans="6:16" x14ac:dyDescent="0.35">
      <c r="F1366" s="1" t="str">
        <f>CONCATENATE(tblCong[[#This Row],[parishCode]],"-",tblCong[[#This Row],[kCode]])</f>
        <v>D12-S04-P01-K03</v>
      </c>
      <c r="G1366" s="1" t="str">
        <f>Distrik!F$16</f>
        <v>D12</v>
      </c>
      <c r="H1366" s="1" t="str">
        <f>VLOOKUP(tblCong[[#This Row],[distCode]],tblDistrict[#All],2)</f>
        <v>Goroka</v>
      </c>
      <c r="I1366" s="1" t="str">
        <f>Seket!I$68</f>
        <v>S04</v>
      </c>
      <c r="J1366" s="1" t="str">
        <f>CONCATENATE(tblCong[[#This Row],[distCode]],"-",tblCong[[#This Row],[sCode]])</f>
        <v>D12-S04</v>
      </c>
      <c r="K1366" s="1" t="str">
        <f>VLOOKUP(tblCong[[#This Row],[seketCode]],tblSeket[#All],5,FALSE)</f>
        <v>Asaroka</v>
      </c>
      <c r="L1366" s="1" t="str">
        <f>Paris!L$348</f>
        <v>P01</v>
      </c>
      <c r="M1366" s="1" t="str">
        <f>CONCATENATE(tblCong[[#This Row],[seketCode]],"-",tblCong[[#This Row],[pCode]])</f>
        <v>D12-S04-P01</v>
      </c>
      <c r="N1366" s="1" t="s">
        <v>553</v>
      </c>
      <c r="O1366" s="1" t="s">
        <v>571</v>
      </c>
      <c r="P1366" s="1" t="s">
        <v>1853</v>
      </c>
    </row>
    <row r="1367" spans="6:16" x14ac:dyDescent="0.35">
      <c r="F1367" s="1" t="str">
        <f>CONCATENATE(tblCong[[#This Row],[parishCode]],"-",tblCong[[#This Row],[kCode]])</f>
        <v>D12-S04-P01-K04</v>
      </c>
      <c r="G1367" s="1" t="str">
        <f>Distrik!F$16</f>
        <v>D12</v>
      </c>
      <c r="H1367" s="1" t="str">
        <f>VLOOKUP(tblCong[[#This Row],[distCode]],tblDistrict[#All],2)</f>
        <v>Goroka</v>
      </c>
      <c r="I1367" s="1" t="str">
        <f>Seket!I$68</f>
        <v>S04</v>
      </c>
      <c r="J1367" s="1" t="str">
        <f>CONCATENATE(tblCong[[#This Row],[distCode]],"-",tblCong[[#This Row],[sCode]])</f>
        <v>D12-S04</v>
      </c>
      <c r="K1367" s="1" t="str">
        <f>VLOOKUP(tblCong[[#This Row],[seketCode]],tblSeket[#All],5,FALSE)</f>
        <v>Asaroka</v>
      </c>
      <c r="L1367" s="1" t="str">
        <f>Paris!L$348</f>
        <v>P01</v>
      </c>
      <c r="M1367" s="1" t="str">
        <f>CONCATENATE(tblCong[[#This Row],[seketCode]],"-",tblCong[[#This Row],[pCode]])</f>
        <v>D12-S04-P01</v>
      </c>
      <c r="N1367" s="1" t="s">
        <v>553</v>
      </c>
      <c r="O1367" s="1" t="s">
        <v>573</v>
      </c>
      <c r="P1367" s="1" t="s">
        <v>1854</v>
      </c>
    </row>
    <row r="1368" spans="6:16" x14ac:dyDescent="0.35">
      <c r="F1368" s="1" t="str">
        <f>CONCATENATE(tblCong[[#This Row],[parishCode]],"-",tblCong[[#This Row],[kCode]])</f>
        <v>D12-S04-P01-K05</v>
      </c>
      <c r="G1368" s="1" t="str">
        <f>Distrik!F$16</f>
        <v>D12</v>
      </c>
      <c r="H1368" s="1" t="str">
        <f>VLOOKUP(tblCong[[#This Row],[distCode]],tblDistrict[#All],2)</f>
        <v>Goroka</v>
      </c>
      <c r="I1368" s="1" t="str">
        <f>Seket!I$68</f>
        <v>S04</v>
      </c>
      <c r="J1368" s="1" t="str">
        <f>CONCATENATE(tblCong[[#This Row],[distCode]],"-",tblCong[[#This Row],[sCode]])</f>
        <v>D12-S04</v>
      </c>
      <c r="K1368" s="1" t="str">
        <f>VLOOKUP(tblCong[[#This Row],[seketCode]],tblSeket[#All],5,FALSE)</f>
        <v>Asaroka</v>
      </c>
      <c r="L1368" s="1" t="str">
        <f>Paris!L$348</f>
        <v>P01</v>
      </c>
      <c r="M1368" s="1" t="str">
        <f>CONCATENATE(tblCong[[#This Row],[seketCode]],"-",tblCong[[#This Row],[pCode]])</f>
        <v>D12-S04-P01</v>
      </c>
      <c r="N1368" s="1" t="s">
        <v>553</v>
      </c>
      <c r="O1368" s="1" t="s">
        <v>575</v>
      </c>
      <c r="P1368" s="1" t="s">
        <v>1855</v>
      </c>
    </row>
    <row r="1369" spans="6:16" x14ac:dyDescent="0.35">
      <c r="F1369" s="1" t="str">
        <f>CONCATENATE(tblCong[[#This Row],[parishCode]],"-",tblCong[[#This Row],[kCode]])</f>
        <v>D12-S04-P01-K06</v>
      </c>
      <c r="G1369" s="1" t="str">
        <f>Distrik!F$16</f>
        <v>D12</v>
      </c>
      <c r="H1369" s="1" t="str">
        <f>VLOOKUP(tblCong[[#This Row],[distCode]],tblDistrict[#All],2)</f>
        <v>Goroka</v>
      </c>
      <c r="I1369" s="1" t="str">
        <f>Seket!I$68</f>
        <v>S04</v>
      </c>
      <c r="J1369" s="1" t="str">
        <f>CONCATENATE(tblCong[[#This Row],[distCode]],"-",tblCong[[#This Row],[sCode]])</f>
        <v>D12-S04</v>
      </c>
      <c r="K1369" s="1" t="str">
        <f>VLOOKUP(tblCong[[#This Row],[seketCode]],tblSeket[#All],5,FALSE)</f>
        <v>Asaroka</v>
      </c>
      <c r="L1369" s="1" t="str">
        <f>Paris!L$348</f>
        <v>P01</v>
      </c>
      <c r="M1369" s="1" t="str">
        <f>CONCATENATE(tblCong[[#This Row],[seketCode]],"-",tblCong[[#This Row],[pCode]])</f>
        <v>D12-S04-P01</v>
      </c>
      <c r="N1369" s="1" t="s">
        <v>553</v>
      </c>
      <c r="O1369" s="1" t="s">
        <v>576</v>
      </c>
      <c r="P1369" s="1" t="s">
        <v>1856</v>
      </c>
    </row>
    <row r="1370" spans="6:16" x14ac:dyDescent="0.35">
      <c r="F1370" s="1" t="str">
        <f>CONCATENATE(tblCong[[#This Row],[parishCode]],"-",tblCong[[#This Row],[kCode]])</f>
        <v>D12-S04-P01-K07</v>
      </c>
      <c r="G1370" s="1" t="str">
        <f>Distrik!F$16</f>
        <v>D12</v>
      </c>
      <c r="H1370" s="1" t="str">
        <f>VLOOKUP(tblCong[[#This Row],[distCode]],tblDistrict[#All],2)</f>
        <v>Goroka</v>
      </c>
      <c r="I1370" s="1" t="str">
        <f>Seket!I$68</f>
        <v>S04</v>
      </c>
      <c r="J1370" s="1" t="str">
        <f>CONCATENATE(tblCong[[#This Row],[distCode]],"-",tblCong[[#This Row],[sCode]])</f>
        <v>D12-S04</v>
      </c>
      <c r="K1370" s="1" t="str">
        <f>VLOOKUP(tblCong[[#This Row],[seketCode]],tblSeket[#All],5,FALSE)</f>
        <v>Asaroka</v>
      </c>
      <c r="L1370" s="1" t="str">
        <f>Paris!L$348</f>
        <v>P01</v>
      </c>
      <c r="M1370" s="1" t="str">
        <f>CONCATENATE(tblCong[[#This Row],[seketCode]],"-",tblCong[[#This Row],[pCode]])</f>
        <v>D12-S04-P01</v>
      </c>
      <c r="N1370" s="1" t="s">
        <v>553</v>
      </c>
      <c r="O1370" s="1" t="s">
        <v>578</v>
      </c>
      <c r="P1370" s="1" t="s">
        <v>1857</v>
      </c>
    </row>
    <row r="1371" spans="6:16" x14ac:dyDescent="0.35">
      <c r="F1371" s="1" t="str">
        <f>CONCATENATE(tblCong[[#This Row],[parishCode]],"-",tblCong[[#This Row],[kCode]])</f>
        <v>D12-S04-P01-K08</v>
      </c>
      <c r="G1371" s="1" t="str">
        <f>Distrik!F$16</f>
        <v>D12</v>
      </c>
      <c r="H1371" s="1" t="str">
        <f>VLOOKUP(tblCong[[#This Row],[distCode]],tblDistrict[#All],2)</f>
        <v>Goroka</v>
      </c>
      <c r="I1371" s="1" t="str">
        <f>Seket!I$68</f>
        <v>S04</v>
      </c>
      <c r="J1371" s="1" t="str">
        <f>CONCATENATE(tblCong[[#This Row],[distCode]],"-",tblCong[[#This Row],[sCode]])</f>
        <v>D12-S04</v>
      </c>
      <c r="K1371" s="1" t="str">
        <f>VLOOKUP(tblCong[[#This Row],[seketCode]],tblSeket[#All],5,FALSE)</f>
        <v>Asaroka</v>
      </c>
      <c r="L1371" s="1" t="str">
        <f>Paris!L$348</f>
        <v>P01</v>
      </c>
      <c r="M1371" s="1" t="str">
        <f>CONCATENATE(tblCong[[#This Row],[seketCode]],"-",tblCong[[#This Row],[pCode]])</f>
        <v>D12-S04-P01</v>
      </c>
      <c r="N1371" s="1" t="s">
        <v>553</v>
      </c>
      <c r="O1371" s="1" t="s">
        <v>651</v>
      </c>
      <c r="P1371" s="1" t="s">
        <v>1858</v>
      </c>
    </row>
    <row r="1372" spans="6:16" x14ac:dyDescent="0.35">
      <c r="F1372" s="1" t="str">
        <f>CONCATENATE(tblCong[[#This Row],[parishCode]],"-",tblCong[[#This Row],[kCode]])</f>
        <v>D12-S04-P02-K01</v>
      </c>
      <c r="G1372" s="1" t="str">
        <f>Distrik!F$16</f>
        <v>D12</v>
      </c>
      <c r="H1372" s="1" t="str">
        <f>VLOOKUP(tblCong[[#This Row],[distCode]],tblDistrict[#All],2)</f>
        <v>Goroka</v>
      </c>
      <c r="I1372" s="1" t="str">
        <f>Seket!I$68</f>
        <v>S04</v>
      </c>
      <c r="J1372" s="1" t="str">
        <f>CONCATENATE(tblCong[[#This Row],[distCode]],"-",tblCong[[#This Row],[sCode]])</f>
        <v>D12-S04</v>
      </c>
      <c r="K1372" s="1" t="str">
        <f>VLOOKUP(tblCong[[#This Row],[seketCode]],tblSeket[#All],5,FALSE)</f>
        <v>Asaroka</v>
      </c>
      <c r="L1372" s="1" t="str">
        <f>Paris!L$349</f>
        <v>P02</v>
      </c>
      <c r="M1372" s="1" t="str">
        <f>CONCATENATE(tblCong[[#This Row],[seketCode]],"-",tblCong[[#This Row],[pCode]])</f>
        <v>D12-S04-P02</v>
      </c>
      <c r="N1372" s="1" t="s">
        <v>301</v>
      </c>
      <c r="O1372" s="1" t="s">
        <v>567</v>
      </c>
      <c r="P1372" s="1" t="s">
        <v>1859</v>
      </c>
    </row>
    <row r="1373" spans="6:16" x14ac:dyDescent="0.35">
      <c r="F1373" s="1" t="str">
        <f>CONCATENATE(tblCong[[#This Row],[parishCode]],"-",tblCong[[#This Row],[kCode]])</f>
        <v>D12-S04-P02-K02</v>
      </c>
      <c r="G1373" s="1" t="str">
        <f>Distrik!F$16</f>
        <v>D12</v>
      </c>
      <c r="H1373" s="1" t="str">
        <f>VLOOKUP(tblCong[[#This Row],[distCode]],tblDistrict[#All],2)</f>
        <v>Goroka</v>
      </c>
      <c r="I1373" s="1" t="str">
        <f>Seket!I$68</f>
        <v>S04</v>
      </c>
      <c r="J1373" s="1" t="str">
        <f>CONCATENATE(tblCong[[#This Row],[distCode]],"-",tblCong[[#This Row],[sCode]])</f>
        <v>D12-S04</v>
      </c>
      <c r="K1373" s="1" t="str">
        <f>VLOOKUP(tblCong[[#This Row],[seketCode]],tblSeket[#All],5,FALSE)</f>
        <v>Asaroka</v>
      </c>
      <c r="L1373" s="1" t="str">
        <f>Paris!L$349</f>
        <v>P02</v>
      </c>
      <c r="M1373" s="1" t="str">
        <f>CONCATENATE(tblCong[[#This Row],[seketCode]],"-",tblCong[[#This Row],[pCode]])</f>
        <v>D12-S04-P02</v>
      </c>
      <c r="N1373" s="1" t="s">
        <v>301</v>
      </c>
      <c r="O1373" s="1" t="s">
        <v>569</v>
      </c>
      <c r="P1373" s="1" t="s">
        <v>1860</v>
      </c>
    </row>
    <row r="1374" spans="6:16" x14ac:dyDescent="0.35">
      <c r="F1374" s="1" t="str">
        <f>CONCATENATE(tblCong[[#This Row],[parishCode]],"-",tblCong[[#This Row],[kCode]])</f>
        <v>D12-S04-P02-K03</v>
      </c>
      <c r="G1374" s="1" t="str">
        <f>Distrik!F$16</f>
        <v>D12</v>
      </c>
      <c r="H1374" s="1" t="str">
        <f>VLOOKUP(tblCong[[#This Row],[distCode]],tblDistrict[#All],2)</f>
        <v>Goroka</v>
      </c>
      <c r="I1374" s="1" t="str">
        <f>Seket!I$68</f>
        <v>S04</v>
      </c>
      <c r="J1374" s="1" t="str">
        <f>CONCATENATE(tblCong[[#This Row],[distCode]],"-",tblCong[[#This Row],[sCode]])</f>
        <v>D12-S04</v>
      </c>
      <c r="K1374" s="1" t="str">
        <f>VLOOKUP(tblCong[[#This Row],[seketCode]],tblSeket[#All],5,FALSE)</f>
        <v>Asaroka</v>
      </c>
      <c r="L1374" s="1" t="str">
        <f>Paris!L$349</f>
        <v>P02</v>
      </c>
      <c r="M1374" s="1" t="str">
        <f>CONCATENATE(tblCong[[#This Row],[seketCode]],"-",tblCong[[#This Row],[pCode]])</f>
        <v>D12-S04-P02</v>
      </c>
      <c r="N1374" s="1" t="s">
        <v>301</v>
      </c>
      <c r="O1374" s="1" t="s">
        <v>571</v>
      </c>
      <c r="P1374" s="1" t="s">
        <v>1861</v>
      </c>
    </row>
    <row r="1375" spans="6:16" x14ac:dyDescent="0.35">
      <c r="F1375" s="1" t="str">
        <f>CONCATENATE(tblCong[[#This Row],[parishCode]],"-",tblCong[[#This Row],[kCode]])</f>
        <v>D12-S04-P07-K01</v>
      </c>
      <c r="G1375" s="1" t="str">
        <f>Distrik!F$16</f>
        <v>D12</v>
      </c>
      <c r="H1375" s="1" t="str">
        <f>VLOOKUP(tblCong[[#This Row],[distCode]],tblDistrict[#All],2)</f>
        <v>Goroka</v>
      </c>
      <c r="I1375" s="1" t="str">
        <f>Seket!I$68</f>
        <v>S04</v>
      </c>
      <c r="J1375" s="1" t="str">
        <f>CONCATENATE(tblCong[[#This Row],[distCode]],"-",tblCong[[#This Row],[sCode]])</f>
        <v>D12-S04</v>
      </c>
      <c r="K1375" s="1" t="str">
        <f>VLOOKUP(tblCong[[#This Row],[seketCode]],tblSeket[#All],5,FALSE)</f>
        <v>Asaroka</v>
      </c>
      <c r="L1375" s="1" t="str">
        <f>Paris!L$354</f>
        <v>P07</v>
      </c>
      <c r="M1375" s="1" t="str">
        <f>CONCATENATE(tblCong[[#This Row],[seketCode]],"-",tblCong[[#This Row],[pCode]])</f>
        <v>D12-S04-P07</v>
      </c>
      <c r="N1375" s="1" t="s">
        <v>558</v>
      </c>
      <c r="O1375" s="1" t="s">
        <v>567</v>
      </c>
      <c r="P1375" s="1" t="s">
        <v>1862</v>
      </c>
    </row>
    <row r="1376" spans="6:16" x14ac:dyDescent="0.35">
      <c r="F1376" s="1" t="str">
        <f>CONCATENATE(tblCong[[#This Row],[parishCode]],"-",tblCong[[#This Row],[kCode]])</f>
        <v>D12-S04-P07-K02</v>
      </c>
      <c r="G1376" s="1" t="str">
        <f>Distrik!F$16</f>
        <v>D12</v>
      </c>
      <c r="H1376" s="1" t="str">
        <f>VLOOKUP(tblCong[[#This Row],[distCode]],tblDistrict[#All],2)</f>
        <v>Goroka</v>
      </c>
      <c r="I1376" s="1" t="str">
        <f>Seket!I$68</f>
        <v>S04</v>
      </c>
      <c r="J1376" s="1" t="str">
        <f>CONCATENATE(tblCong[[#This Row],[distCode]],"-",tblCong[[#This Row],[sCode]])</f>
        <v>D12-S04</v>
      </c>
      <c r="K1376" s="1" t="str">
        <f>VLOOKUP(tblCong[[#This Row],[seketCode]],tblSeket[#All],5,FALSE)</f>
        <v>Asaroka</v>
      </c>
      <c r="L1376" s="1" t="str">
        <f>Paris!L$354</f>
        <v>P07</v>
      </c>
      <c r="M1376" s="1" t="str">
        <f>CONCATENATE(tblCong[[#This Row],[seketCode]],"-",tblCong[[#This Row],[pCode]])</f>
        <v>D12-S04-P07</v>
      </c>
      <c r="N1376" s="1" t="s">
        <v>558</v>
      </c>
      <c r="O1376" s="1" t="s">
        <v>569</v>
      </c>
      <c r="P1376" s="1" t="s">
        <v>1863</v>
      </c>
    </row>
    <row r="1377" spans="6:16" x14ac:dyDescent="0.35">
      <c r="F1377" s="1" t="str">
        <f>CONCATENATE(tblCong[[#This Row],[parishCode]],"-",tblCong[[#This Row],[kCode]])</f>
        <v>D12-S04-P07-K03</v>
      </c>
      <c r="G1377" s="1" t="str">
        <f>Distrik!F$16</f>
        <v>D12</v>
      </c>
      <c r="H1377" s="1" t="str">
        <f>VLOOKUP(tblCong[[#This Row],[distCode]],tblDistrict[#All],2)</f>
        <v>Goroka</v>
      </c>
      <c r="I1377" s="1" t="str">
        <f>Seket!I$68</f>
        <v>S04</v>
      </c>
      <c r="J1377" s="1" t="str">
        <f>CONCATENATE(tblCong[[#This Row],[distCode]],"-",tblCong[[#This Row],[sCode]])</f>
        <v>D12-S04</v>
      </c>
      <c r="K1377" s="1" t="str">
        <f>VLOOKUP(tblCong[[#This Row],[seketCode]],tblSeket[#All],5,FALSE)</f>
        <v>Asaroka</v>
      </c>
      <c r="L1377" s="1" t="str">
        <f>Paris!L$354</f>
        <v>P07</v>
      </c>
      <c r="M1377" s="1" t="str">
        <f>CONCATENATE(tblCong[[#This Row],[seketCode]],"-",tblCong[[#This Row],[pCode]])</f>
        <v>D12-S04-P07</v>
      </c>
      <c r="N1377" s="1" t="s">
        <v>558</v>
      </c>
      <c r="O1377" s="1" t="s">
        <v>571</v>
      </c>
      <c r="P1377" s="1" t="s">
        <v>1864</v>
      </c>
    </row>
    <row r="1378" spans="6:16" x14ac:dyDescent="0.35">
      <c r="F1378" s="1" t="str">
        <f>CONCATENATE(tblCong[[#This Row],[parishCode]],"-",tblCong[[#This Row],[kCode]])</f>
        <v>D12-S04-P07-K04</v>
      </c>
      <c r="G1378" s="1" t="str">
        <f>Distrik!F$16</f>
        <v>D12</v>
      </c>
      <c r="H1378" s="1" t="str">
        <f>VLOOKUP(tblCong[[#This Row],[distCode]],tblDistrict[#All],2)</f>
        <v>Goroka</v>
      </c>
      <c r="I1378" s="1" t="str">
        <f>Seket!I$68</f>
        <v>S04</v>
      </c>
      <c r="J1378" s="1" t="str">
        <f>CONCATENATE(tblCong[[#This Row],[distCode]],"-",tblCong[[#This Row],[sCode]])</f>
        <v>D12-S04</v>
      </c>
      <c r="K1378" s="1" t="str">
        <f>VLOOKUP(tblCong[[#This Row],[seketCode]],tblSeket[#All],5,FALSE)</f>
        <v>Asaroka</v>
      </c>
      <c r="L1378" s="1" t="str">
        <f>Paris!L$354</f>
        <v>P07</v>
      </c>
      <c r="M1378" s="1" t="str">
        <f>CONCATENATE(tblCong[[#This Row],[seketCode]],"-",tblCong[[#This Row],[pCode]])</f>
        <v>D12-S04-P07</v>
      </c>
      <c r="N1378" s="1" t="s">
        <v>558</v>
      </c>
      <c r="O1378" s="1" t="s">
        <v>573</v>
      </c>
      <c r="P1378" s="1" t="s">
        <v>1865</v>
      </c>
    </row>
    <row r="1379" spans="6:16" x14ac:dyDescent="0.35">
      <c r="F1379" s="1" t="str">
        <f>CONCATENATE(tblCong[[#This Row],[parishCode]],"-",tblCong[[#This Row],[kCode]])</f>
        <v>D12-S04-P07-K05</v>
      </c>
      <c r="G1379" s="1" t="str">
        <f>Distrik!F$16</f>
        <v>D12</v>
      </c>
      <c r="H1379" s="1" t="str">
        <f>VLOOKUP(tblCong[[#This Row],[distCode]],tblDistrict[#All],2)</f>
        <v>Goroka</v>
      </c>
      <c r="I1379" s="1" t="str">
        <f>Seket!I$68</f>
        <v>S04</v>
      </c>
      <c r="J1379" s="1" t="str">
        <f>CONCATENATE(tblCong[[#This Row],[distCode]],"-",tblCong[[#This Row],[sCode]])</f>
        <v>D12-S04</v>
      </c>
      <c r="K1379" s="1" t="str">
        <f>VLOOKUP(tblCong[[#This Row],[seketCode]],tblSeket[#All],5,FALSE)</f>
        <v>Asaroka</v>
      </c>
      <c r="L1379" s="1" t="str">
        <f>Paris!L$354</f>
        <v>P07</v>
      </c>
      <c r="M1379" s="1" t="str">
        <f>CONCATENATE(tblCong[[#This Row],[seketCode]],"-",tblCong[[#This Row],[pCode]])</f>
        <v>D12-S04-P07</v>
      </c>
      <c r="N1379" s="1" t="s">
        <v>558</v>
      </c>
      <c r="O1379" s="1" t="s">
        <v>575</v>
      </c>
      <c r="P1379" s="1" t="s">
        <v>299</v>
      </c>
    </row>
    <row r="1380" spans="6:16" x14ac:dyDescent="0.35">
      <c r="F1380" s="1" t="str">
        <f>CONCATENATE(tblCong[[#This Row],[parishCode]],"-",tblCong[[#This Row],[kCode]])</f>
        <v>D12-S04-P07-K06</v>
      </c>
      <c r="G1380" s="1" t="str">
        <f>Distrik!F$16</f>
        <v>D12</v>
      </c>
      <c r="H1380" s="1" t="str">
        <f>VLOOKUP(tblCong[[#This Row],[distCode]],tblDistrict[#All],2)</f>
        <v>Goroka</v>
      </c>
      <c r="I1380" s="1" t="str">
        <f>Seket!I$68</f>
        <v>S04</v>
      </c>
      <c r="J1380" s="1" t="str">
        <f>CONCATENATE(tblCong[[#This Row],[distCode]],"-",tblCong[[#This Row],[sCode]])</f>
        <v>D12-S04</v>
      </c>
      <c r="K1380" s="1" t="str">
        <f>VLOOKUP(tblCong[[#This Row],[seketCode]],tblSeket[#All],5,FALSE)</f>
        <v>Asaroka</v>
      </c>
      <c r="L1380" s="1" t="str">
        <f>Paris!L$354</f>
        <v>P07</v>
      </c>
      <c r="M1380" s="1" t="str">
        <f>CONCATENATE(tblCong[[#This Row],[seketCode]],"-",tblCong[[#This Row],[pCode]])</f>
        <v>D12-S04-P07</v>
      </c>
      <c r="N1380" s="1" t="s">
        <v>558</v>
      </c>
      <c r="O1380" s="1" t="s">
        <v>576</v>
      </c>
      <c r="P1380" s="1" t="s">
        <v>1866</v>
      </c>
    </row>
    <row r="1381" spans="6:16" x14ac:dyDescent="0.35">
      <c r="F1381" s="1" t="str">
        <f>CONCATENATE(tblCong[[#This Row],[parishCode]],"-",tblCong[[#This Row],[kCode]])</f>
        <v>D12-S04-P07-K07</v>
      </c>
      <c r="G1381" s="1" t="str">
        <f>Distrik!F$16</f>
        <v>D12</v>
      </c>
      <c r="H1381" s="1" t="str">
        <f>VLOOKUP(tblCong[[#This Row],[distCode]],tblDistrict[#All],2)</f>
        <v>Goroka</v>
      </c>
      <c r="I1381" s="1" t="str">
        <f>Seket!I$68</f>
        <v>S04</v>
      </c>
      <c r="J1381" s="1" t="str">
        <f>CONCATENATE(tblCong[[#This Row],[distCode]],"-",tblCong[[#This Row],[sCode]])</f>
        <v>D12-S04</v>
      </c>
      <c r="K1381" s="1" t="str">
        <f>VLOOKUP(tblCong[[#This Row],[seketCode]],tblSeket[#All],5,FALSE)</f>
        <v>Asaroka</v>
      </c>
      <c r="L1381" s="1" t="str">
        <f>Paris!L$354</f>
        <v>P07</v>
      </c>
      <c r="M1381" s="1" t="str">
        <f>CONCATENATE(tblCong[[#This Row],[seketCode]],"-",tblCong[[#This Row],[pCode]])</f>
        <v>D12-S04-P07</v>
      </c>
      <c r="N1381" s="1" t="s">
        <v>558</v>
      </c>
      <c r="O1381" s="1" t="s">
        <v>578</v>
      </c>
      <c r="P1381" s="1" t="s">
        <v>1867</v>
      </c>
    </row>
    <row r="1382" spans="6:16" x14ac:dyDescent="0.35">
      <c r="F1382" s="1" t="str">
        <f>CONCATENATE(tblCong[[#This Row],[parishCode]],"-",tblCong[[#This Row],[kCode]])</f>
        <v>D12-S04-P07-K08</v>
      </c>
      <c r="G1382" s="1" t="str">
        <f>Distrik!F$16</f>
        <v>D12</v>
      </c>
      <c r="H1382" s="1" t="str">
        <f>VLOOKUP(tblCong[[#This Row],[distCode]],tblDistrict[#All],2)</f>
        <v>Goroka</v>
      </c>
      <c r="I1382" s="1" t="str">
        <f>Seket!I$68</f>
        <v>S04</v>
      </c>
      <c r="J1382" s="1" t="str">
        <f>CONCATENATE(tblCong[[#This Row],[distCode]],"-",tblCong[[#This Row],[sCode]])</f>
        <v>D12-S04</v>
      </c>
      <c r="K1382" s="1" t="str">
        <f>VLOOKUP(tblCong[[#This Row],[seketCode]],tblSeket[#All],5,FALSE)</f>
        <v>Asaroka</v>
      </c>
      <c r="L1382" s="1" t="str">
        <f>Paris!L$354</f>
        <v>P07</v>
      </c>
      <c r="M1382" s="1" t="str">
        <f>CONCATENATE(tblCong[[#This Row],[seketCode]],"-",tblCong[[#This Row],[pCode]])</f>
        <v>D12-S04-P07</v>
      </c>
      <c r="N1382" s="1" t="s">
        <v>558</v>
      </c>
      <c r="O1382" s="1" t="s">
        <v>651</v>
      </c>
      <c r="P1382" s="1" t="s">
        <v>1868</v>
      </c>
    </row>
    <row r="1383" spans="6:16" x14ac:dyDescent="0.35">
      <c r="F1383" s="1" t="str">
        <f>CONCATENATE(tblCong[[#This Row],[parishCode]],"-",tblCong[[#This Row],[kCode]])</f>
        <v>D12-S04-P07-K09</v>
      </c>
      <c r="G1383" s="1" t="str">
        <f>Distrik!F$16</f>
        <v>D12</v>
      </c>
      <c r="H1383" s="1" t="str">
        <f>VLOOKUP(tblCong[[#This Row],[distCode]],tblDistrict[#All],2)</f>
        <v>Goroka</v>
      </c>
      <c r="I1383" s="1" t="str">
        <f>Seket!I$68</f>
        <v>S04</v>
      </c>
      <c r="J1383" s="1" t="str">
        <f>CONCATENATE(tblCong[[#This Row],[distCode]],"-",tblCong[[#This Row],[sCode]])</f>
        <v>D12-S04</v>
      </c>
      <c r="K1383" s="1" t="str">
        <f>VLOOKUP(tblCong[[#This Row],[seketCode]],tblSeket[#All],5,FALSE)</f>
        <v>Asaroka</v>
      </c>
      <c r="L1383" s="1" t="str">
        <f>Paris!L$354</f>
        <v>P07</v>
      </c>
      <c r="M1383" s="1" t="str">
        <f>CONCATENATE(tblCong[[#This Row],[seketCode]],"-",tblCong[[#This Row],[pCode]])</f>
        <v>D12-S04-P07</v>
      </c>
      <c r="N1383" s="1" t="s">
        <v>558</v>
      </c>
      <c r="O1383" s="1" t="s">
        <v>653</v>
      </c>
      <c r="P1383" s="1" t="s">
        <v>1869</v>
      </c>
    </row>
    <row r="1384" spans="6:16" x14ac:dyDescent="0.35">
      <c r="F1384" s="1" t="str">
        <f>CONCATENATE(tblCong[[#This Row],[parishCode]],"-",tblCong[[#This Row],[kCode]])</f>
        <v>D12-S04-P09-K01</v>
      </c>
      <c r="G1384" s="1" t="str">
        <f>Distrik!F$16</f>
        <v>D12</v>
      </c>
      <c r="H1384" s="1" t="str">
        <f>VLOOKUP(tblCong[[#This Row],[distCode]],tblDistrict[#All],2)</f>
        <v>Goroka</v>
      </c>
      <c r="I1384" s="1" t="str">
        <f>Seket!I$68</f>
        <v>S04</v>
      </c>
      <c r="J1384" s="1" t="str">
        <f>CONCATENATE(tblCong[[#This Row],[distCode]],"-",tblCong[[#This Row],[sCode]])</f>
        <v>D12-S04</v>
      </c>
      <c r="K1384" s="1" t="str">
        <f>VLOOKUP(tblCong[[#This Row],[seketCode]],tblSeket[#All],5,FALSE)</f>
        <v>Asaroka</v>
      </c>
      <c r="L1384" s="1" t="str">
        <f>Paris!L$356</f>
        <v>P09</v>
      </c>
      <c r="M1384" s="1" t="str">
        <f>CONCATENATE(tblCong[[#This Row],[seketCode]],"-",tblCong[[#This Row],[pCode]])</f>
        <v>D12-S04-P09</v>
      </c>
      <c r="N1384" s="1" t="s">
        <v>560</v>
      </c>
      <c r="O1384" s="1" t="s">
        <v>567</v>
      </c>
      <c r="P1384" s="1" t="s">
        <v>1870</v>
      </c>
    </row>
    <row r="1385" spans="6:16" x14ac:dyDescent="0.35">
      <c r="F1385" s="1" t="str">
        <f>CONCATENATE(tblCong[[#This Row],[parishCode]],"-",tblCong[[#This Row],[kCode]])</f>
        <v>D12-S04-P09-K02</v>
      </c>
      <c r="G1385" s="1" t="str">
        <f>Distrik!F$16</f>
        <v>D12</v>
      </c>
      <c r="H1385" s="1" t="str">
        <f>VLOOKUP(tblCong[[#This Row],[distCode]],tblDistrict[#All],2)</f>
        <v>Goroka</v>
      </c>
      <c r="I1385" s="1" t="str">
        <f>Seket!I$68</f>
        <v>S04</v>
      </c>
      <c r="J1385" s="1" t="str">
        <f>CONCATENATE(tblCong[[#This Row],[distCode]],"-",tblCong[[#This Row],[sCode]])</f>
        <v>D12-S04</v>
      </c>
      <c r="K1385" s="1" t="str">
        <f>VLOOKUP(tblCong[[#This Row],[seketCode]],tblSeket[#All],5,FALSE)</f>
        <v>Asaroka</v>
      </c>
      <c r="L1385" s="1" t="str">
        <f>Paris!L$356</f>
        <v>P09</v>
      </c>
      <c r="M1385" s="1" t="str">
        <f>CONCATENATE(tblCong[[#This Row],[seketCode]],"-",tblCong[[#This Row],[pCode]])</f>
        <v>D12-S04-P09</v>
      </c>
      <c r="N1385" s="1" t="s">
        <v>560</v>
      </c>
      <c r="O1385" s="1" t="s">
        <v>569</v>
      </c>
      <c r="P1385" s="1" t="s">
        <v>1871</v>
      </c>
    </row>
    <row r="1386" spans="6:16" x14ac:dyDescent="0.35">
      <c r="F1386" s="1" t="str">
        <f>CONCATENATE(tblCong[[#This Row],[parishCode]],"-",tblCong[[#This Row],[kCode]])</f>
        <v>D12-S04-P09-K03</v>
      </c>
      <c r="G1386" s="1" t="str">
        <f>Distrik!F$16</f>
        <v>D12</v>
      </c>
      <c r="H1386" s="1" t="str">
        <f>VLOOKUP(tblCong[[#This Row],[distCode]],tblDistrict[#All],2)</f>
        <v>Goroka</v>
      </c>
      <c r="I1386" s="1" t="str">
        <f>Seket!I$68</f>
        <v>S04</v>
      </c>
      <c r="J1386" s="1" t="str">
        <f>CONCATENATE(tblCong[[#This Row],[distCode]],"-",tblCong[[#This Row],[sCode]])</f>
        <v>D12-S04</v>
      </c>
      <c r="K1386" s="1" t="str">
        <f>VLOOKUP(tblCong[[#This Row],[seketCode]],tblSeket[#All],5,FALSE)</f>
        <v>Asaroka</v>
      </c>
      <c r="L1386" s="1" t="str">
        <f>Paris!L$356</f>
        <v>P09</v>
      </c>
      <c r="M1386" s="1" t="str">
        <f>CONCATENATE(tblCong[[#This Row],[seketCode]],"-",tblCong[[#This Row],[pCode]])</f>
        <v>D12-S04-P09</v>
      </c>
      <c r="N1386" s="1" t="s">
        <v>560</v>
      </c>
      <c r="O1386" s="1" t="s">
        <v>571</v>
      </c>
      <c r="P1386" s="1" t="s">
        <v>1872</v>
      </c>
    </row>
    <row r="1387" spans="6:16" x14ac:dyDescent="0.35">
      <c r="F1387" s="1" t="str">
        <f>CONCATENATE(tblCong[[#This Row],[parishCode]],"-",tblCong[[#This Row],[kCode]])</f>
        <v>D12-S04-P09-K04</v>
      </c>
      <c r="G1387" s="1" t="str">
        <f>Distrik!F$16</f>
        <v>D12</v>
      </c>
      <c r="H1387" s="1" t="str">
        <f>VLOOKUP(tblCong[[#This Row],[distCode]],tblDistrict[#All],2)</f>
        <v>Goroka</v>
      </c>
      <c r="I1387" s="1" t="str">
        <f>Seket!I$68</f>
        <v>S04</v>
      </c>
      <c r="J1387" s="1" t="str">
        <f>CONCATENATE(tblCong[[#This Row],[distCode]],"-",tblCong[[#This Row],[sCode]])</f>
        <v>D12-S04</v>
      </c>
      <c r="K1387" s="1" t="str">
        <f>VLOOKUP(tblCong[[#This Row],[seketCode]],tblSeket[#All],5,FALSE)</f>
        <v>Asaroka</v>
      </c>
      <c r="L1387" s="1" t="str">
        <f>Paris!L$356</f>
        <v>P09</v>
      </c>
      <c r="M1387" s="1" t="str">
        <f>CONCATENATE(tblCong[[#This Row],[seketCode]],"-",tblCong[[#This Row],[pCode]])</f>
        <v>D12-S04-P09</v>
      </c>
      <c r="N1387" s="1" t="s">
        <v>560</v>
      </c>
      <c r="O1387" s="1" t="s">
        <v>573</v>
      </c>
      <c r="P1387" s="1" t="s">
        <v>1873</v>
      </c>
    </row>
    <row r="1388" spans="6:16" x14ac:dyDescent="0.35">
      <c r="F1388" s="1" t="str">
        <f>CONCATENATE(tblCong[[#This Row],[parishCode]],"-",tblCong[[#This Row],[kCode]])</f>
        <v>D12-S04-P09-K05</v>
      </c>
      <c r="G1388" s="1" t="str">
        <f>Distrik!F$16</f>
        <v>D12</v>
      </c>
      <c r="H1388" s="1" t="str">
        <f>VLOOKUP(tblCong[[#This Row],[distCode]],tblDistrict[#All],2)</f>
        <v>Goroka</v>
      </c>
      <c r="I1388" s="1" t="str">
        <f>Seket!I$68</f>
        <v>S04</v>
      </c>
      <c r="J1388" s="1" t="str">
        <f>CONCATENATE(tblCong[[#This Row],[distCode]],"-",tblCong[[#This Row],[sCode]])</f>
        <v>D12-S04</v>
      </c>
      <c r="K1388" s="1" t="str">
        <f>VLOOKUP(tblCong[[#This Row],[seketCode]],tblSeket[#All],5,FALSE)</f>
        <v>Asaroka</v>
      </c>
      <c r="L1388" s="1" t="str">
        <f>Paris!L$356</f>
        <v>P09</v>
      </c>
      <c r="M1388" s="1" t="str">
        <f>CONCATENATE(tblCong[[#This Row],[seketCode]],"-",tblCong[[#This Row],[pCode]])</f>
        <v>D12-S04-P09</v>
      </c>
      <c r="N1388" s="1" t="s">
        <v>560</v>
      </c>
      <c r="O1388" s="1" t="s">
        <v>575</v>
      </c>
      <c r="P1388" s="1" t="s">
        <v>1874</v>
      </c>
    </row>
    <row r="1389" spans="6:16" x14ac:dyDescent="0.35">
      <c r="F1389" s="1" t="str">
        <f>CONCATENATE(tblCong[[#This Row],[parishCode]],"-",tblCong[[#This Row],[kCode]])</f>
        <v>D12-S04-P09-K06</v>
      </c>
      <c r="G1389" s="1" t="str">
        <f>Distrik!F$16</f>
        <v>D12</v>
      </c>
      <c r="H1389" s="1" t="str">
        <f>VLOOKUP(tblCong[[#This Row],[distCode]],tblDistrict[#All],2)</f>
        <v>Goroka</v>
      </c>
      <c r="I1389" s="1" t="str">
        <f>Seket!I$68</f>
        <v>S04</v>
      </c>
      <c r="J1389" s="1" t="str">
        <f>CONCATENATE(tblCong[[#This Row],[distCode]],"-",tblCong[[#This Row],[sCode]])</f>
        <v>D12-S04</v>
      </c>
      <c r="K1389" s="1" t="str">
        <f>VLOOKUP(tblCong[[#This Row],[seketCode]],tblSeket[#All],5,FALSE)</f>
        <v>Asaroka</v>
      </c>
      <c r="L1389" s="1" t="str">
        <f>Paris!L$356</f>
        <v>P09</v>
      </c>
      <c r="M1389" s="1" t="str">
        <f>CONCATENATE(tblCong[[#This Row],[seketCode]],"-",tblCong[[#This Row],[pCode]])</f>
        <v>D12-S04-P09</v>
      </c>
      <c r="N1389" s="1" t="s">
        <v>560</v>
      </c>
      <c r="O1389" s="1" t="s">
        <v>576</v>
      </c>
      <c r="P1389" s="1" t="s">
        <v>1875</v>
      </c>
    </row>
    <row r="1390" spans="6:16" x14ac:dyDescent="0.35">
      <c r="F1390" s="1" t="str">
        <f>CONCATENATE(tblCong[[#This Row],[parishCode]],"-",tblCong[[#This Row],[kCode]])</f>
        <v>D12-S04-P09-K07</v>
      </c>
      <c r="G1390" s="1" t="str">
        <f>Distrik!F$16</f>
        <v>D12</v>
      </c>
      <c r="H1390" s="1" t="str">
        <f>VLOOKUP(tblCong[[#This Row],[distCode]],tblDistrict[#All],2)</f>
        <v>Goroka</v>
      </c>
      <c r="I1390" s="1" t="str">
        <f>Seket!I$68</f>
        <v>S04</v>
      </c>
      <c r="J1390" s="1" t="str">
        <f>CONCATENATE(tblCong[[#This Row],[distCode]],"-",tblCong[[#This Row],[sCode]])</f>
        <v>D12-S04</v>
      </c>
      <c r="K1390" s="1" t="str">
        <f>VLOOKUP(tblCong[[#This Row],[seketCode]],tblSeket[#All],5,FALSE)</f>
        <v>Asaroka</v>
      </c>
      <c r="L1390" s="1" t="str">
        <f>Paris!L$356</f>
        <v>P09</v>
      </c>
      <c r="M1390" s="1" t="str">
        <f>CONCATENATE(tblCong[[#This Row],[seketCode]],"-",tblCong[[#This Row],[pCode]])</f>
        <v>D12-S04-P09</v>
      </c>
      <c r="N1390" s="1" t="s">
        <v>560</v>
      </c>
      <c r="O1390" s="1" t="s">
        <v>578</v>
      </c>
      <c r="P1390" s="1" t="s">
        <v>1876</v>
      </c>
    </row>
    <row r="1391" spans="6:16" x14ac:dyDescent="0.35">
      <c r="F1391" s="1" t="str">
        <f>CONCATENATE(tblCong[[#This Row],[parishCode]],"-",tblCong[[#This Row],[kCode]])</f>
        <v>D12-S04-P09-K08</v>
      </c>
      <c r="G1391" s="1" t="str">
        <f>Distrik!F$16</f>
        <v>D12</v>
      </c>
      <c r="H1391" s="1" t="str">
        <f>VLOOKUP(tblCong[[#This Row],[distCode]],tblDistrict[#All],2)</f>
        <v>Goroka</v>
      </c>
      <c r="I1391" s="1" t="str">
        <f>Seket!I$68</f>
        <v>S04</v>
      </c>
      <c r="J1391" s="1" t="str">
        <f>CONCATENATE(tblCong[[#This Row],[distCode]],"-",tblCong[[#This Row],[sCode]])</f>
        <v>D12-S04</v>
      </c>
      <c r="K1391" s="1" t="str">
        <f>VLOOKUP(tblCong[[#This Row],[seketCode]],tblSeket[#All],5,FALSE)</f>
        <v>Asaroka</v>
      </c>
      <c r="L1391" s="1" t="str">
        <f>Paris!L$356</f>
        <v>P09</v>
      </c>
      <c r="M1391" s="1" t="str">
        <f>CONCATENATE(tblCong[[#This Row],[seketCode]],"-",tblCong[[#This Row],[pCode]])</f>
        <v>D12-S04-P09</v>
      </c>
      <c r="N1391" s="1" t="s">
        <v>560</v>
      </c>
      <c r="O1391" s="1" t="s">
        <v>651</v>
      </c>
      <c r="P1391" s="1" t="s">
        <v>506</v>
      </c>
    </row>
    <row r="1392" spans="6:16" x14ac:dyDescent="0.35">
      <c r="F1392" s="1" t="str">
        <f>CONCATENATE(tblCong[[#This Row],[parishCode]],"-",tblCong[[#This Row],[kCode]])</f>
        <v>D12-S06-P01-K01</v>
      </c>
      <c r="G1392" s="1" t="str">
        <f>Distrik!F$16</f>
        <v>D12</v>
      </c>
      <c r="H1392" s="1" t="str">
        <f>VLOOKUP(tblCong[[#This Row],[distCode]],tblDistrict[#All],2)</f>
        <v>Goroka</v>
      </c>
      <c r="I1392" s="1" t="str">
        <f>Seket!I$70</f>
        <v>S06</v>
      </c>
      <c r="J1392" s="1" t="str">
        <f>CONCATENATE(tblCong[[#This Row],[distCode]],"-",tblCong[[#This Row],[sCode]])</f>
        <v>D12-S06</v>
      </c>
      <c r="K1392" s="1" t="str">
        <f>VLOOKUP(tblCong[[#This Row],[seketCode]],tblSeket[#All],5,FALSE)</f>
        <v>Goroka Taun</v>
      </c>
      <c r="L1392" s="1" t="str">
        <f>Paris!L$357</f>
        <v>P01</v>
      </c>
      <c r="M1392" s="1" t="str">
        <f>CONCATENATE(tblCong[[#This Row],[seketCode]],"-",tblCong[[#This Row],[pCode]])</f>
        <v>D12-S06-P01</v>
      </c>
      <c r="N1392" s="1" t="s">
        <v>561</v>
      </c>
      <c r="O1392" s="1" t="s">
        <v>567</v>
      </c>
      <c r="P1392" s="1" t="s">
        <v>1877</v>
      </c>
    </row>
    <row r="1393" spans="6:16" x14ac:dyDescent="0.35">
      <c r="F1393" s="1" t="str">
        <f>CONCATENATE(tblCong[[#This Row],[parishCode]],"-",tblCong[[#This Row],[kCode]])</f>
        <v>D12-S06-P01-K02</v>
      </c>
      <c r="G1393" s="1" t="str">
        <f>Distrik!F$16</f>
        <v>D12</v>
      </c>
      <c r="H1393" s="1" t="str">
        <f>VLOOKUP(tblCong[[#This Row],[distCode]],tblDistrict[#All],2)</f>
        <v>Goroka</v>
      </c>
      <c r="I1393" s="1" t="str">
        <f>Seket!I$70</f>
        <v>S06</v>
      </c>
      <c r="J1393" s="1" t="str">
        <f>CONCATENATE(tblCong[[#This Row],[distCode]],"-",tblCong[[#This Row],[sCode]])</f>
        <v>D12-S06</v>
      </c>
      <c r="K1393" s="1" t="str">
        <f>VLOOKUP(tblCong[[#This Row],[seketCode]],tblSeket[#All],5,FALSE)</f>
        <v>Goroka Taun</v>
      </c>
      <c r="L1393" s="1" t="str">
        <f>Paris!L$357</f>
        <v>P01</v>
      </c>
      <c r="M1393" s="1" t="str">
        <f>CONCATENATE(tblCong[[#This Row],[seketCode]],"-",tblCong[[#This Row],[pCode]])</f>
        <v>D12-S06-P01</v>
      </c>
      <c r="N1393" s="1" t="s">
        <v>561</v>
      </c>
      <c r="O1393" s="1" t="s">
        <v>569</v>
      </c>
      <c r="P1393" s="1" t="s">
        <v>1878</v>
      </c>
    </row>
    <row r="1394" spans="6:16" x14ac:dyDescent="0.35">
      <c r="F1394" s="1" t="str">
        <f>CONCATENATE(tblCong[[#This Row],[parishCode]],"-",tblCong[[#This Row],[kCode]])</f>
        <v>D12-S06-P01-K03</v>
      </c>
      <c r="G1394" s="1" t="str">
        <f>Distrik!F$16</f>
        <v>D12</v>
      </c>
      <c r="H1394" s="1" t="str">
        <f>VLOOKUP(tblCong[[#This Row],[distCode]],tblDistrict[#All],2)</f>
        <v>Goroka</v>
      </c>
      <c r="I1394" s="1" t="str">
        <f>Seket!I$70</f>
        <v>S06</v>
      </c>
      <c r="J1394" s="1" t="str">
        <f>CONCATENATE(tblCong[[#This Row],[distCode]],"-",tblCong[[#This Row],[sCode]])</f>
        <v>D12-S06</v>
      </c>
      <c r="K1394" s="1" t="str">
        <f>VLOOKUP(tblCong[[#This Row],[seketCode]],tblSeket[#All],5,FALSE)</f>
        <v>Goroka Taun</v>
      </c>
      <c r="L1394" s="1" t="str">
        <f>Paris!L$357</f>
        <v>P01</v>
      </c>
      <c r="M1394" s="1" t="str">
        <f>CONCATENATE(tblCong[[#This Row],[seketCode]],"-",tblCong[[#This Row],[pCode]])</f>
        <v>D12-S06-P01</v>
      </c>
      <c r="N1394" s="1" t="s">
        <v>561</v>
      </c>
      <c r="O1394" s="1" t="s">
        <v>571</v>
      </c>
      <c r="P1394" s="1" t="s">
        <v>1879</v>
      </c>
    </row>
    <row r="1395" spans="6:16" x14ac:dyDescent="0.35">
      <c r="F1395" s="1" t="str">
        <f>CONCATENATE(tblCong[[#This Row],[parishCode]],"-",tblCong[[#This Row],[kCode]])</f>
        <v>D12-S06-P02-K01</v>
      </c>
      <c r="G1395" s="1" t="str">
        <f>Distrik!F$16</f>
        <v>D12</v>
      </c>
      <c r="H1395" s="1" t="str">
        <f>VLOOKUP(tblCong[[#This Row],[distCode]],tblDistrict[#All],2)</f>
        <v>Goroka</v>
      </c>
      <c r="I1395" s="1" t="str">
        <f>Seket!I$70</f>
        <v>S06</v>
      </c>
      <c r="J1395" s="1" t="str">
        <f>CONCATENATE(tblCong[[#This Row],[distCode]],"-",tblCong[[#This Row],[sCode]])</f>
        <v>D12-S06</v>
      </c>
      <c r="K1395" s="1" t="str">
        <f>VLOOKUP(tblCong[[#This Row],[seketCode]],tblSeket[#All],5,FALSE)</f>
        <v>Goroka Taun</v>
      </c>
      <c r="L1395" s="1" t="str">
        <f>Paris!L$358</f>
        <v>P02</v>
      </c>
      <c r="M1395" s="1" t="str">
        <f>CONCATENATE(tblCong[[#This Row],[seketCode]],"-",tblCong[[#This Row],[pCode]])</f>
        <v>D12-S06-P02</v>
      </c>
      <c r="N1395" s="1" t="s">
        <v>329</v>
      </c>
      <c r="O1395" s="1" t="s">
        <v>567</v>
      </c>
      <c r="P1395" s="1" t="s">
        <v>1880</v>
      </c>
    </row>
    <row r="1396" spans="6:16" x14ac:dyDescent="0.35">
      <c r="F1396" s="1" t="str">
        <f>CONCATENATE(tblCong[[#This Row],[parishCode]],"-",tblCong[[#This Row],[kCode]])</f>
        <v>D12-S06-P02-K02</v>
      </c>
      <c r="G1396" s="1" t="str">
        <f>Distrik!F$16</f>
        <v>D12</v>
      </c>
      <c r="H1396" s="1" t="str">
        <f>VLOOKUP(tblCong[[#This Row],[distCode]],tblDistrict[#All],2)</f>
        <v>Goroka</v>
      </c>
      <c r="I1396" s="1" t="str">
        <f>Seket!I$70</f>
        <v>S06</v>
      </c>
      <c r="J1396" s="1" t="str">
        <f>CONCATENATE(tblCong[[#This Row],[distCode]],"-",tblCong[[#This Row],[sCode]])</f>
        <v>D12-S06</v>
      </c>
      <c r="K1396" s="1" t="str">
        <f>VLOOKUP(tblCong[[#This Row],[seketCode]],tblSeket[#All],5,FALSE)</f>
        <v>Goroka Taun</v>
      </c>
      <c r="L1396" s="1" t="str">
        <f>Paris!L$358</f>
        <v>P02</v>
      </c>
      <c r="M1396" s="1" t="str">
        <f>CONCATENATE(tblCong[[#This Row],[seketCode]],"-",tblCong[[#This Row],[pCode]])</f>
        <v>D12-S06-P02</v>
      </c>
      <c r="N1396" s="1" t="s">
        <v>329</v>
      </c>
      <c r="O1396" s="1" t="s">
        <v>569</v>
      </c>
      <c r="P1396" s="1" t="s">
        <v>1881</v>
      </c>
    </row>
    <row r="1397" spans="6:16" x14ac:dyDescent="0.35">
      <c r="F1397" s="1" t="str">
        <f>CONCATENATE(tblCong[[#This Row],[parishCode]],"-",tblCong[[#This Row],[kCode]])</f>
        <v>D12-S06-P02-K03</v>
      </c>
      <c r="G1397" s="1" t="str">
        <f>Distrik!F$16</f>
        <v>D12</v>
      </c>
      <c r="H1397" s="1" t="str">
        <f>VLOOKUP(tblCong[[#This Row],[distCode]],tblDistrict[#All],2)</f>
        <v>Goroka</v>
      </c>
      <c r="I1397" s="1" t="str">
        <f>Seket!I$70</f>
        <v>S06</v>
      </c>
      <c r="J1397" s="1" t="str">
        <f>CONCATENATE(tblCong[[#This Row],[distCode]],"-",tblCong[[#This Row],[sCode]])</f>
        <v>D12-S06</v>
      </c>
      <c r="K1397" s="1" t="str">
        <f>VLOOKUP(tblCong[[#This Row],[seketCode]],tblSeket[#All],5,FALSE)</f>
        <v>Goroka Taun</v>
      </c>
      <c r="L1397" s="1" t="str">
        <f>Paris!L$358</f>
        <v>P02</v>
      </c>
      <c r="M1397" s="1" t="str">
        <f>CONCATENATE(tblCong[[#This Row],[seketCode]],"-",tblCong[[#This Row],[pCode]])</f>
        <v>D12-S06-P02</v>
      </c>
      <c r="N1397" s="1" t="s">
        <v>329</v>
      </c>
      <c r="O1397" s="1" t="s">
        <v>571</v>
      </c>
      <c r="P1397" s="1" t="s">
        <v>1882</v>
      </c>
    </row>
    <row r="1398" spans="6:16" x14ac:dyDescent="0.35">
      <c r="F1398" s="1" t="str">
        <f>CONCATENATE(tblCong[[#This Row],[parishCode]],"-",tblCong[[#This Row],[kCode]])</f>
        <v>D12-S06-P02-K04</v>
      </c>
      <c r="G1398" s="1" t="str">
        <f>Distrik!F$16</f>
        <v>D12</v>
      </c>
      <c r="H1398" s="1" t="str">
        <f>VLOOKUP(tblCong[[#This Row],[distCode]],tblDistrict[#All],2)</f>
        <v>Goroka</v>
      </c>
      <c r="I1398" s="1" t="str">
        <f>Seket!I$70</f>
        <v>S06</v>
      </c>
      <c r="J1398" s="1" t="str">
        <f>CONCATENATE(tblCong[[#This Row],[distCode]],"-",tblCong[[#This Row],[sCode]])</f>
        <v>D12-S06</v>
      </c>
      <c r="K1398" s="1" t="str">
        <f>VLOOKUP(tblCong[[#This Row],[seketCode]],tblSeket[#All],5,FALSE)</f>
        <v>Goroka Taun</v>
      </c>
      <c r="L1398" s="1" t="str">
        <f>Paris!L$358</f>
        <v>P02</v>
      </c>
      <c r="M1398" s="1" t="str">
        <f>CONCATENATE(tblCong[[#This Row],[seketCode]],"-",tblCong[[#This Row],[pCode]])</f>
        <v>D12-S06-P02</v>
      </c>
      <c r="N1398" s="1" t="s">
        <v>329</v>
      </c>
      <c r="O1398" s="1" t="s">
        <v>573</v>
      </c>
      <c r="P1398" s="1" t="s">
        <v>549</v>
      </c>
    </row>
    <row r="1399" spans="6:16" x14ac:dyDescent="0.35">
      <c r="F1399" s="1" t="str">
        <f>CONCATENATE(tblCong[[#This Row],[parishCode]],"-",tblCong[[#This Row],[kCode]])</f>
        <v>D12-S06-P02-K05</v>
      </c>
      <c r="G1399" s="1" t="str">
        <f>Distrik!F$16</f>
        <v>D12</v>
      </c>
      <c r="H1399" s="1" t="str">
        <f>VLOOKUP(tblCong[[#This Row],[distCode]],tblDistrict[#All],2)</f>
        <v>Goroka</v>
      </c>
      <c r="I1399" s="1" t="str">
        <f>Seket!I$70</f>
        <v>S06</v>
      </c>
      <c r="J1399" s="1" t="str">
        <f>CONCATENATE(tblCong[[#This Row],[distCode]],"-",tblCong[[#This Row],[sCode]])</f>
        <v>D12-S06</v>
      </c>
      <c r="K1399" s="1" t="str">
        <f>VLOOKUP(tblCong[[#This Row],[seketCode]],tblSeket[#All],5,FALSE)</f>
        <v>Goroka Taun</v>
      </c>
      <c r="L1399" s="1" t="str">
        <f>Paris!L$358</f>
        <v>P02</v>
      </c>
      <c r="M1399" s="1" t="str">
        <f>CONCATENATE(tblCong[[#This Row],[seketCode]],"-",tblCong[[#This Row],[pCode]])</f>
        <v>D12-S06-P02</v>
      </c>
      <c r="N1399" s="1" t="s">
        <v>329</v>
      </c>
      <c r="O1399" s="1" t="s">
        <v>575</v>
      </c>
      <c r="P1399" s="1" t="s">
        <v>1883</v>
      </c>
    </row>
  </sheetData>
  <sheetProtection selectLockedCells="1" autoFilter="0" selectUnlockedCells="1"/>
  <mergeCells count="7">
    <mergeCell ref="B21:C22"/>
    <mergeCell ref="B24:C25"/>
    <mergeCell ref="B8:C8"/>
    <mergeCell ref="B9:C9"/>
    <mergeCell ref="B12:C13"/>
    <mergeCell ref="B15:C16"/>
    <mergeCell ref="B18:C19"/>
  </mergeCells>
  <hyperlinks>
    <hyperlink ref="B12:C13" location="Distrik!A1" display="District"/>
    <hyperlink ref="B15:C16" location="Seket!A1" display="Seket"/>
    <hyperlink ref="B18:C19" location="Paris!A1" display="Parish"/>
    <hyperlink ref="B21:C22" location="Kongrigesen!A1" display="Congregation"/>
    <hyperlink ref="B24:C25" location="Dashboard!A1" display="Summary"/>
  </hyperlinks>
  <pageMargins left="0.7" right="0.7" top="0.75" bottom="0.75" header="0.3" footer="0.3"/>
  <pageSetup paperSize="9" orientation="portrait"/>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Distrik</vt:lpstr>
      <vt:lpstr>Seket</vt:lpstr>
      <vt:lpstr>Paris</vt:lpstr>
      <vt:lpstr>Kongrigesen</vt:lpstr>
      <vt:lpstr>Bagiai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revision>2</cp:revision>
  <dcterms:modified xsi:type="dcterms:W3CDTF">2025-10-21T06:44:27Z</dcterms:modified>
</cp:coreProperties>
</file>